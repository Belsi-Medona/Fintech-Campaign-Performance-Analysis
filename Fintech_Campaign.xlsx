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creditmantrifinservepvtltd-my.sharepoint.com/personal/belsimedona_creditmantri_com/Documents/Documents/PROJECTS/"/>
    </mc:Choice>
  </mc:AlternateContent>
  <xr:revisionPtr revIDLastSave="981" documentId="11_2843911F67695A5A0998D7653A1EA8D2C7BCAB9B" xr6:coauthVersionLast="47" xr6:coauthVersionMax="47" xr10:uidLastSave="{8DEF7BA0-45EE-43A4-80DB-ACE245A8C2E2}"/>
  <bookViews>
    <workbookView xWindow="-110" yWindow="-110" windowWidth="19420" windowHeight="10300" firstSheet="3" activeTab="5" xr2:uid="{00000000-000D-0000-FFFF-FFFF00000000}"/>
  </bookViews>
  <sheets>
    <sheet name="Channel" sheetId="3" r:id="rId1"/>
    <sheet name="Fresh and Repeat" sheetId="5" r:id="rId2"/>
    <sheet name="Monthly Performance" sheetId="6" r:id="rId3"/>
    <sheet name="Business Insights" sheetId="8" r:id="rId4"/>
    <sheet name="Dashboard" sheetId="7" r:id="rId5"/>
    <sheet name="Case Study" sheetId="9" r:id="rId6"/>
    <sheet name="Raw_Data" sheetId="1" r:id="rId7"/>
    <sheet name="Project_Guide" sheetId="2" r:id="rId8"/>
  </sheets>
  <definedNames>
    <definedName name="_xlnm._FilterDatabase" localSheetId="6" hidden="1">Raw_Data!$P$1:$P$1501</definedName>
  </definedNames>
  <calcPr calcId="191029"/>
  <pivotCaches>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C6" i="7"/>
  <c r="C5" i="7"/>
  <c r="C4" i="7"/>
  <c r="C3" i="7"/>
  <c r="C2" i="7"/>
  <c r="M11" i="6"/>
  <c r="M10" i="6"/>
  <c r="M9" i="6"/>
  <c r="M8" i="6"/>
  <c r="M7" i="6"/>
  <c r="M6" i="6"/>
  <c r="M5" i="6"/>
  <c r="M4" i="6"/>
  <c r="L11" i="6"/>
  <c r="L10" i="6"/>
  <c r="L9" i="6"/>
  <c r="L8" i="6"/>
  <c r="L7" i="6"/>
  <c r="L6" i="6"/>
  <c r="L5" i="6"/>
  <c r="L4" i="6"/>
  <c r="J11" i="6"/>
  <c r="J10" i="6"/>
  <c r="J9" i="6"/>
  <c r="J8" i="6"/>
  <c r="J7" i="6"/>
  <c r="J6" i="6"/>
  <c r="J5" i="6"/>
  <c r="J4" i="6"/>
  <c r="I11" i="6"/>
  <c r="I10" i="6"/>
  <c r="I9" i="6"/>
  <c r="I8" i="6"/>
  <c r="I7" i="6"/>
  <c r="I6" i="6"/>
  <c r="I5" i="6"/>
  <c r="I4" i="6"/>
  <c r="P5" i="5"/>
  <c r="P4" i="5"/>
  <c r="O5" i="5"/>
  <c r="O4" i="5"/>
  <c r="M5" i="5"/>
  <c r="M4" i="5"/>
  <c r="L5" i="5"/>
  <c r="L4" i="5"/>
  <c r="H5" i="5"/>
  <c r="Q5" i="5" s="1"/>
  <c r="H4" i="5"/>
  <c r="Q4" i="5" s="1"/>
  <c r="G5" i="5"/>
  <c r="R5" i="5" s="1"/>
  <c r="G4" i="5"/>
  <c r="R4" i="5" s="1"/>
  <c r="F5" i="5"/>
  <c r="N5" i="5" s="1"/>
  <c r="F4" i="5"/>
  <c r="N4" i="5" s="1"/>
  <c r="O5" i="3"/>
  <c r="O6" i="3"/>
  <c r="O7" i="3"/>
  <c r="O4" i="3"/>
  <c r="N5" i="3"/>
  <c r="N6" i="3"/>
  <c r="N7" i="3"/>
  <c r="N4" i="3"/>
  <c r="L5" i="3"/>
  <c r="Q5" i="3" s="1"/>
  <c r="L6" i="3"/>
  <c r="Q6" i="3" s="1"/>
  <c r="L7" i="3"/>
  <c r="Q7" i="3" s="1"/>
  <c r="L4" i="3"/>
  <c r="Q4" i="3" s="1"/>
  <c r="K5" i="3"/>
  <c r="K6" i="3"/>
  <c r="K7" i="3"/>
  <c r="K4" i="3"/>
  <c r="J5" i="3"/>
  <c r="J6" i="3"/>
  <c r="J7" i="3"/>
  <c r="J4" i="3"/>
  <c r="F5" i="3"/>
  <c r="M5" i="3" s="1"/>
  <c r="F6" i="3"/>
  <c r="M6" i="3" s="1"/>
  <c r="F7" i="3"/>
  <c r="M7" i="3" s="1"/>
  <c r="F4" i="3"/>
  <c r="M4" i="3" s="1"/>
  <c r="G5" i="3"/>
  <c r="P5" i="3" s="1"/>
  <c r="G6" i="3"/>
  <c r="P6" i="3" s="1"/>
  <c r="G7" i="3"/>
  <c r="P7" i="3" s="1"/>
  <c r="G4" i="3"/>
  <c r="P4" i="3" s="1"/>
  <c r="Q1501" i="1"/>
  <c r="U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2" i="1"/>
  <c r="N11" i="6" l="1"/>
  <c r="N10" i="6"/>
  <c r="N9" i="6"/>
  <c r="N8" i="6"/>
  <c r="N7" i="6"/>
  <c r="N6" i="6"/>
  <c r="N5" i="6"/>
  <c r="N4" i="6"/>
  <c r="O11" i="6"/>
  <c r="K11" i="6"/>
  <c r="O10" i="6"/>
  <c r="K10" i="6"/>
  <c r="O9" i="6"/>
  <c r="K9" i="6"/>
  <c r="K8" i="6"/>
  <c r="O8" i="6"/>
  <c r="K7" i="6"/>
  <c r="O7" i="6"/>
  <c r="K6" i="6"/>
  <c r="O6" i="6"/>
  <c r="O5" i="6"/>
  <c r="K5" i="6"/>
  <c r="O4" i="6"/>
  <c r="K4" i="6"/>
</calcChain>
</file>

<file path=xl/sharedStrings.xml><?xml version="1.0" encoding="utf-8"?>
<sst xmlns="http://schemas.openxmlformats.org/spreadsheetml/2006/main" count="10660" uniqueCount="2189">
  <si>
    <t>Campaign_Date</t>
  </si>
  <si>
    <t>Campaign_ID</t>
  </si>
  <si>
    <t>Customer_ID</t>
  </si>
  <si>
    <t>Channel</t>
  </si>
  <si>
    <t>Segment</t>
  </si>
  <si>
    <t>Customer_Type</t>
  </si>
  <si>
    <t>Region</t>
  </si>
  <si>
    <t>Age_Group</t>
  </si>
  <si>
    <t>Base_Size</t>
  </si>
  <si>
    <t>Sent</t>
  </si>
  <si>
    <t>Delivered</t>
  </si>
  <si>
    <t>Clicks</t>
  </si>
  <si>
    <t>Logins</t>
  </si>
  <si>
    <t>Conversions</t>
  </si>
  <si>
    <t>Spend</t>
  </si>
  <si>
    <t>Revenue</t>
  </si>
  <si>
    <t>CMP202601006</t>
  </si>
  <si>
    <t>CUST100290</t>
  </si>
  <si>
    <t>RCS</t>
  </si>
  <si>
    <t>Red Non-Saleable</t>
  </si>
  <si>
    <t>Fresh</t>
  </si>
  <si>
    <t>East</t>
  </si>
  <si>
    <t>35-44</t>
  </si>
  <si>
    <t>CMP202601010</t>
  </si>
  <si>
    <t>CUST100326</t>
  </si>
  <si>
    <t>Red Saleable</t>
  </si>
  <si>
    <t>Repeat</t>
  </si>
  <si>
    <t>North</t>
  </si>
  <si>
    <t>25-34</t>
  </si>
  <si>
    <t>CMP202601022</t>
  </si>
  <si>
    <t>CUST101316</t>
  </si>
  <si>
    <t>SMS</t>
  </si>
  <si>
    <t>CMP202601048</t>
  </si>
  <si>
    <t>CUST100789</t>
  </si>
  <si>
    <t>Email</t>
  </si>
  <si>
    <t>Green</t>
  </si>
  <si>
    <t>South</t>
  </si>
  <si>
    <t>45-54</t>
  </si>
  <si>
    <t>CMP202601007</t>
  </si>
  <si>
    <t>CUST100201</t>
  </si>
  <si>
    <t>WhatsApp</t>
  </si>
  <si>
    <t>West</t>
  </si>
  <si>
    <t>CMP202601016</t>
  </si>
  <si>
    <t>CUST100386</t>
  </si>
  <si>
    <t>CMP202601024</t>
  </si>
  <si>
    <t>CUST100024</t>
  </si>
  <si>
    <t>CMP202601036</t>
  </si>
  <si>
    <t>CUST100383</t>
  </si>
  <si>
    <t>55+</t>
  </si>
  <si>
    <t>CMP202601068</t>
  </si>
  <si>
    <t>CUST101201</t>
  </si>
  <si>
    <t>18-24</t>
  </si>
  <si>
    <t>CMP202601069</t>
  </si>
  <si>
    <t>CUST100575</t>
  </si>
  <si>
    <t>CMP202601070</t>
  </si>
  <si>
    <t>CUST100507</t>
  </si>
  <si>
    <t>Amber</t>
  </si>
  <si>
    <t>CMP202601009</t>
  </si>
  <si>
    <t>CUST100728</t>
  </si>
  <si>
    <t>Central</t>
  </si>
  <si>
    <t>CMP202601011</t>
  </si>
  <si>
    <t>CUST101101</t>
  </si>
  <si>
    <t>CMP202601012</t>
  </si>
  <si>
    <t>CUST101304</t>
  </si>
  <si>
    <t>CMP202601015</t>
  </si>
  <si>
    <t>CUST100970</t>
  </si>
  <si>
    <t>CUST101462</t>
  </si>
  <si>
    <t>CMP202601021</t>
  </si>
  <si>
    <t>CUST100748</t>
  </si>
  <si>
    <t>CMP202601025</t>
  </si>
  <si>
    <t>CUST100230</t>
  </si>
  <si>
    <t>CMP202601035</t>
  </si>
  <si>
    <t>CUST100108</t>
  </si>
  <si>
    <t>CMP202601050</t>
  </si>
  <si>
    <t>CUST101032</t>
  </si>
  <si>
    <t>CMP202601059</t>
  </si>
  <si>
    <t>CUST101135</t>
  </si>
  <si>
    <t>CMP202601074</t>
  </si>
  <si>
    <t>CUST100570</t>
  </si>
  <si>
    <t>CUST101220</t>
  </si>
  <si>
    <t>CMP202601017</t>
  </si>
  <si>
    <t>CUST100529</t>
  </si>
  <si>
    <t>CUST100238</t>
  </si>
  <si>
    <t>CMP202601038</t>
  </si>
  <si>
    <t>CUST101138</t>
  </si>
  <si>
    <t>CMP202601043</t>
  </si>
  <si>
    <t>CUST100274</t>
  </si>
  <si>
    <t>CUST100090</t>
  </si>
  <si>
    <t>CMP202601052</t>
  </si>
  <si>
    <t>CUST101086</t>
  </si>
  <si>
    <t>CUST101383</t>
  </si>
  <si>
    <t>CMP202601002</t>
  </si>
  <si>
    <t>CUST101270</t>
  </si>
  <si>
    <t>CUST100121</t>
  </si>
  <si>
    <t>CUST101466</t>
  </si>
  <si>
    <t>CMP202601023</t>
  </si>
  <si>
    <t>CUST101294</t>
  </si>
  <si>
    <t>CMP202601029</t>
  </si>
  <si>
    <t>CUST101343</t>
  </si>
  <si>
    <t>CMP202601041</t>
  </si>
  <si>
    <t>CUST101312</t>
  </si>
  <si>
    <t>CMP202601042</t>
  </si>
  <si>
    <t>CUST101162</t>
  </si>
  <si>
    <t>CUST101490</t>
  </si>
  <si>
    <t>CUST100367</t>
  </si>
  <si>
    <t>CUST100336</t>
  </si>
  <si>
    <t>CMP202601028</t>
  </si>
  <si>
    <t>CUST100746</t>
  </si>
  <si>
    <t>CMP202601066</t>
  </si>
  <si>
    <t>CUST100414</t>
  </si>
  <si>
    <t>CMP202601020</t>
  </si>
  <si>
    <t>CUST100951</t>
  </si>
  <si>
    <t>CUST101056</t>
  </si>
  <si>
    <t>CUST101322</t>
  </si>
  <si>
    <t>CUST100207</t>
  </si>
  <si>
    <t>CUST101356</t>
  </si>
  <si>
    <t>CUST100945</t>
  </si>
  <si>
    <t>CUST101427</t>
  </si>
  <si>
    <t>CMP202601044</t>
  </si>
  <si>
    <t>CUST100179</t>
  </si>
  <si>
    <t>CMP202601055</t>
  </si>
  <si>
    <t>CUST101291</t>
  </si>
  <si>
    <t>CMP202601005</t>
  </si>
  <si>
    <t>CUST100658</t>
  </si>
  <si>
    <t>CUST100464</t>
  </si>
  <si>
    <t>CUST100197</t>
  </si>
  <si>
    <t>CUST100387</t>
  </si>
  <si>
    <t>CMP202601033</t>
  </si>
  <si>
    <t>CUST101197</t>
  </si>
  <si>
    <t>CUST101227</t>
  </si>
  <si>
    <t>CMP202601051</t>
  </si>
  <si>
    <t>CUST100396</t>
  </si>
  <si>
    <t>CUST101039</t>
  </si>
  <si>
    <t>CUST101265</t>
  </si>
  <si>
    <t>CMP202601004</t>
  </si>
  <si>
    <t>CUST100740</t>
  </si>
  <si>
    <t>CUST101344</t>
  </si>
  <si>
    <t>CUST100697</t>
  </si>
  <si>
    <t>CUST100582</t>
  </si>
  <si>
    <t>CUST100581</t>
  </si>
  <si>
    <t>CUST101007</t>
  </si>
  <si>
    <t>CUST100673</t>
  </si>
  <si>
    <t>CUST100691</t>
  </si>
  <si>
    <t>CUST100497</t>
  </si>
  <si>
    <t>CUST100973</t>
  </si>
  <si>
    <t>CUST100623</t>
  </si>
  <si>
    <t>CMP202601060</t>
  </si>
  <si>
    <t>CUST101186</t>
  </si>
  <si>
    <t>CUST101328</t>
  </si>
  <si>
    <t>CMP202601014</t>
  </si>
  <si>
    <t>CUST101469</t>
  </si>
  <si>
    <t>CMP202601026</t>
  </si>
  <si>
    <t>CUST100540</t>
  </si>
  <si>
    <t>CUST101372</t>
  </si>
  <si>
    <t>CMP202601057</t>
  </si>
  <si>
    <t>CUST100037</t>
  </si>
  <si>
    <t>CUST100348</t>
  </si>
  <si>
    <t>CMP202601078</t>
  </si>
  <si>
    <t>CUST100114</t>
  </si>
  <si>
    <t>CMP202601008</t>
  </si>
  <si>
    <t>CUST101260</t>
  </si>
  <si>
    <t>CUST101320</t>
  </si>
  <si>
    <t>CUST100180</t>
  </si>
  <si>
    <t>CMP202601031</t>
  </si>
  <si>
    <t>CUST100173</t>
  </si>
  <si>
    <t>CUST101051</t>
  </si>
  <si>
    <t>CUST100960</t>
  </si>
  <si>
    <t>CMP202601054</t>
  </si>
  <si>
    <t>CUST100968</t>
  </si>
  <si>
    <t>CMP202601065</t>
  </si>
  <si>
    <t>CUST100923</t>
  </si>
  <si>
    <t>CUST100651</t>
  </si>
  <si>
    <t>CUST100694</t>
  </si>
  <si>
    <t>CMP202601040</t>
  </si>
  <si>
    <t>CUST100784</t>
  </si>
  <si>
    <t>CUST101279</t>
  </si>
  <si>
    <t>CMP202601072</t>
  </si>
  <si>
    <t>CUST100776</t>
  </si>
  <si>
    <t>CUST100492</t>
  </si>
  <si>
    <t>CMP202601032</t>
  </si>
  <si>
    <t>CUST100796</t>
  </si>
  <si>
    <t>CMP202601039</t>
  </si>
  <si>
    <t>CUST100777</t>
  </si>
  <si>
    <t>CUST100683</t>
  </si>
  <si>
    <t>CUST100295</t>
  </si>
  <si>
    <t>CUST100643</t>
  </si>
  <si>
    <t>CUST100587</t>
  </si>
  <si>
    <t>CMP202601056</t>
  </si>
  <si>
    <t>CUST100896</t>
  </si>
  <si>
    <t>CMP202601063</t>
  </si>
  <si>
    <t>CUST100949</t>
  </si>
  <si>
    <t>CMP202601064</t>
  </si>
  <si>
    <t>CUST100714</t>
  </si>
  <si>
    <t>CUST100104</t>
  </si>
  <si>
    <t>CUST100306</t>
  </si>
  <si>
    <t>CUST100393</t>
  </si>
  <si>
    <t>CMP202601018</t>
  </si>
  <si>
    <t>CUST100852</t>
  </si>
  <si>
    <t>CUST100760</t>
  </si>
  <si>
    <t>CUST100981</t>
  </si>
  <si>
    <t>CUST100407</t>
  </si>
  <si>
    <t>CMP202601053</t>
  </si>
  <si>
    <t>CUST101021</t>
  </si>
  <si>
    <t>CMP202601071</t>
  </si>
  <si>
    <t>CUST100479</t>
  </si>
  <si>
    <t>CUST101323</t>
  </si>
  <si>
    <t>CUST100510</t>
  </si>
  <si>
    <t>CMP202601034</t>
  </si>
  <si>
    <t>CUST100364</t>
  </si>
  <si>
    <t>CUST100248</t>
  </si>
  <si>
    <t>CUST100351</t>
  </si>
  <si>
    <t>CUST100259</t>
  </si>
  <si>
    <t>CMP202601045</t>
  </si>
  <si>
    <t>CUST100286</t>
  </si>
  <si>
    <t>CUST100433</t>
  </si>
  <si>
    <t>CMP202601049</t>
  </si>
  <si>
    <t>CUST101130</t>
  </si>
  <si>
    <t>CUST101116</t>
  </si>
  <si>
    <t>CUST100551</t>
  </si>
  <si>
    <t>CUST100142</t>
  </si>
  <si>
    <t>CUST101006</t>
  </si>
  <si>
    <t>CUST100818</t>
  </si>
  <si>
    <t>CUST100732</t>
  </si>
  <si>
    <t>CUST101040</t>
  </si>
  <si>
    <t>CUST100723</t>
  </si>
  <si>
    <t>CUST100429</t>
  </si>
  <si>
    <t>CUST101432</t>
  </si>
  <si>
    <t>CUST100205</t>
  </si>
  <si>
    <t>CUST100524</t>
  </si>
  <si>
    <t>CUST100040</t>
  </si>
  <si>
    <t>CUST101342</t>
  </si>
  <si>
    <t>CUST100305</t>
  </si>
  <si>
    <t>CMP202601047</t>
  </si>
  <si>
    <t>CUST100621</t>
  </si>
  <si>
    <t>CUST101052</t>
  </si>
  <si>
    <t>CUST100942</t>
  </si>
  <si>
    <t>CUST101002</t>
  </si>
  <si>
    <t>CUST101024</t>
  </si>
  <si>
    <t>CUST100870</t>
  </si>
  <si>
    <t>CUST100773</t>
  </si>
  <si>
    <t>CMP202601019</t>
  </si>
  <si>
    <t>CUST101209</t>
  </si>
  <si>
    <t>CUST100583</t>
  </si>
  <si>
    <t>CUST100851</t>
  </si>
  <si>
    <t>CMP202601077</t>
  </si>
  <si>
    <t>CUST101318</t>
  </si>
  <si>
    <t>CUST100296</t>
  </si>
  <si>
    <t>CUST101066</t>
  </si>
  <si>
    <t>CMP202601027</t>
  </si>
  <si>
    <t>CUST100485</t>
  </si>
  <si>
    <t>CMP202601030</t>
  </si>
  <si>
    <t>CUST100171</t>
  </si>
  <si>
    <t>CUST100140</t>
  </si>
  <si>
    <t>CUST101121</t>
  </si>
  <si>
    <t>CUST100705</t>
  </si>
  <si>
    <t>CMP202601058</t>
  </si>
  <si>
    <t>CUST100666</t>
  </si>
  <si>
    <t>CMP202601061</t>
  </si>
  <si>
    <t>CUST100734</t>
  </si>
  <si>
    <t>CUST100468</t>
  </si>
  <si>
    <t>CMP202601073</t>
  </si>
  <si>
    <t>CUST101388</t>
  </si>
  <si>
    <t>CMP202601079</t>
  </si>
  <si>
    <t>CUST100648</t>
  </si>
  <si>
    <t>CUST100698</t>
  </si>
  <si>
    <t>CUST101429</t>
  </si>
  <si>
    <t>CUST100404</t>
  </si>
  <si>
    <t>CUST100569</t>
  </si>
  <si>
    <t>CUST100946</t>
  </si>
  <si>
    <t>CUST100677</t>
  </si>
  <si>
    <t>CUST101485</t>
  </si>
  <si>
    <t>CUST100563</t>
  </si>
  <si>
    <t>CUST100392</t>
  </si>
  <si>
    <t>CUST100521</t>
  </si>
  <si>
    <t>CUST100196</t>
  </si>
  <si>
    <t>CUST100801</t>
  </si>
  <si>
    <t>CUST100653</t>
  </si>
  <si>
    <t>CUST101174</t>
  </si>
  <si>
    <t>CMP202601013</t>
  </si>
  <si>
    <t>CUST100081</t>
  </si>
  <si>
    <t>CUST100068</t>
  </si>
  <si>
    <t>CUST100438</t>
  </si>
  <si>
    <t>CUST100741</t>
  </si>
  <si>
    <t>CUST100342</t>
  </si>
  <si>
    <t>CMP202601046</t>
  </si>
  <si>
    <t>CUST101333</t>
  </si>
  <si>
    <t>CUST101194</t>
  </si>
  <si>
    <t>CUST100690</t>
  </si>
  <si>
    <t>CUST100333</t>
  </si>
  <si>
    <t>CMP202601001</t>
  </si>
  <si>
    <t>CUST100035</t>
  </si>
  <si>
    <t>CMP202601003</t>
  </si>
  <si>
    <t>CUST100314</t>
  </si>
  <si>
    <t>CUST101324</t>
  </si>
  <si>
    <t>CUST100816</t>
  </si>
  <si>
    <t>CUST100083</t>
  </si>
  <si>
    <t>CUST101475</t>
  </si>
  <si>
    <t>CUST100899</t>
  </si>
  <si>
    <t>CUST100907</t>
  </si>
  <si>
    <t>CUST100300</t>
  </si>
  <si>
    <t>CUST101285</t>
  </si>
  <si>
    <t>CUST100578</t>
  </si>
  <si>
    <t>CMP202601062</t>
  </si>
  <si>
    <t>CUST101214</t>
  </si>
  <si>
    <t>CUST101250</t>
  </si>
  <si>
    <t>CUST100768</t>
  </si>
  <si>
    <t>CUST101293</t>
  </si>
  <si>
    <t>CUST100265</t>
  </si>
  <si>
    <t>CUST100712</t>
  </si>
  <si>
    <t>CUST100525</t>
  </si>
  <si>
    <t>CUST100389</t>
  </si>
  <si>
    <t>CUST100452</t>
  </si>
  <si>
    <t>CUST100715</t>
  </si>
  <si>
    <t>CUST101185</t>
  </si>
  <si>
    <t>CUST101062</t>
  </si>
  <si>
    <t>CUST100463</t>
  </si>
  <si>
    <t>CUST100749</t>
  </si>
  <si>
    <t>CUST100302</t>
  </si>
  <si>
    <t>CUST100550</t>
  </si>
  <si>
    <t>CMP202602014</t>
  </si>
  <si>
    <t>CUST100110</t>
  </si>
  <si>
    <t>CMP202602039</t>
  </si>
  <si>
    <t>CUST101386</t>
  </si>
  <si>
    <t>CMP202602046</t>
  </si>
  <si>
    <t>CUST100920</t>
  </si>
  <si>
    <t>CMP202602055</t>
  </si>
  <si>
    <t>CUST100594</t>
  </si>
  <si>
    <t>CMP202602061</t>
  </si>
  <si>
    <t>CUST101070</t>
  </si>
  <si>
    <t>CMP202602016</t>
  </si>
  <si>
    <t>CUST101467</t>
  </si>
  <si>
    <t>CMP202602033</t>
  </si>
  <si>
    <t>CUST101031</t>
  </si>
  <si>
    <t>CMP202602051</t>
  </si>
  <si>
    <t>CUST100085</t>
  </si>
  <si>
    <t>CMP202602059</t>
  </si>
  <si>
    <t>CUST100077</t>
  </si>
  <si>
    <t>CMP202602069</t>
  </si>
  <si>
    <t>CUST100023</t>
  </si>
  <si>
    <t>CMP202602005</t>
  </si>
  <si>
    <t>CUST100791</t>
  </si>
  <si>
    <t>CMP202602006</t>
  </si>
  <si>
    <t>CUST101394</t>
  </si>
  <si>
    <t>CMP202602017</t>
  </si>
  <si>
    <t>CUST100675</t>
  </si>
  <si>
    <t>CUST100600</t>
  </si>
  <si>
    <t>CUST100447</t>
  </si>
  <si>
    <t>CUST100456</t>
  </si>
  <si>
    <t>CMP202602073</t>
  </si>
  <si>
    <t>CUST100251</t>
  </si>
  <si>
    <t>CMP202602002</t>
  </si>
  <si>
    <t>CUST100003</t>
  </si>
  <si>
    <t>CMP202602015</t>
  </si>
  <si>
    <t>CUST101011</t>
  </si>
  <si>
    <t>CMP202602030</t>
  </si>
  <si>
    <t>CUST101134</t>
  </si>
  <si>
    <t>CUST101422</t>
  </si>
  <si>
    <t>CUST100095</t>
  </si>
  <si>
    <t>CUST101026</t>
  </si>
  <si>
    <t>CMP202602028</t>
  </si>
  <si>
    <t>CUST100007</t>
  </si>
  <si>
    <t>CMP202602043</t>
  </si>
  <si>
    <t>CUST100234</t>
  </si>
  <si>
    <t>CMP202602049</t>
  </si>
  <si>
    <t>CUST100470</t>
  </si>
  <si>
    <t>CMP202602019</t>
  </si>
  <si>
    <t>CUST100013</t>
  </si>
  <si>
    <t>CUST100554</t>
  </si>
  <si>
    <t>CMP202602031</t>
  </si>
  <si>
    <t>CUST101302</t>
  </si>
  <si>
    <t>CUST101268</t>
  </si>
  <si>
    <t>CMP202602052</t>
  </si>
  <si>
    <t>CUST100478</t>
  </si>
  <si>
    <t>CUST101000</t>
  </si>
  <si>
    <t>CUST101142</t>
  </si>
  <si>
    <t>CMP202602062</t>
  </si>
  <si>
    <t>CUST100354</t>
  </si>
  <si>
    <t>CMP202602037</t>
  </si>
  <si>
    <t>CUST101374</t>
  </si>
  <si>
    <t>CUST100892</t>
  </si>
  <si>
    <t>CMP202602064</t>
  </si>
  <si>
    <t>CUST100934</t>
  </si>
  <si>
    <t>CMP202602060</t>
  </si>
  <si>
    <t>CUST100385</t>
  </si>
  <si>
    <t>CMP202602010</t>
  </si>
  <si>
    <t>CUST101114</t>
  </si>
  <si>
    <t>CUST100517</t>
  </si>
  <si>
    <t>CMP202602024</t>
  </si>
  <si>
    <t>CUST101145</t>
  </si>
  <si>
    <t>CMP202602034</t>
  </si>
  <si>
    <t>CUST100335</t>
  </si>
  <si>
    <t>CMP202602053</t>
  </si>
  <si>
    <t>CUST101435</t>
  </si>
  <si>
    <t>CUST100092</t>
  </si>
  <si>
    <t>CMP202602013</t>
  </si>
  <si>
    <t>CUST100895</t>
  </si>
  <si>
    <t>CUST101355</t>
  </si>
  <si>
    <t>CUST100005</t>
  </si>
  <si>
    <t>CMP202602044</t>
  </si>
  <si>
    <t>CUST101112</t>
  </si>
  <si>
    <t>CUST100929</t>
  </si>
  <si>
    <t>CUST101412</t>
  </si>
  <si>
    <t>CUST100355</t>
  </si>
  <si>
    <t>CMP202602032</t>
  </si>
  <si>
    <t>CUST100398</t>
  </si>
  <si>
    <t>CMP202602074</t>
  </si>
  <si>
    <t>CUST100307</t>
  </si>
  <si>
    <t>CMP202602008</t>
  </si>
  <si>
    <t>CUST100268</t>
  </si>
  <si>
    <t>CUST100120</t>
  </si>
  <si>
    <t>CUST100101</t>
  </si>
  <si>
    <t>CUST101161</t>
  </si>
  <si>
    <t>CMP202602011</t>
  </si>
  <si>
    <t>CUST100985</t>
  </si>
  <si>
    <t>CMP202602035</t>
  </si>
  <si>
    <t>CUST100025</t>
  </si>
  <si>
    <t>CMP202602067</t>
  </si>
  <si>
    <t>CUST100592</t>
  </si>
  <si>
    <t>CMP202602001</t>
  </si>
  <si>
    <t>CUST101311</t>
  </si>
  <si>
    <t>CUST101177</t>
  </si>
  <si>
    <t>CMP202602022</t>
  </si>
  <si>
    <t>CUST100270</t>
  </si>
  <si>
    <t>CMP202602029</t>
  </si>
  <si>
    <t>CUST100183</t>
  </si>
  <si>
    <t>CMP202602063</t>
  </si>
  <si>
    <t>CUST100689</t>
  </si>
  <si>
    <t>CMP202602004</t>
  </si>
  <si>
    <t>CUST101426</t>
  </si>
  <si>
    <t>CUST100595</t>
  </si>
  <si>
    <t>CUST100064</t>
  </si>
  <si>
    <t>CUST101123</t>
  </si>
  <si>
    <t>CUST100034</t>
  </si>
  <si>
    <t>CMP202602078</t>
  </si>
  <si>
    <t>CUST101262</t>
  </si>
  <si>
    <t>CUST101290</t>
  </si>
  <si>
    <t>CUST101129</t>
  </si>
  <si>
    <t>CUST101061</t>
  </si>
  <si>
    <t>CUST100093</t>
  </si>
  <si>
    <t>CMP202602075</t>
  </si>
  <si>
    <t>CUST100131</t>
  </si>
  <si>
    <t>CUST100016</t>
  </si>
  <si>
    <t>CUST100548</t>
  </si>
  <si>
    <t>CUST101242</t>
  </si>
  <si>
    <t>CUST100974</t>
  </si>
  <si>
    <t>CMP202602057</t>
  </si>
  <si>
    <t>CUST100221</t>
  </si>
  <si>
    <t>CUST100241</t>
  </si>
  <si>
    <t>CMP202602077</t>
  </si>
  <si>
    <t>CUST101033</t>
  </si>
  <si>
    <t>CUST101125</t>
  </si>
  <si>
    <t>CMP202602041</t>
  </si>
  <si>
    <t>CUST100454</t>
  </si>
  <si>
    <t>CMP202602045</t>
  </si>
  <si>
    <t>CUST100285</t>
  </si>
  <si>
    <t>CMP202602072</t>
  </si>
  <si>
    <t>CUST100310</t>
  </si>
  <si>
    <t>CUST100996</t>
  </si>
  <si>
    <t>CMP202602009</t>
  </si>
  <si>
    <t>CUST100340</t>
  </si>
  <si>
    <t>CUST101054</t>
  </si>
  <si>
    <t>CUST100271</t>
  </si>
  <si>
    <t>CUST100356</t>
  </si>
  <si>
    <t>CUST101107</t>
  </si>
  <si>
    <t>CUST100729</t>
  </si>
  <si>
    <t>CUST100413</t>
  </si>
  <si>
    <t>CUST101341</t>
  </si>
  <si>
    <t>CUST101149</t>
  </si>
  <si>
    <t>CMP202602012</t>
  </si>
  <si>
    <t>CUST101417</t>
  </si>
  <si>
    <t>CUST100758</t>
  </si>
  <si>
    <t>CUST101308</t>
  </si>
  <si>
    <t>CUST100002</t>
  </si>
  <si>
    <t>CMP202602070</t>
  </si>
  <si>
    <t>CUST100158</t>
  </si>
  <si>
    <t>CUST101418</t>
  </si>
  <si>
    <t>CMP202602027</t>
  </si>
  <si>
    <t>CUST101442</t>
  </si>
  <si>
    <t>CUST100867</t>
  </si>
  <si>
    <t>CUST100038</t>
  </si>
  <si>
    <t>CUST100284</t>
  </si>
  <si>
    <t>CMP202602003</t>
  </si>
  <si>
    <t>CUST100219</t>
  </si>
  <si>
    <t>CUST100020</t>
  </si>
  <si>
    <t>CUST100629</t>
  </si>
  <si>
    <t>CUST101187</t>
  </si>
  <si>
    <t>CUST101001</t>
  </si>
  <si>
    <t>CUST100616</t>
  </si>
  <si>
    <t>CUST100804</t>
  </si>
  <si>
    <t>CMP202602066</t>
  </si>
  <si>
    <t>CUST101245</t>
  </si>
  <si>
    <t>CUST100344</t>
  </si>
  <si>
    <t>CUST100557</t>
  </si>
  <si>
    <t>CMP202602038</t>
  </si>
  <si>
    <t>CUST100195</t>
  </si>
  <si>
    <t>CUST100753</t>
  </si>
  <si>
    <t>CUST101381</t>
  </si>
  <si>
    <t>CUST100182</t>
  </si>
  <si>
    <t>CMP202602023</t>
  </si>
  <si>
    <t>CUST100613</t>
  </si>
  <si>
    <t>CMP202602026</t>
  </si>
  <si>
    <t>CUST100448</t>
  </si>
  <si>
    <t>CUST101310</t>
  </si>
  <si>
    <t>CUST101137</t>
  </si>
  <si>
    <t>CMP202602018</t>
  </si>
  <si>
    <t>CUST100730</t>
  </si>
  <si>
    <t>CUST100513</t>
  </si>
  <si>
    <t>CUST100327</t>
  </si>
  <si>
    <t>CUST100722</t>
  </si>
  <si>
    <t>CUST100993</t>
  </si>
  <si>
    <t>CMP202602071</t>
  </si>
  <si>
    <t>CUST100228</t>
  </si>
  <si>
    <t>CUST101430</t>
  </si>
  <si>
    <t>CUST101055</t>
  </si>
  <si>
    <t>CMP202602021</t>
  </si>
  <si>
    <t>CUST100747</t>
  </si>
  <si>
    <t>CUST101391</t>
  </si>
  <si>
    <t>CUST100388</t>
  </si>
  <si>
    <t>CUST100606</t>
  </si>
  <si>
    <t>CUST100360</t>
  </si>
  <si>
    <t>CUST100445</t>
  </si>
  <si>
    <t>CMP202602058</t>
  </si>
  <si>
    <t>CUST100250</t>
  </si>
  <si>
    <t>CMP202602068</t>
  </si>
  <si>
    <t>CUST101207</t>
  </si>
  <si>
    <t>CUST101180</t>
  </si>
  <si>
    <t>CUST100155</t>
  </si>
  <si>
    <t>CUST101230</t>
  </si>
  <si>
    <t>CUST100605</t>
  </si>
  <si>
    <t>CUST101132</t>
  </si>
  <si>
    <t>CMP202602025</t>
  </si>
  <si>
    <t>CUST100184</t>
  </si>
  <si>
    <t>CUST100701</t>
  </si>
  <si>
    <t>CUST100500</t>
  </si>
  <si>
    <t>CUST101281</t>
  </si>
  <si>
    <t>CUST100163</t>
  </si>
  <si>
    <t>CUST101226</t>
  </si>
  <si>
    <t>CUST100188</t>
  </si>
  <si>
    <t>CUST101351</t>
  </si>
  <si>
    <t>CUST100073</t>
  </si>
  <si>
    <t>CMP202603057</t>
  </si>
  <si>
    <t>CUST100239</t>
  </si>
  <si>
    <t>CMP202603068</t>
  </si>
  <si>
    <t>CUST100861</t>
  </si>
  <si>
    <t>CMP202603001</t>
  </si>
  <si>
    <t>CUST101276</t>
  </si>
  <si>
    <t>CMP202603003</t>
  </si>
  <si>
    <t>CUST100066</t>
  </si>
  <si>
    <t>CUST101043</t>
  </si>
  <si>
    <t>CMP202603033</t>
  </si>
  <si>
    <t>CUST100149</t>
  </si>
  <si>
    <t>CMP202603058</t>
  </si>
  <si>
    <t>CUST101168</t>
  </si>
  <si>
    <t>CUST100243</t>
  </si>
  <si>
    <t>CMP202603008</t>
  </si>
  <si>
    <t>CUST100377</t>
  </si>
  <si>
    <t>CUST100021</t>
  </si>
  <si>
    <t>CMP202603060</t>
  </si>
  <si>
    <t>CUST100718</t>
  </si>
  <si>
    <t>CMP202603077</t>
  </si>
  <si>
    <t>CUST100593</t>
  </si>
  <si>
    <t>CMP202603004</t>
  </si>
  <si>
    <t>CUST100212</t>
  </si>
  <si>
    <t>CMP202603006</t>
  </si>
  <si>
    <t>CUST100249</t>
  </si>
  <si>
    <t>CMP202603034</t>
  </si>
  <si>
    <t>CUST100209</t>
  </si>
  <si>
    <t>CMP202603040</t>
  </si>
  <si>
    <t>CUST100240</t>
  </si>
  <si>
    <t>CMP202603049</t>
  </si>
  <si>
    <t>CUST100905</t>
  </si>
  <si>
    <t>CMP202603070</t>
  </si>
  <si>
    <t>CUST100541</t>
  </si>
  <si>
    <t>CMP202603072</t>
  </si>
  <si>
    <t>CUST100558</t>
  </si>
  <si>
    <t>CMP202603073</t>
  </si>
  <si>
    <t>CUST101004</t>
  </si>
  <si>
    <t>CUST100817</t>
  </si>
  <si>
    <t>CMP202603013</t>
  </si>
  <si>
    <t>CUST100527</t>
  </si>
  <si>
    <t>CMP202603062</t>
  </si>
  <si>
    <t>CUST100224</t>
  </si>
  <si>
    <t>CMP202603071</t>
  </si>
  <si>
    <t>CUST100655</t>
  </si>
  <si>
    <t>CMP202603027</t>
  </si>
  <si>
    <t>CUST101274</t>
  </si>
  <si>
    <t>CMP202603038</t>
  </si>
  <si>
    <t>CUST100399</t>
  </si>
  <si>
    <t>CMP202603074</t>
  </si>
  <si>
    <t>CUST100523</t>
  </si>
  <si>
    <t>CMP202603039</t>
  </si>
  <si>
    <t>CUST101370</t>
  </si>
  <si>
    <t>CMP202603044</t>
  </si>
  <si>
    <t>CUST100906</t>
  </si>
  <si>
    <t>CMP202603063</t>
  </si>
  <si>
    <t>CUST100969</t>
  </si>
  <si>
    <t>CUST101225</t>
  </si>
  <si>
    <t>CMP202603007</t>
  </si>
  <si>
    <t>CUST101205</t>
  </si>
  <si>
    <t>CMP202603021</t>
  </si>
  <si>
    <t>CUST100112</t>
  </si>
  <si>
    <t>CMP202603045</t>
  </si>
  <si>
    <t>CUST100774</t>
  </si>
  <si>
    <t>CUST100380</t>
  </si>
  <si>
    <t>CUST101359</t>
  </si>
  <si>
    <t>CUST101102</t>
  </si>
  <si>
    <t>CMP202603010</t>
  </si>
  <si>
    <t>CUST100080</t>
  </si>
  <si>
    <t>CMP202603024</t>
  </si>
  <si>
    <t>CUST100767</t>
  </si>
  <si>
    <t>CMP202603025</t>
  </si>
  <si>
    <t>CUST100626</t>
  </si>
  <si>
    <t>CUST101016</t>
  </si>
  <si>
    <t>CUST101258</t>
  </si>
  <si>
    <t>CUST100559</t>
  </si>
  <si>
    <t>CMP202603019</t>
  </si>
  <si>
    <t>CUST100515</t>
  </si>
  <si>
    <t>CUST100325</t>
  </si>
  <si>
    <t>CMP202603050</t>
  </si>
  <si>
    <t>CUST100474</t>
  </si>
  <si>
    <t>CUST100614</t>
  </si>
  <si>
    <t>CUST100779</t>
  </si>
  <si>
    <t>CUST100519</t>
  </si>
  <si>
    <t>CUST100133</t>
  </si>
  <si>
    <t>CUST100281</t>
  </si>
  <si>
    <t>CUST100624</t>
  </si>
  <si>
    <t>CUST100650</t>
  </si>
  <si>
    <t>CMP202603047</t>
  </si>
  <si>
    <t>CUST100958</t>
  </si>
  <si>
    <t>CUST100633</t>
  </si>
  <si>
    <t>CMP202603065</t>
  </si>
  <si>
    <t>CUST100962</t>
  </si>
  <si>
    <t>CMP202603067</t>
  </si>
  <si>
    <t>CUST100369</t>
  </si>
  <si>
    <t>CUST101354</t>
  </si>
  <si>
    <t>CMP202603009</t>
  </si>
  <si>
    <t>CUST100054</t>
  </si>
  <si>
    <t>CMP202603016</t>
  </si>
  <si>
    <t>CUST101365</t>
  </si>
  <si>
    <t>CMP202603017</t>
  </si>
  <si>
    <t>CUST101103</t>
  </si>
  <si>
    <t>CMP202603023</t>
  </si>
  <si>
    <t>CUST101307</t>
  </si>
  <si>
    <t>CMP202603036</t>
  </si>
  <si>
    <t>CUST100379</t>
  </si>
  <si>
    <t>CUST101390</t>
  </si>
  <si>
    <t>CUST100242</t>
  </si>
  <si>
    <t>CMP202603043</t>
  </si>
  <si>
    <t>CUST100847</t>
  </si>
  <si>
    <t>CMP202603046</t>
  </si>
  <si>
    <t>CUST100984</t>
  </si>
  <si>
    <t>CMP202603061</t>
  </si>
  <si>
    <t>CUST100805</t>
  </si>
  <si>
    <t>CMP202603069</t>
  </si>
  <si>
    <t>CUST101200</t>
  </si>
  <si>
    <t>CUST100475</t>
  </si>
  <si>
    <t>CMP202603075</t>
  </si>
  <si>
    <t>CUST100280</t>
  </si>
  <si>
    <t>CMP202603079</t>
  </si>
  <si>
    <t>CUST100842</t>
  </si>
  <si>
    <t>CUST101099</t>
  </si>
  <si>
    <t>CUST100810</t>
  </si>
  <si>
    <t>CUST100916</t>
  </si>
  <si>
    <t>CUST100339</t>
  </si>
  <si>
    <t>CMP202603020</t>
  </si>
  <si>
    <t>CUST100941</t>
  </si>
  <si>
    <t>CUST100919</t>
  </si>
  <si>
    <t>CUST100067</t>
  </si>
  <si>
    <t>CUST101080</t>
  </si>
  <si>
    <t>CUST100678</t>
  </si>
  <si>
    <t>CMP202603029</t>
  </si>
  <si>
    <t>CUST100660</t>
  </si>
  <si>
    <t>CMP202603030</t>
  </si>
  <si>
    <t>CUST100644</t>
  </si>
  <si>
    <t>CMP202603042</t>
  </si>
  <si>
    <t>CUST100103</t>
  </si>
  <si>
    <t>CUST100053</t>
  </si>
  <si>
    <t>CMP202603059</t>
  </si>
  <si>
    <t>CUST101036</t>
  </si>
  <si>
    <t>CUST100462</t>
  </si>
  <si>
    <t>CUST100311</t>
  </si>
  <si>
    <t>CUST100739</t>
  </si>
  <si>
    <t>CUST100917</t>
  </si>
  <si>
    <t>CUST100026</t>
  </si>
  <si>
    <t>CMP202603018</t>
  </si>
  <si>
    <t>CUST101159</t>
  </si>
  <si>
    <t>CUST101196</t>
  </si>
  <si>
    <t>CUST100833</t>
  </si>
  <si>
    <t>CMP202603052</t>
  </si>
  <si>
    <t>CUST100604</t>
  </si>
  <si>
    <t>CUST100979</t>
  </si>
  <si>
    <t>CMP202603066</t>
  </si>
  <si>
    <t>CUST101321</t>
  </si>
  <si>
    <t>CUST100298</t>
  </si>
  <si>
    <t>CUST100811</t>
  </si>
  <si>
    <t>CUST100301</t>
  </si>
  <si>
    <t>CMP202603002</t>
  </si>
  <si>
    <t>CUST100597</t>
  </si>
  <si>
    <t>CUST101378</t>
  </si>
  <si>
    <t>CUST100102</t>
  </si>
  <si>
    <t>CMP202603037</t>
  </si>
  <si>
    <t>CUST100060</t>
  </si>
  <si>
    <t>CUST100058</t>
  </si>
  <si>
    <t>CUST100518</t>
  </si>
  <si>
    <t>CUST100693</t>
  </si>
  <si>
    <t>CUST101497</t>
  </si>
  <si>
    <t>CUST100538</t>
  </si>
  <si>
    <t>CUST101421</t>
  </si>
  <si>
    <t>CUST101029</t>
  </si>
  <si>
    <t>CMP202603031</t>
  </si>
  <si>
    <t>CUST101448</t>
  </si>
  <si>
    <t>CUST101396</t>
  </si>
  <si>
    <t>CMP202603054</t>
  </si>
  <si>
    <t>CUST100279</t>
  </si>
  <si>
    <t>CMP202603078</t>
  </si>
  <si>
    <t>CUST101019</t>
  </si>
  <si>
    <t>CUST101022</t>
  </si>
  <si>
    <t>CUST100522</t>
  </si>
  <si>
    <t>CUST100287</t>
  </si>
  <si>
    <t>CUST101038</t>
  </si>
  <si>
    <t>CUST101271</t>
  </si>
  <si>
    <t>CMP202603051</t>
  </si>
  <si>
    <t>CUST100819</t>
  </si>
  <si>
    <t>CUST100679</t>
  </si>
  <si>
    <t>CUST100330</t>
  </si>
  <si>
    <t>CUST100755</t>
  </si>
  <si>
    <t>CUST100639</t>
  </si>
  <si>
    <t>CUST100827</t>
  </si>
  <si>
    <t>CUST101182</t>
  </si>
  <si>
    <t>CUST101392</t>
  </si>
  <si>
    <t>CUST101369</t>
  </si>
  <si>
    <t>CUST100418</t>
  </si>
  <si>
    <t>CUST101353</t>
  </si>
  <si>
    <t>CUST100765</t>
  </si>
  <si>
    <t>CMP202603032</t>
  </si>
  <si>
    <t>CUST100890</t>
  </si>
  <si>
    <t>CMP202603048</t>
  </si>
  <si>
    <t>CUST101248</t>
  </si>
  <si>
    <t>CUST100682</t>
  </si>
  <si>
    <t>CUST101170</t>
  </si>
  <si>
    <t>CUST100227</t>
  </si>
  <si>
    <t>CUST101319</t>
  </si>
  <si>
    <t>CUST101157</t>
  </si>
  <si>
    <t>CUST100799</t>
  </si>
  <si>
    <t>CUST100813</t>
  </si>
  <si>
    <t>CUST101436</t>
  </si>
  <si>
    <t>CUST100036</t>
  </si>
  <si>
    <t>CUST100057</t>
  </si>
  <si>
    <t>CUST100189</t>
  </si>
  <si>
    <t>CUST100584</t>
  </si>
  <si>
    <t>CUST100365</t>
  </si>
  <si>
    <t>CMP202603056</t>
  </si>
  <si>
    <t>CUST101195</t>
  </si>
  <si>
    <t>CUST100769</t>
  </si>
  <si>
    <t>CUST100440</t>
  </si>
  <si>
    <t>CMP202603012</t>
  </si>
  <si>
    <t>CUST100967</t>
  </si>
  <si>
    <t>CUST100882</t>
  </si>
  <si>
    <t>CUST101440</t>
  </si>
  <si>
    <t>CUST101301</t>
  </si>
  <si>
    <t>CMP202603026</t>
  </si>
  <si>
    <t>CUST100273</t>
  </si>
  <si>
    <t>CUST101009</t>
  </si>
  <si>
    <t>CUST100877</t>
  </si>
  <si>
    <t>CUST100573</t>
  </si>
  <si>
    <t>CMP202603053</t>
  </si>
  <si>
    <t>CUST100814</t>
  </si>
  <si>
    <t>CMP202603064</t>
  </si>
  <si>
    <t>CUST100138</t>
  </si>
  <si>
    <t>CUST100175</t>
  </si>
  <si>
    <t>CUST100466</t>
  </si>
  <si>
    <t>CUST100664</t>
  </si>
  <si>
    <t>CUST100079</t>
  </si>
  <si>
    <t>CUST100469</t>
  </si>
  <si>
    <t>CUST101456</t>
  </si>
  <si>
    <t>CUST100720</t>
  </si>
  <si>
    <t>CMP202603022</t>
  </si>
  <si>
    <t>CUST101179</t>
  </si>
  <si>
    <t>CUST100136</t>
  </si>
  <si>
    <t>CUST101480</t>
  </si>
  <si>
    <t>CUST100866</t>
  </si>
  <si>
    <t>CUST101350</t>
  </si>
  <si>
    <t>CUST100692</t>
  </si>
  <si>
    <t>CUST100098</t>
  </si>
  <si>
    <t>CMP202604016</t>
  </si>
  <si>
    <t>CUST100122</t>
  </si>
  <si>
    <t>CMP202604031</t>
  </si>
  <si>
    <t>CUST100763</t>
  </si>
  <si>
    <t>CMP202604038</t>
  </si>
  <si>
    <t>CUST100889</t>
  </si>
  <si>
    <t>CMP202604041</t>
  </si>
  <si>
    <t>CUST100512</t>
  </si>
  <si>
    <t>CMP202604053</t>
  </si>
  <si>
    <t>CUST100191</t>
  </si>
  <si>
    <t>CMP202604069</t>
  </si>
  <si>
    <t>CUST100489</t>
  </si>
  <si>
    <t>CMP202604073</t>
  </si>
  <si>
    <t>CUST100450</t>
  </si>
  <si>
    <t>CMP202604018</t>
  </si>
  <si>
    <t>CUST100908</t>
  </si>
  <si>
    <t>CMP202604042</t>
  </si>
  <si>
    <t>CUST100331</t>
  </si>
  <si>
    <t>CUST100417</t>
  </si>
  <si>
    <t>CMP202604065</t>
  </si>
  <si>
    <t>CUST100439</t>
  </si>
  <si>
    <t>CMP202604072</t>
  </si>
  <si>
    <t>CUST100831</t>
  </si>
  <si>
    <t>CMP202604009</t>
  </si>
  <si>
    <t>CUST100190</t>
  </si>
  <si>
    <t>CMP202604017</t>
  </si>
  <si>
    <t>CUST100208</t>
  </si>
  <si>
    <t>CMP202604036</t>
  </si>
  <si>
    <t>CUST101191</t>
  </si>
  <si>
    <t>CMP202604047</t>
  </si>
  <si>
    <t>CUST100294</t>
  </si>
  <si>
    <t>CMP202604048</t>
  </si>
  <si>
    <t>CUST100914</t>
  </si>
  <si>
    <t>CMP202604050</t>
  </si>
  <si>
    <t>CUST100591</t>
  </si>
  <si>
    <t>CMP202604063</t>
  </si>
  <si>
    <t>CUST100717</t>
  </si>
  <si>
    <t>CMP202604064</t>
  </si>
  <si>
    <t>CUST100218</t>
  </si>
  <si>
    <t>CMP202604004</t>
  </si>
  <si>
    <t>CUST100926</t>
  </si>
  <si>
    <t>CMP202604012</t>
  </si>
  <si>
    <t>CUST100473</t>
  </si>
  <si>
    <t>CMP202604044</t>
  </si>
  <si>
    <t>CUST100442</t>
  </si>
  <si>
    <t>CMP202604046</t>
  </si>
  <si>
    <t>CUST101097</t>
  </si>
  <si>
    <t>CUST101405</t>
  </si>
  <si>
    <t>CUST101298</t>
  </si>
  <si>
    <t>CMP202604013</t>
  </si>
  <si>
    <t>CUST101210</t>
  </si>
  <si>
    <t>CUST101263</t>
  </si>
  <si>
    <t>CUST101255</t>
  </si>
  <si>
    <t>CMP202604052</t>
  </si>
  <si>
    <t>CUST100113</t>
  </si>
  <si>
    <t>CUST100684</t>
  </si>
  <si>
    <t>CMP202604008</t>
  </si>
  <si>
    <t>CUST101303</t>
  </si>
  <si>
    <t>CMP202604024</t>
  </si>
  <si>
    <t>CUST100848</t>
  </si>
  <si>
    <t>CUST100737</t>
  </si>
  <si>
    <t>CUST101261</t>
  </si>
  <si>
    <t>CMP202604058</t>
  </si>
  <si>
    <t>CUST100009</t>
  </si>
  <si>
    <t>CMP202604002</t>
  </si>
  <si>
    <t>CUST100211</t>
  </si>
  <si>
    <t>CMP202604003</t>
  </si>
  <si>
    <t>CUST100011</t>
  </si>
  <si>
    <t>CMP202604010</t>
  </si>
  <si>
    <t>CUST101486</t>
  </si>
  <si>
    <t>CMP202604022</t>
  </si>
  <si>
    <t>CUST100441</t>
  </si>
  <si>
    <t>CUST101438</t>
  </si>
  <si>
    <t>CMP202604033</t>
  </si>
  <si>
    <t>CUST100086</t>
  </si>
  <si>
    <t>CUST101095</t>
  </si>
  <si>
    <t>CMP202604055</t>
  </si>
  <si>
    <t>CUST101376</t>
  </si>
  <si>
    <t>CMP202604059</t>
  </si>
  <si>
    <t>CUST100202</t>
  </si>
  <si>
    <t>CUST100674</t>
  </si>
  <si>
    <t>CMP202604070</t>
  </si>
  <si>
    <t>CUST100107</t>
  </si>
  <si>
    <t>CMP202604076</t>
  </si>
  <si>
    <t>CUST100990</t>
  </si>
  <si>
    <t>CMP202604078</t>
  </si>
  <si>
    <t>CUST100903</t>
  </si>
  <si>
    <t>CMP202604026</t>
  </si>
  <si>
    <t>CUST100971</t>
  </si>
  <si>
    <t>CUST100160</t>
  </si>
  <si>
    <t>CUST100542</t>
  </si>
  <si>
    <t>CUST100549</t>
  </si>
  <si>
    <t>CMP202604035</t>
  </si>
  <si>
    <t>CUST100074</t>
  </si>
  <si>
    <t>CMP202604039</t>
  </si>
  <si>
    <t>CUST101223</t>
  </si>
  <si>
    <t>CUST100685</t>
  </si>
  <si>
    <t>CMP202604062</t>
  </si>
  <si>
    <t>CUST100187</t>
  </si>
  <si>
    <t>CMP202604066</t>
  </si>
  <si>
    <t>CUST100854</t>
  </si>
  <si>
    <t>CMP202604006</t>
  </si>
  <si>
    <t>CUST100696</t>
  </si>
  <si>
    <t>CMP202604023</t>
  </si>
  <si>
    <t>CUST100323</t>
  </si>
  <si>
    <t>CMP202604025</t>
  </si>
  <si>
    <t>CUST101471</t>
  </si>
  <si>
    <t>CUST101398</t>
  </si>
  <si>
    <t>CMP202604061</t>
  </si>
  <si>
    <t>CUST100495</t>
  </si>
  <si>
    <t>CUST101092</t>
  </si>
  <si>
    <t>CUST101479</t>
  </si>
  <si>
    <t>CMP202604011</t>
  </si>
  <si>
    <t>CUST100539</t>
  </si>
  <si>
    <t>CUST100159</t>
  </si>
  <si>
    <t>CMP202604029</t>
  </si>
  <si>
    <t>CUST100075</t>
  </si>
  <si>
    <t>CUST100116</t>
  </si>
  <si>
    <t>CMP202604074</t>
  </si>
  <si>
    <t>CUST100826</t>
  </si>
  <si>
    <t>CMP202604014</t>
  </si>
  <si>
    <t>CUST100702</t>
  </si>
  <si>
    <t>CMP202604020</t>
  </si>
  <si>
    <t>CUST100532</t>
  </si>
  <si>
    <t>CUST101147</t>
  </si>
  <si>
    <t>CUST101005</t>
  </si>
  <si>
    <t>CUST101288</t>
  </si>
  <si>
    <t>CUST100033</t>
  </si>
  <si>
    <t>CMP202604001</t>
  </si>
  <si>
    <t>CUST100924</t>
  </si>
  <si>
    <t>CUST100338</t>
  </si>
  <si>
    <t>CUST101481</t>
  </si>
  <si>
    <t>CUST101074</t>
  </si>
  <si>
    <t>CMP202604021</t>
  </si>
  <si>
    <t>CUST100000</t>
  </si>
  <si>
    <t>CUST101491</t>
  </si>
  <si>
    <t>CMP202604037</t>
  </si>
  <si>
    <t>CUST101010</t>
  </si>
  <si>
    <t>CMP202604043</t>
  </si>
  <si>
    <t>CUST100430</t>
  </si>
  <si>
    <t>CMP202604057</t>
  </si>
  <si>
    <t>CUST100782</t>
  </si>
  <si>
    <t>CUST101184</t>
  </si>
  <si>
    <t>CMP202604077</t>
  </si>
  <si>
    <t>CUST100663</t>
  </si>
  <si>
    <t>CUST100124</t>
  </si>
  <si>
    <t>CUST101160</t>
  </si>
  <si>
    <t>CUST101030</t>
  </si>
  <si>
    <t>CUST101278</t>
  </si>
  <si>
    <t>CMP202604051</t>
  </si>
  <si>
    <t>CUST100762</t>
  </si>
  <si>
    <t>CUST100598</t>
  </si>
  <si>
    <t>CUST101339</t>
  </si>
  <si>
    <t>CMP202604071</t>
  </si>
  <si>
    <t>CUST100432</t>
  </si>
  <si>
    <t>CMP202604075</t>
  </si>
  <si>
    <t>CUST101252</t>
  </si>
  <si>
    <t>CUST100255</t>
  </si>
  <si>
    <t>CUST100178</t>
  </si>
  <si>
    <t>CMP202604015</t>
  </si>
  <si>
    <t>CUST100349</t>
  </si>
  <si>
    <t>CUST101476</t>
  </si>
  <si>
    <t>CUST100031</t>
  </si>
  <si>
    <t>CUST101382</t>
  </si>
  <si>
    <t>CUST101018</t>
  </si>
  <si>
    <t>CUST101444</t>
  </si>
  <si>
    <t>CMP202604005</t>
  </si>
  <si>
    <t>CUST100918</t>
  </si>
  <si>
    <t>CUST100526</t>
  </si>
  <si>
    <t>CUST100944</t>
  </si>
  <si>
    <t>CUST100686</t>
  </si>
  <si>
    <t>CMP202604034</t>
  </si>
  <si>
    <t>CUST100390</t>
  </si>
  <si>
    <t>CUST100585</t>
  </si>
  <si>
    <t>CUST100596</t>
  </si>
  <si>
    <t>CUST100913</t>
  </si>
  <si>
    <t>CUST101063</t>
  </si>
  <si>
    <t>CUST100411</t>
  </si>
  <si>
    <t>CUST100565</t>
  </si>
  <si>
    <t>CUST100608</t>
  </si>
  <si>
    <t>CUST101247</t>
  </si>
  <si>
    <t>CUST101455</t>
  </si>
  <si>
    <t>CUST100560</t>
  </si>
  <si>
    <t>CUST100742</t>
  </si>
  <si>
    <t>CUST101234</t>
  </si>
  <si>
    <t>CMP202604056</t>
  </si>
  <si>
    <t>CUST100910</t>
  </si>
  <si>
    <t>CMP202604060</t>
  </si>
  <si>
    <t>CUST100267</t>
  </si>
  <si>
    <t>CUST100126</t>
  </si>
  <si>
    <t>CUST100144</t>
  </si>
  <si>
    <t>CMP202604019</t>
  </si>
  <si>
    <t>CUST101232</t>
  </si>
  <si>
    <t>CUST101465</t>
  </si>
  <si>
    <t>CUST100361</t>
  </si>
  <si>
    <t>CUST100253</t>
  </si>
  <si>
    <t>CUST101249</t>
  </si>
  <si>
    <t>CUST100802</t>
  </si>
  <si>
    <t>CUST100860</t>
  </si>
  <si>
    <t>CUST100980</t>
  </si>
  <si>
    <t>CUST101163</t>
  </si>
  <si>
    <t>CUST101113</t>
  </si>
  <si>
    <t>CUST100065</t>
  </si>
  <si>
    <t>CUST100028</t>
  </si>
  <si>
    <t>CUST100282</t>
  </si>
  <si>
    <t>CUST100552</t>
  </si>
  <si>
    <t>CUST101146</t>
  </si>
  <si>
    <t>CUST101397</t>
  </si>
  <si>
    <t>CUST100223</t>
  </si>
  <si>
    <t>CMP202604067</t>
  </si>
  <si>
    <t>CUST100199</t>
  </si>
  <si>
    <t>CUST100460</t>
  </si>
  <si>
    <t>CUST100423</t>
  </si>
  <si>
    <t>CUST100726</t>
  </si>
  <si>
    <t>CUST101496</t>
  </si>
  <si>
    <t>CUST100504</t>
  </si>
  <si>
    <t>CMP202604049</t>
  </si>
  <si>
    <t>CUST100353</t>
  </si>
  <si>
    <t>CUST101012</t>
  </si>
  <si>
    <t>CUST100499</t>
  </si>
  <si>
    <t>CMP202604079</t>
  </si>
  <si>
    <t>CUST101296</t>
  </si>
  <si>
    <t>CMP202604032</t>
  </si>
  <si>
    <t>CUST100123</t>
  </si>
  <si>
    <t>CUST100670</t>
  </si>
  <si>
    <t>CUST101124</t>
  </si>
  <si>
    <t>CUST100062</t>
  </si>
  <si>
    <t>CUST101454</t>
  </si>
  <si>
    <t>CUST101256</t>
  </si>
  <si>
    <t>CUST101498</t>
  </si>
  <si>
    <t>CUST100933</t>
  </si>
  <si>
    <t>CUST100357</t>
  </si>
  <si>
    <t>CUST100858</t>
  </si>
  <si>
    <t>CUST101489</t>
  </si>
  <si>
    <t>CMP202604027</t>
  </si>
  <si>
    <t>CUST101181</t>
  </si>
  <si>
    <t>CUST101363</t>
  </si>
  <si>
    <t>CMP202604040</t>
  </si>
  <si>
    <t>CUST100359</t>
  </si>
  <si>
    <t>CUST101443</t>
  </si>
  <si>
    <t>CUST100381</t>
  </si>
  <si>
    <t>CUST100590</t>
  </si>
  <si>
    <t>CUST100809</t>
  </si>
  <si>
    <t>CUST100661</t>
  </si>
  <si>
    <t>CUST101104</t>
  </si>
  <si>
    <t>CUST100904</t>
  </si>
  <si>
    <t>CUST100992</t>
  </si>
  <si>
    <t>CUST100627</t>
  </si>
  <si>
    <t>CUST100987</t>
  </si>
  <si>
    <t>CUST101239</t>
  </si>
  <si>
    <t>CUST101073</t>
  </si>
  <si>
    <t>CUST100925</t>
  </si>
  <si>
    <t>CUST101034</t>
  </si>
  <si>
    <t>CUST101253</t>
  </si>
  <si>
    <t>CUST100724</t>
  </si>
  <si>
    <t>CUST100309</t>
  </si>
  <si>
    <t>CUST100412</t>
  </si>
  <si>
    <t>CUST101115</t>
  </si>
  <si>
    <t>CUST100426</t>
  </si>
  <si>
    <t>CUST100428</t>
  </si>
  <si>
    <t>CUST100656</t>
  </si>
  <si>
    <t>CUST100997</t>
  </si>
  <si>
    <t>CUST100580</t>
  </si>
  <si>
    <t>CUST101037</t>
  </si>
  <si>
    <t>CUST101424</t>
  </si>
  <si>
    <t>CUST100611</t>
  </si>
  <si>
    <t>CUST100617</t>
  </si>
  <si>
    <t>CUST100936</t>
  </si>
  <si>
    <t>CUST101141</t>
  </si>
  <si>
    <t>CUST100415</t>
  </si>
  <si>
    <t>CMP202605020</t>
  </si>
  <si>
    <t>CUST100873</t>
  </si>
  <si>
    <t>CMP202605049</t>
  </si>
  <si>
    <t>CUST100094</t>
  </si>
  <si>
    <t>CMP202605051</t>
  </si>
  <si>
    <t>CUST100868</t>
  </si>
  <si>
    <t>CMP202605062</t>
  </si>
  <si>
    <t>CUST101058</t>
  </si>
  <si>
    <t>CMP202605027</t>
  </si>
  <si>
    <t>CUST100063</t>
  </si>
  <si>
    <t>CMP202605044</t>
  </si>
  <si>
    <t>CUST101089</t>
  </si>
  <si>
    <t>CMP202605074</t>
  </si>
  <si>
    <t>CUST100458</t>
  </si>
  <si>
    <t>CMP202605032</t>
  </si>
  <si>
    <t>CUST100087</t>
  </si>
  <si>
    <t>CMP202605034</t>
  </si>
  <si>
    <t>CUST101235</t>
  </si>
  <si>
    <t>CMP202605053</t>
  </si>
  <si>
    <t>CUST100416</t>
  </si>
  <si>
    <t>CMP202605057</t>
  </si>
  <si>
    <t>CUST100953</t>
  </si>
  <si>
    <t>CMP202605070</t>
  </si>
  <si>
    <t>CUST101060</t>
  </si>
  <si>
    <t>CMP202605015</t>
  </si>
  <si>
    <t>CUST100865</t>
  </si>
  <si>
    <t>CMP202605023</t>
  </si>
  <si>
    <t>CUST100443</t>
  </si>
  <si>
    <t>CMP202605025</t>
  </si>
  <si>
    <t>CUST101277</t>
  </si>
  <si>
    <t>CMP202605037</t>
  </si>
  <si>
    <t>CUST101295</t>
  </si>
  <si>
    <t>CMP202605038</t>
  </si>
  <si>
    <t>CUST100622</t>
  </si>
  <si>
    <t>CMP202605064</t>
  </si>
  <si>
    <t>CUST100236</t>
  </si>
  <si>
    <t>CMP202605067</t>
  </si>
  <si>
    <t>CUST100146</t>
  </si>
  <si>
    <t>CMP202605013</t>
  </si>
  <si>
    <t>CUST100506</t>
  </si>
  <si>
    <t>CUST100091</t>
  </si>
  <si>
    <t>CUST100260</t>
  </si>
  <si>
    <t>CMP202605054</t>
  </si>
  <si>
    <t>CUST100878</t>
  </si>
  <si>
    <t>CMP202605076</t>
  </si>
  <si>
    <t>CUST100800</t>
  </si>
  <si>
    <t>CMP202605033</t>
  </si>
  <si>
    <t>CUST100047</t>
  </si>
  <si>
    <t>CMP202605047</t>
  </si>
  <si>
    <t>CUST100217</t>
  </si>
  <si>
    <t>CMP202605010</t>
  </si>
  <si>
    <t>CUST100938</t>
  </si>
  <si>
    <t>CUST101017</t>
  </si>
  <si>
    <t>CUST101457</t>
  </si>
  <si>
    <t>CMP202605065</t>
  </si>
  <si>
    <t>CUST100832</t>
  </si>
  <si>
    <t>CMP202605001</t>
  </si>
  <si>
    <t>CUST101332</t>
  </si>
  <si>
    <t>CMP202605024</t>
  </si>
  <si>
    <t>CUST100619</t>
  </si>
  <si>
    <t>CUST100710</t>
  </si>
  <si>
    <t>CUST101406</t>
  </si>
  <si>
    <t>CMP202605061</t>
  </si>
  <si>
    <t>CUST101482</t>
  </si>
  <si>
    <t>CMP202605031</t>
  </si>
  <si>
    <t>CUST100012</t>
  </si>
  <si>
    <t>CUST100010</t>
  </si>
  <si>
    <t>CUST100961</t>
  </si>
  <si>
    <t>CMP202605071</t>
  </si>
  <si>
    <t>CUST100874</t>
  </si>
  <si>
    <t>CMP202605021</t>
  </si>
  <si>
    <t>CUST100117</t>
  </si>
  <si>
    <t>CMP202605022</t>
  </si>
  <si>
    <t>CUST100001</t>
  </si>
  <si>
    <t>CUST100711</t>
  </si>
  <si>
    <t>CMP202605056</t>
  </si>
  <si>
    <t>CUST100838</t>
  </si>
  <si>
    <t>CMP202605069</t>
  </si>
  <si>
    <t>CUST100316</t>
  </si>
  <si>
    <t>CMP202605075</t>
  </si>
  <si>
    <t>CUST100807</t>
  </si>
  <si>
    <t>CUST100345</t>
  </si>
  <si>
    <t>CMP202605079</t>
  </si>
  <si>
    <t>CUST100909</t>
  </si>
  <si>
    <t>CUST100503</t>
  </si>
  <si>
    <t>CUST100836</t>
  </si>
  <si>
    <t>CUST100480</t>
  </si>
  <si>
    <t>CUST100449</t>
  </si>
  <si>
    <t>CUST100237</t>
  </si>
  <si>
    <t>CUST101433</t>
  </si>
  <si>
    <t>CMP202605063</t>
  </si>
  <si>
    <t>CUST101155</t>
  </si>
  <si>
    <t>CMP202605003</t>
  </si>
  <si>
    <t>CUST100628</t>
  </si>
  <si>
    <t>CMP202605005</t>
  </si>
  <si>
    <t>CUST101085</t>
  </si>
  <si>
    <t>CMP202605040</t>
  </si>
  <si>
    <t>CUST101237</t>
  </si>
  <si>
    <t>CMP202605041</t>
  </si>
  <si>
    <t>CUST100088</t>
  </si>
  <si>
    <t>CMP202605045</t>
  </si>
  <si>
    <t>CUST100645</t>
  </si>
  <si>
    <t>CUST100030</t>
  </si>
  <si>
    <t>CUST101173</t>
  </si>
  <si>
    <t>CMP202605048</t>
  </si>
  <si>
    <t>CUST100076</t>
  </si>
  <si>
    <t>CUST101049</t>
  </si>
  <si>
    <t>CUST100401</t>
  </si>
  <si>
    <t>CUST100803</t>
  </si>
  <si>
    <t>CUST100553</t>
  </si>
  <si>
    <t>CMP202605042</t>
  </si>
  <si>
    <t>CUST100556</t>
  </si>
  <si>
    <t>CUST100687</t>
  </si>
  <si>
    <t>CUST101084</t>
  </si>
  <si>
    <t>CUST100203</t>
  </si>
  <si>
    <t>CUST100912</t>
  </si>
  <si>
    <t>CUST101167</t>
  </si>
  <si>
    <t>CUST101065</t>
  </si>
  <si>
    <t>CUST101078</t>
  </si>
  <si>
    <t>CUST100752</t>
  </si>
  <si>
    <t>CMP202605026</t>
  </si>
  <si>
    <t>CUST100018</t>
  </si>
  <si>
    <t>CUST101313</t>
  </si>
  <si>
    <t>CMP202605035</t>
  </si>
  <si>
    <t>CUST100055</t>
  </si>
  <si>
    <t>CUST100954</t>
  </si>
  <si>
    <t>CUST100893</t>
  </si>
  <si>
    <t>CMP202605043</t>
  </si>
  <si>
    <t>CUST100790</t>
  </si>
  <si>
    <t>CUST100472</t>
  </si>
  <si>
    <t>CUST100602</t>
  </si>
  <si>
    <t>CUST101076</t>
  </si>
  <si>
    <t>CUST100815</t>
  </si>
  <si>
    <t>CUST100453</t>
  </si>
  <si>
    <t>CUST100435</t>
  </si>
  <si>
    <t>CUST100846</t>
  </si>
  <si>
    <t>CUST101267</t>
  </si>
  <si>
    <t>CUST100955</t>
  </si>
  <si>
    <t>CUST100477</t>
  </si>
  <si>
    <t>CUST100880</t>
  </si>
  <si>
    <t>CUST100128</t>
  </si>
  <si>
    <t>CUST100254</t>
  </si>
  <si>
    <t>CMP202605019</t>
  </si>
  <si>
    <t>CUST100192</t>
  </si>
  <si>
    <t>CUST101118</t>
  </si>
  <si>
    <t>CMP202605058</t>
  </si>
  <si>
    <t>CUST101082</t>
  </si>
  <si>
    <t>CUST100402</t>
  </si>
  <si>
    <t>CMP202605007</t>
  </si>
  <si>
    <t>CUST101042</t>
  </si>
  <si>
    <t>CUST100668</t>
  </si>
  <si>
    <t>CUST100607</t>
  </si>
  <si>
    <t>CUST100368</t>
  </si>
  <si>
    <t>CUST100324</t>
  </si>
  <si>
    <t>CMP202605055</t>
  </si>
  <si>
    <t>CUST101399</t>
  </si>
  <si>
    <t>CMP202605008</t>
  </si>
  <si>
    <t>CUST100154</t>
  </si>
  <si>
    <t>CUST100935</t>
  </si>
  <si>
    <t>CUST100567</t>
  </si>
  <si>
    <t>CMP202605046</t>
  </si>
  <si>
    <t>CUST101172</t>
  </si>
  <si>
    <t>CUST100891</t>
  </si>
  <si>
    <t>CUST100457</t>
  </si>
  <si>
    <t>CUST100459</t>
  </si>
  <si>
    <t>CUST100652</t>
  </si>
  <si>
    <t>CMP202605012</t>
  </si>
  <si>
    <t>CUST100599</t>
  </si>
  <si>
    <t>CMP202605017</t>
  </si>
  <si>
    <t>CUST101494</t>
  </si>
  <si>
    <t>CUST100303</t>
  </si>
  <si>
    <t>CUST100657</t>
  </si>
  <si>
    <t>CMP202605039</t>
  </si>
  <si>
    <t>CUST100630</t>
  </si>
  <si>
    <t>CUST100957</t>
  </si>
  <si>
    <t>CUST100006</t>
  </si>
  <si>
    <t>CUST100733</t>
  </si>
  <si>
    <t>CMP202605077</t>
  </si>
  <si>
    <t>CUST100770</t>
  </si>
  <si>
    <t>CUST101275</t>
  </si>
  <si>
    <t>CUST100135</t>
  </si>
  <si>
    <t>CUST100487</t>
  </si>
  <si>
    <t>CMP202605030</t>
  </si>
  <si>
    <t>CUST101246</t>
  </si>
  <si>
    <t>CUST100798</t>
  </si>
  <si>
    <t>CUST101447</t>
  </si>
  <si>
    <t>CUST100786</t>
  </si>
  <si>
    <t>CMP202605066</t>
  </si>
  <si>
    <t>CUST100050</t>
  </si>
  <si>
    <t>CUST100806</t>
  </si>
  <si>
    <t>CUST100461</t>
  </si>
  <si>
    <t>CUST101156</t>
  </si>
  <si>
    <t>CUST100721</t>
  </si>
  <si>
    <t>CUST101093</t>
  </si>
  <si>
    <t>CUST100434</t>
  </si>
  <si>
    <t>CUST100743</t>
  </si>
  <si>
    <t>CUST100109</t>
  </si>
  <si>
    <t>CUST100671</t>
  </si>
  <si>
    <t>CUST101067</t>
  </si>
  <si>
    <t>CUST101379</t>
  </si>
  <si>
    <t>CUST100370</t>
  </si>
  <si>
    <t>CUST100795</t>
  </si>
  <si>
    <t>CUST100029</t>
  </si>
  <si>
    <t>CUST101464</t>
  </si>
  <si>
    <t>CUST100262</t>
  </si>
  <si>
    <t>CUST101414</t>
  </si>
  <si>
    <t>CMP202605059</t>
  </si>
  <si>
    <t>CUST100089</t>
  </si>
  <si>
    <t>CUST100014</t>
  </si>
  <si>
    <t>CMP202605072</t>
  </si>
  <si>
    <t>CUST101257</t>
  </si>
  <si>
    <t>CUST101368</t>
  </si>
  <si>
    <t>CUST101287</t>
  </si>
  <si>
    <t>CUST101081</t>
  </si>
  <si>
    <t>CUST100837</t>
  </si>
  <si>
    <t>CUST101470</t>
  </si>
  <si>
    <t>CUST101110</t>
  </si>
  <si>
    <t>CUST100419</t>
  </si>
  <si>
    <t>CUST100157</t>
  </si>
  <si>
    <t>CMP202605002</t>
  </si>
  <si>
    <t>CUST101231</t>
  </si>
  <si>
    <t>CMP202605052</t>
  </si>
  <si>
    <t>CUST101458</t>
  </si>
  <si>
    <t>CUST101047</t>
  </si>
  <si>
    <t>CUST100410</t>
  </si>
  <si>
    <t>CUST100766</t>
  </si>
  <si>
    <t>CUST101198</t>
  </si>
  <si>
    <t>CUST101407</t>
  </si>
  <si>
    <t>CUST101425</t>
  </si>
  <si>
    <t>CUST100341</t>
  </si>
  <si>
    <t>CUST100337</t>
  </si>
  <si>
    <t>CUST101190</t>
  </si>
  <si>
    <t>CUST100229</t>
  </si>
  <si>
    <t>CUST101046</t>
  </si>
  <si>
    <t>CMP202605050</t>
  </si>
  <si>
    <t>CUST101393</t>
  </si>
  <si>
    <t>CUST101224</t>
  </si>
  <si>
    <t>CUST100293</t>
  </si>
  <si>
    <t>CUST100759</t>
  </si>
  <si>
    <t>CUST101445</t>
  </si>
  <si>
    <t>CUST100347</t>
  </si>
  <si>
    <t>CMP202605060</t>
  </si>
  <si>
    <t>CUST100299</t>
  </si>
  <si>
    <t>CUST100125</t>
  </si>
  <si>
    <t>CMP202606003</t>
  </si>
  <si>
    <t>CUST101483</t>
  </si>
  <si>
    <t>CMP202606010</t>
  </si>
  <si>
    <t>CUST100332</t>
  </si>
  <si>
    <t>CMP202606011</t>
  </si>
  <si>
    <t>CUST101222</t>
  </si>
  <si>
    <t>CMP202606023</t>
  </si>
  <si>
    <t>CUST101028</t>
  </si>
  <si>
    <t>CMP202606028</t>
  </si>
  <si>
    <t>CUST100166</t>
  </si>
  <si>
    <t>CMP202606032</t>
  </si>
  <si>
    <t>CUST101292</t>
  </si>
  <si>
    <t>CMP202606048</t>
  </si>
  <si>
    <t>CUST101441</t>
  </si>
  <si>
    <t>CMP202606053</t>
  </si>
  <si>
    <t>CUST101495</t>
  </si>
  <si>
    <t>CMP202606061</t>
  </si>
  <si>
    <t>CUST100965</t>
  </si>
  <si>
    <t>CMP202606009</t>
  </si>
  <si>
    <t>CUST100738</t>
  </si>
  <si>
    <t>CUST100986</t>
  </si>
  <si>
    <t>CMP202606027</t>
  </si>
  <si>
    <t>CUST100153</t>
  </si>
  <si>
    <t>CMP202606031</t>
  </si>
  <si>
    <t>CUST101297</t>
  </si>
  <si>
    <t>CUST101415</t>
  </si>
  <si>
    <t>CMP202606054</t>
  </si>
  <si>
    <t>CUST100427</t>
  </si>
  <si>
    <t>CMP202606056</t>
  </si>
  <si>
    <t>CUST101329</t>
  </si>
  <si>
    <t>CMP202606066</t>
  </si>
  <si>
    <t>CUST100070</t>
  </si>
  <si>
    <t>CMP202606067</t>
  </si>
  <si>
    <t>CUST100106</t>
  </si>
  <si>
    <t>CMP202606071</t>
  </si>
  <si>
    <t>CUST101053</t>
  </si>
  <si>
    <t>CMP202606074</t>
  </si>
  <si>
    <t>CUST101446</t>
  </si>
  <si>
    <t>CMP202606001</t>
  </si>
  <si>
    <t>CUST100516</t>
  </si>
  <si>
    <t>CMP202606029</t>
  </si>
  <si>
    <t>CUST100004</t>
  </si>
  <si>
    <t>CMP202606037</t>
  </si>
  <si>
    <t>CUST100378</t>
  </si>
  <si>
    <t>CMP202606046</t>
  </si>
  <si>
    <t>CUST101241</t>
  </si>
  <si>
    <t>CUST100373</t>
  </si>
  <si>
    <t>CMP202606055</t>
  </si>
  <si>
    <t>CUST101152</t>
  </si>
  <si>
    <t>CMP202606008</t>
  </si>
  <si>
    <t>CUST100612</t>
  </si>
  <si>
    <t>CMP202606015</t>
  </si>
  <si>
    <t>CUST100276</t>
  </si>
  <si>
    <t>CMP202606024</t>
  </si>
  <si>
    <t>CUST100688</t>
  </si>
  <si>
    <t>CUST100530</t>
  </si>
  <si>
    <t>CMP202606030</t>
  </si>
  <si>
    <t>CUST100808</t>
  </si>
  <si>
    <t>CMP202606039</t>
  </si>
  <si>
    <t>CUST100757</t>
  </si>
  <si>
    <t>CUST101280</t>
  </si>
  <si>
    <t>CMP202606019</t>
  </si>
  <si>
    <t>CUST100754</t>
  </si>
  <si>
    <t>CMP202606045</t>
  </si>
  <si>
    <t>CUST101136</t>
  </si>
  <si>
    <t>CMP202606073</t>
  </si>
  <si>
    <t>CUST100887</t>
  </si>
  <si>
    <t>CMP202606075</t>
  </si>
  <si>
    <t>CUST100781</t>
  </si>
  <si>
    <t>CMP202606076</t>
  </si>
  <si>
    <t>CUST100745</t>
  </si>
  <si>
    <t>CMP202606004</t>
  </si>
  <si>
    <t>CUST100152</t>
  </si>
  <si>
    <t>CMP202606026</t>
  </si>
  <si>
    <t>CUST100395</t>
  </si>
  <si>
    <t>CUST100879</t>
  </si>
  <si>
    <t>CMP202606065</t>
  </si>
  <si>
    <t>CUST100317</t>
  </si>
  <si>
    <t>CMP202606068</t>
  </si>
  <si>
    <t>CUST100483</t>
  </si>
  <si>
    <t>CMP202606077</t>
  </si>
  <si>
    <t>CUST100884</t>
  </si>
  <si>
    <t>CMP202606035</t>
  </si>
  <si>
    <t>CUST101148</t>
  </si>
  <si>
    <t>CUST100562</t>
  </si>
  <si>
    <t>CUST100841</t>
  </si>
  <si>
    <t>CUST100988</t>
  </si>
  <si>
    <t>CMP202606007</t>
  </si>
  <si>
    <t>CUST100425</t>
  </si>
  <si>
    <t>CMP202606012</t>
  </si>
  <si>
    <t>CUST100835</t>
  </si>
  <si>
    <t>CUST100950</t>
  </si>
  <si>
    <t>CMP202606017</t>
  </si>
  <si>
    <t>CUST100931</t>
  </si>
  <si>
    <t>CUST100572</t>
  </si>
  <si>
    <t>CUST101335</t>
  </si>
  <si>
    <t>CUST100783</t>
  </si>
  <si>
    <t>CUST100315</t>
  </si>
  <si>
    <t>CUST100130</t>
  </si>
  <si>
    <t>CUST101420</t>
  </si>
  <si>
    <t>CUST101088</t>
  </si>
  <si>
    <t>CMP202606040</t>
  </si>
  <si>
    <t>CUST101408</t>
  </si>
  <si>
    <t>CUST101272</t>
  </si>
  <si>
    <t>CMP202606070</t>
  </si>
  <si>
    <t>CUST101338</t>
  </si>
  <si>
    <t>CUST101348</t>
  </si>
  <si>
    <t>CMP202606036</t>
  </si>
  <si>
    <t>CUST101044</t>
  </si>
  <si>
    <t>CMP202606059</t>
  </si>
  <si>
    <t>CUST100828</t>
  </si>
  <si>
    <t>CMP202606062</t>
  </si>
  <si>
    <t>CUST100940</t>
  </si>
  <si>
    <t>CUST101286</t>
  </si>
  <si>
    <t>CUST100533</t>
  </si>
  <si>
    <t>CMP202606002</t>
  </si>
  <si>
    <t>CUST100850</t>
  </si>
  <si>
    <t>CUST100362</t>
  </si>
  <si>
    <t>CUST101305</t>
  </si>
  <si>
    <t>CMP202606051</t>
  </si>
  <si>
    <t>CUST101204</t>
  </si>
  <si>
    <t>CUST100778</t>
  </si>
  <si>
    <t>CMP202606042</t>
  </si>
  <si>
    <t>CUST101094</t>
  </si>
  <si>
    <t>CMP202606050</t>
  </si>
  <si>
    <t>CUST100048</t>
  </si>
  <si>
    <t>CMP202606052</t>
  </si>
  <si>
    <t>CUST100849</t>
  </si>
  <si>
    <t>CUST100272</t>
  </si>
  <si>
    <t>CUST101345</t>
  </si>
  <si>
    <t>CUST101428</t>
  </si>
  <si>
    <t>CMP202606038</t>
  </si>
  <si>
    <t>CUST100534</t>
  </si>
  <si>
    <t>CUST101327</t>
  </si>
  <si>
    <t>CUST100210</t>
  </si>
  <si>
    <t>CMP202606078</t>
  </si>
  <si>
    <t>CUST100127</t>
  </si>
  <si>
    <t>CUST100471</t>
  </si>
  <si>
    <t>CUST100049</t>
  </si>
  <si>
    <t>CUST100856</t>
  </si>
  <si>
    <t>CUST101484</t>
  </si>
  <si>
    <t>CUST101380</t>
  </si>
  <si>
    <t>CUST100915</t>
  </si>
  <si>
    <t>CUST101100</t>
  </si>
  <si>
    <t>CUST100844</t>
  </si>
  <si>
    <t>CUST100528</t>
  </si>
  <si>
    <t>CMP202606005</t>
  </si>
  <si>
    <t>CUST100601</t>
  </si>
  <si>
    <t>CMP202606018</t>
  </si>
  <si>
    <t>CUST100446</t>
  </si>
  <si>
    <t>CUST100647</t>
  </si>
  <si>
    <t>CMP202606063</t>
  </si>
  <si>
    <t>CUST100976</t>
  </si>
  <si>
    <t>CMP202606064</t>
  </si>
  <si>
    <t>CUST100371</t>
  </si>
  <si>
    <t>CMP202606069</t>
  </si>
  <si>
    <t>CUST101208</t>
  </si>
  <si>
    <t>CUST100708</t>
  </si>
  <si>
    <t>CUST100824</t>
  </si>
  <si>
    <t>CMP202606033</t>
  </si>
  <si>
    <t>CUST100709</t>
  </si>
  <si>
    <t>CUST100420</t>
  </si>
  <si>
    <t>CMP202606006</t>
  </si>
  <si>
    <t>CUST100044</t>
  </si>
  <si>
    <t>CUST100263</t>
  </si>
  <si>
    <t>CUST101041</t>
  </si>
  <si>
    <t>CMP202606041</t>
  </si>
  <si>
    <t>CUST101340</t>
  </si>
  <si>
    <t>CMP202606047</t>
  </si>
  <si>
    <t>CUST101035</t>
  </si>
  <si>
    <t>CUST100148</t>
  </si>
  <si>
    <t>CUST100943</t>
  </si>
  <si>
    <t>CUST100750</t>
  </si>
  <si>
    <t>CMP202606060</t>
  </si>
  <si>
    <t>CUST101211</t>
  </si>
  <si>
    <t>CUST100876</t>
  </si>
  <si>
    <t>CMP202606025</t>
  </si>
  <si>
    <t>CUST100537</t>
  </si>
  <si>
    <t>CUST101404</t>
  </si>
  <si>
    <t>CUST101166</t>
  </si>
  <si>
    <t>CUST100699</t>
  </si>
  <si>
    <t>CUST100137</t>
  </si>
  <si>
    <t>CUST100220</t>
  </si>
  <si>
    <t>CUST101229</t>
  </si>
  <si>
    <t>CMP202606022</t>
  </si>
  <si>
    <t>CUST101346</t>
  </si>
  <si>
    <t>CUST101273</t>
  </si>
  <si>
    <t>CMP202606034</t>
  </si>
  <si>
    <t>CUST100615</t>
  </si>
  <si>
    <t>CUST101071</t>
  </si>
  <si>
    <t>CMP202606021</t>
  </si>
  <si>
    <t>CUST101008</t>
  </si>
  <si>
    <t>CUST100620</t>
  </si>
  <si>
    <t>CUST100545</t>
  </si>
  <si>
    <t>CUST101284</t>
  </si>
  <si>
    <t>CUST100350</t>
  </si>
  <si>
    <t>CUST100096</t>
  </si>
  <si>
    <t>CUST101069</t>
  </si>
  <si>
    <t>CUST100343</t>
  </si>
  <si>
    <t>CUST100998</t>
  </si>
  <si>
    <t>CUST101349</t>
  </si>
  <si>
    <t>CUST100603</t>
  </si>
  <si>
    <t>CUST101264</t>
  </si>
  <si>
    <t>CUST100169</t>
  </si>
  <si>
    <t>CUST100952</t>
  </si>
  <si>
    <t>CUST100277</t>
  </si>
  <si>
    <t>CUST100706</t>
  </si>
  <si>
    <t>CUST101317</t>
  </si>
  <si>
    <t>CMP202606057</t>
  </si>
  <si>
    <t>CUST101171</t>
  </si>
  <si>
    <t>CUST101468</t>
  </si>
  <si>
    <t>CUST100505</t>
  </si>
  <si>
    <t>CUST101416</t>
  </si>
  <si>
    <t>CUST101283</t>
  </si>
  <si>
    <t>CUST100725</t>
  </si>
  <si>
    <t>CUST100269</t>
  </si>
  <si>
    <t>CMP202606044</t>
  </si>
  <si>
    <t>CUST101402</t>
  </si>
  <si>
    <t>CUST100165</t>
  </si>
  <si>
    <t>CUST100177</t>
  </si>
  <si>
    <t>CUST100568</t>
  </si>
  <si>
    <t>CMP202606020</t>
  </si>
  <si>
    <t>CUST100320</t>
  </si>
  <si>
    <t>CUST100885</t>
  </si>
  <si>
    <t>CUST100713</t>
  </si>
  <si>
    <t>CUST100145</t>
  </si>
  <si>
    <t>CUST100646</t>
  </si>
  <si>
    <t>CUST100015</t>
  </si>
  <si>
    <t>CUST100794</t>
  </si>
  <si>
    <t>CUST101143</t>
  </si>
  <si>
    <t>CUST100911</t>
  </si>
  <si>
    <t>CUST100735</t>
  </si>
  <si>
    <t>CUST100424</t>
  </si>
  <si>
    <t>CUST100869</t>
  </si>
  <si>
    <t>CUST100897</t>
  </si>
  <si>
    <t>CUST101075</t>
  </si>
  <si>
    <t>CMP202606014</t>
  </si>
  <si>
    <t>CUST101175</t>
  </si>
  <si>
    <t>CUST100308</t>
  </si>
  <si>
    <t>CUST100056</t>
  </si>
  <si>
    <t>CUST101144</t>
  </si>
  <si>
    <t>CUST100716</t>
  </si>
  <si>
    <t>CUST101087</t>
  </si>
  <si>
    <t>CMP202606043</t>
  </si>
  <si>
    <t>CUST100514</t>
  </si>
  <si>
    <t>CUST100052</t>
  </si>
  <si>
    <t>CUST100972</t>
  </si>
  <si>
    <t>CUST100358</t>
  </si>
  <si>
    <t>CUST101139</t>
  </si>
  <si>
    <t>CUST100635</t>
  </si>
  <si>
    <t>CUST101306</t>
  </si>
  <si>
    <t>CUST101289</t>
  </si>
  <si>
    <t>CUST100078</t>
  </si>
  <si>
    <t>CMP202607028</t>
  </si>
  <si>
    <t>CUST101413</t>
  </si>
  <si>
    <t>CMP202607029</t>
  </si>
  <si>
    <t>CUST100564</t>
  </si>
  <si>
    <t>CMP202607046</t>
  </si>
  <si>
    <t>CUST100821</t>
  </si>
  <si>
    <t>CMP202607073</t>
  </si>
  <si>
    <t>CUST100134</t>
  </si>
  <si>
    <t>CUST100555</t>
  </si>
  <si>
    <t>CMP202607012</t>
  </si>
  <si>
    <t>CUST100150</t>
  </si>
  <si>
    <t>CMP202607014</t>
  </si>
  <si>
    <t>CUST101240</t>
  </si>
  <si>
    <t>CMP202607030</t>
  </si>
  <si>
    <t>CUST100222</t>
  </si>
  <si>
    <t>CMP202607033</t>
  </si>
  <si>
    <t>CUST100105</t>
  </si>
  <si>
    <t>CMP202607048</t>
  </si>
  <si>
    <t>CUST100964</t>
  </si>
  <si>
    <t>CMP202607052</t>
  </si>
  <si>
    <t>CUST100118</t>
  </si>
  <si>
    <t>CMP202607072</t>
  </si>
  <si>
    <t>CUST100727</t>
  </si>
  <si>
    <t>CMP202607078</t>
  </si>
  <si>
    <t>CUST100840</t>
  </si>
  <si>
    <t>CMP202607005</t>
  </si>
  <si>
    <t>CUST100071</t>
  </si>
  <si>
    <t>CMP202607020</t>
  </si>
  <si>
    <t>CUST100431</t>
  </si>
  <si>
    <t>CMP202607059</t>
  </si>
  <si>
    <t>CUST100082</t>
  </si>
  <si>
    <t>CMP202607064</t>
  </si>
  <si>
    <t>CUST100883</t>
  </si>
  <si>
    <t>CMP202607076</t>
  </si>
  <si>
    <t>CUST100256</t>
  </si>
  <si>
    <t>CUST101478</t>
  </si>
  <si>
    <t>CUST100502</t>
  </si>
  <si>
    <t>CMP202607025</t>
  </si>
  <si>
    <t>CUST100043</t>
  </si>
  <si>
    <t>CUST100703</t>
  </si>
  <si>
    <t>CMP202607037</t>
  </si>
  <si>
    <t>CUST100634</t>
  </si>
  <si>
    <t>CMP202607041</t>
  </si>
  <si>
    <t>CUST100511</t>
  </si>
  <si>
    <t>CUST100978</t>
  </si>
  <si>
    <t>CMP202607018</t>
  </si>
  <si>
    <t>CUST100704</t>
  </si>
  <si>
    <t>CUST101178</t>
  </si>
  <si>
    <t>CUST101217</t>
  </si>
  <si>
    <t>CUST101474</t>
  </si>
  <si>
    <t>CMP202607001</t>
  </si>
  <si>
    <t>CUST101140</t>
  </si>
  <si>
    <t>CMP202607011</t>
  </si>
  <si>
    <t>CUST101221</t>
  </si>
  <si>
    <t>CUST101492</t>
  </si>
  <si>
    <t>CMP202607045</t>
  </si>
  <si>
    <t>CUST100700</t>
  </si>
  <si>
    <t>CUST100289</t>
  </si>
  <si>
    <t>CMP202607054</t>
  </si>
  <si>
    <t>CUST101212</t>
  </si>
  <si>
    <t>CUST100235</t>
  </si>
  <si>
    <t>CMP202607002</t>
  </si>
  <si>
    <t>CUST100520</t>
  </si>
  <si>
    <t>CMP202607017</t>
  </si>
  <si>
    <t>CUST100792</t>
  </si>
  <si>
    <t>CMP202607031</t>
  </si>
  <si>
    <t>CUST100172</t>
  </si>
  <si>
    <t>CMP202607034</t>
  </si>
  <si>
    <t>CUST100898</t>
  </si>
  <si>
    <t>CUST101108</t>
  </si>
  <si>
    <t>CMP202607056</t>
  </si>
  <si>
    <t>CUST100318</t>
  </si>
  <si>
    <t>CUST100586</t>
  </si>
  <si>
    <t>CUST100544</t>
  </si>
  <si>
    <t>CMP202607008</t>
  </si>
  <si>
    <t>CUST101014</t>
  </si>
  <si>
    <t>CUST101309</t>
  </si>
  <si>
    <t>CMP202607026</t>
  </si>
  <si>
    <t>CUST100376</t>
  </si>
  <si>
    <t>CUST101473</t>
  </si>
  <si>
    <t>CUST100672</t>
  </si>
  <si>
    <t>CMP202607065</t>
  </si>
  <si>
    <t>CUST100151</t>
  </si>
  <si>
    <t>CMP202607069</t>
  </si>
  <si>
    <t>CUST100156</t>
  </si>
  <si>
    <t>CMP202607003</t>
  </si>
  <si>
    <t>CUST100045</t>
  </si>
  <si>
    <t>CUST101119</t>
  </si>
  <si>
    <t>CUST101461</t>
  </si>
  <si>
    <t>CMP202607051</t>
  </si>
  <si>
    <t>CUST100168</t>
  </si>
  <si>
    <t>CUST100820</t>
  </si>
  <si>
    <t>CMP202607066</t>
  </si>
  <si>
    <t>CUST100261</t>
  </si>
  <si>
    <t>CUST100785</t>
  </si>
  <si>
    <t>CMP202607077</t>
  </si>
  <si>
    <t>CUST101434</t>
  </si>
  <si>
    <t>CUST100902</t>
  </si>
  <si>
    <t>CUST100312</t>
  </si>
  <si>
    <t>CUST100174</t>
  </si>
  <si>
    <t>CUST101059</t>
  </si>
  <si>
    <t>CUST101499</t>
  </si>
  <si>
    <t>CMP202607043</t>
  </si>
  <si>
    <t>CUST100839</t>
  </si>
  <si>
    <t>CUST100845</t>
  </si>
  <si>
    <t>CUST100609</t>
  </si>
  <si>
    <t>CMP202607067</t>
  </si>
  <si>
    <t>CUST100017</t>
  </si>
  <si>
    <t>CMP202607035</t>
  </si>
  <si>
    <t>CUST101451</t>
  </si>
  <si>
    <t>CUST100561</t>
  </si>
  <si>
    <t>CUST101269</t>
  </si>
  <si>
    <t>CUST100654</t>
  </si>
  <si>
    <t>CMP202607063</t>
  </si>
  <si>
    <t>CUST101048</t>
  </si>
  <si>
    <t>CUST100161</t>
  </si>
  <si>
    <t>CUST100636</t>
  </si>
  <si>
    <t>CUST100198</t>
  </si>
  <si>
    <t>CUST101153</t>
  </si>
  <si>
    <t>CUST100363</t>
  </si>
  <si>
    <t>CMP202607027</t>
  </si>
  <si>
    <t>CUST101409</t>
  </si>
  <si>
    <t>CMP202607044</t>
  </si>
  <si>
    <t>CUST100046</t>
  </si>
  <si>
    <t>CMP202607055</t>
  </si>
  <si>
    <t>CUST100927</t>
  </si>
  <si>
    <t>CMP202607074</t>
  </si>
  <si>
    <t>CUST100871</t>
  </si>
  <si>
    <t>CUST101192</t>
  </si>
  <si>
    <t>CUST101452</t>
  </si>
  <si>
    <t>CMP202607042</t>
  </si>
  <si>
    <t>CUST100771</t>
  </si>
  <si>
    <t>CMP202607057</t>
  </si>
  <si>
    <t>CUST100022</t>
  </si>
  <si>
    <t>CUST100843</t>
  </si>
  <si>
    <t>CUST100143</t>
  </si>
  <si>
    <t>CMP202607006</t>
  </si>
  <si>
    <t>CUST101387</t>
  </si>
  <si>
    <t>CMP202607009</t>
  </si>
  <si>
    <t>CUST101453</t>
  </si>
  <si>
    <t>CUST101193</t>
  </si>
  <si>
    <t>CMP202607039</t>
  </si>
  <si>
    <t>CUST101122</t>
  </si>
  <si>
    <t>CUST100681</t>
  </si>
  <si>
    <t>CUST100484</t>
  </si>
  <si>
    <t>CMP202607058</t>
  </si>
  <si>
    <t>CUST100991</t>
  </si>
  <si>
    <t>CUST101326</t>
  </si>
  <si>
    <t>CUST100437</t>
  </si>
  <si>
    <t>CMP202607079</t>
  </si>
  <si>
    <t>CUST100206</t>
  </si>
  <si>
    <t>CUST100999</t>
  </si>
  <si>
    <t>CUST100397</t>
  </si>
  <si>
    <t>CMP202607021</t>
  </si>
  <si>
    <t>CUST100638</t>
  </si>
  <si>
    <t>CUST100825</t>
  </si>
  <si>
    <t>CUST101025</t>
  </si>
  <si>
    <t>CUST101109</t>
  </si>
  <si>
    <t>CMP202607036</t>
  </si>
  <si>
    <t>CUST100444</t>
  </si>
  <si>
    <t>CUST101450</t>
  </si>
  <si>
    <t>CUST101206</t>
  </si>
  <si>
    <t>CUST100132</t>
  </si>
  <si>
    <t>CUST100482</t>
  </si>
  <si>
    <t>CUST101105</t>
  </si>
  <si>
    <t>CUST100176</t>
  </si>
  <si>
    <t>CUST101362</t>
  </si>
  <si>
    <t>CUST101154</t>
  </si>
  <si>
    <t>CUST100855</t>
  </si>
  <si>
    <t>CUST101050</t>
  </si>
  <si>
    <t>CUST101331</t>
  </si>
  <si>
    <t>CUST100641</t>
  </si>
  <si>
    <t>CUST101133</t>
  </si>
  <si>
    <t>CUST100894</t>
  </si>
  <si>
    <t>CUST100823</t>
  </si>
  <si>
    <t>CUST100995</t>
  </si>
  <si>
    <t>CUST101189</t>
  </si>
  <si>
    <t>CUST101431</t>
  </si>
  <si>
    <t>CUST100864</t>
  </si>
  <si>
    <t>CMP202607053</t>
  </si>
  <si>
    <t>CUST100751</t>
  </si>
  <si>
    <t>CMP202607070</t>
  </si>
  <si>
    <t>CUST100543</t>
  </si>
  <si>
    <t>CUST100982</t>
  </si>
  <si>
    <t>CUST100588</t>
  </si>
  <si>
    <t>CMP202607050</t>
  </si>
  <si>
    <t>CUST100346</t>
  </si>
  <si>
    <t>CUST101083</t>
  </si>
  <si>
    <t>CUST100455</t>
  </si>
  <si>
    <t>CMP202607032</t>
  </si>
  <si>
    <t>CUST100019</t>
  </si>
  <si>
    <t>CUST100640</t>
  </si>
  <si>
    <t>CUST100162</t>
  </si>
  <si>
    <t>CUST101487</t>
  </si>
  <si>
    <t>CUST100930</t>
  </si>
  <si>
    <t>CUST101228</t>
  </si>
  <si>
    <t>CUST101385</t>
  </si>
  <si>
    <t>CUST101158</t>
  </si>
  <si>
    <t>CMP202607047</t>
  </si>
  <si>
    <t>CUST100403</t>
  </si>
  <si>
    <t>CMP202607071</t>
  </si>
  <si>
    <t>CUST101395</t>
  </si>
  <si>
    <t>CUST100761</t>
  </si>
  <si>
    <t>CMP202607068</t>
  </si>
  <si>
    <t>CUST101215</t>
  </si>
  <si>
    <t>CUST101423</t>
  </si>
  <si>
    <t>CUST100072</t>
  </si>
  <si>
    <t>CMP202607019</t>
  </si>
  <si>
    <t>CUST101199</t>
  </si>
  <si>
    <t>CUST100283</t>
  </si>
  <si>
    <t>CUST101254</t>
  </si>
  <si>
    <t>CUST101411</t>
  </si>
  <si>
    <t>CMP202607061</t>
  </si>
  <si>
    <t>CUST100921</t>
  </si>
  <si>
    <t>CUST100764</t>
  </si>
  <si>
    <t>CMP202607013</t>
  </si>
  <si>
    <t>CUST100257</t>
  </si>
  <si>
    <t>CMP202607023</t>
  </si>
  <si>
    <t>CUST101401</t>
  </si>
  <si>
    <t>CUST100275</t>
  </si>
  <si>
    <t>CUST100170</t>
  </si>
  <si>
    <t>CUST100372</t>
  </si>
  <si>
    <t>CUST100637</t>
  </si>
  <si>
    <t>CUST101057</t>
  </si>
  <si>
    <t>CUST100756</t>
  </si>
  <si>
    <t>CUST101151</t>
  </si>
  <si>
    <t>CMP202607010</t>
  </si>
  <si>
    <t>CUST100216</t>
  </si>
  <si>
    <t>CUST100382</t>
  </si>
  <si>
    <t>CUST100467</t>
  </si>
  <si>
    <t>CUST100233</t>
  </si>
  <si>
    <t>CUST101111</t>
  </si>
  <si>
    <t>CUST100313</t>
  </si>
  <si>
    <t>CUST101127</t>
  </si>
  <si>
    <t>CUST101243</t>
  </si>
  <si>
    <t>CUST101437</t>
  </si>
  <si>
    <t>CUST101459</t>
  </si>
  <si>
    <t>CUST100215</t>
  </si>
  <si>
    <t>CUST101330</t>
  </si>
  <si>
    <t>CUST100707</t>
  </si>
  <si>
    <t>CUST101488</t>
  </si>
  <si>
    <t>CUST100147</t>
  </si>
  <si>
    <t>CMP202607060</t>
  </si>
  <si>
    <t>CUST100111</t>
  </si>
  <si>
    <t>CUST100292</t>
  </si>
  <si>
    <t>CUST100625</t>
  </si>
  <si>
    <t>CUST100366</t>
  </si>
  <si>
    <t>CUST101325</t>
  </si>
  <si>
    <t>CMP202607016</t>
  </si>
  <si>
    <t>CUST100451</t>
  </si>
  <si>
    <t>CUST100576</t>
  </si>
  <si>
    <t>CUST100115</t>
  </si>
  <si>
    <t>CMP202607075</t>
  </si>
  <si>
    <t>CUST100829</t>
  </si>
  <si>
    <t>CUST100204</t>
  </si>
  <si>
    <t>CUST100264</t>
  </si>
  <si>
    <t>CUST100695</t>
  </si>
  <si>
    <t>CUST100788</t>
  </si>
  <si>
    <t>CUST101169</t>
  </si>
  <si>
    <t>CUST101367</t>
  </si>
  <si>
    <t>CUST100669</t>
  </si>
  <si>
    <t>CUST101238</t>
  </si>
  <si>
    <t>CUST100408</t>
  </si>
  <si>
    <t>CUST100775</t>
  </si>
  <si>
    <t>CUST100642</t>
  </si>
  <si>
    <t>CMP202608008</t>
  </si>
  <si>
    <t>CUST101410</t>
  </si>
  <si>
    <t>CMP202608020</t>
  </si>
  <si>
    <t>CUST100032</t>
  </si>
  <si>
    <t>CMP202608003</t>
  </si>
  <si>
    <t>CUST101117</t>
  </si>
  <si>
    <t>CMP202608040</t>
  </si>
  <si>
    <t>CUST100139</t>
  </si>
  <si>
    <t>CMP202608046</t>
  </si>
  <si>
    <t>CUST100493</t>
  </si>
  <si>
    <t>CMP202608056</t>
  </si>
  <si>
    <t>CUST100488</t>
  </si>
  <si>
    <t>CMP202608064</t>
  </si>
  <si>
    <t>CUST100266</t>
  </si>
  <si>
    <t>CMP202608076</t>
  </si>
  <si>
    <t>CUST100632</t>
  </si>
  <si>
    <t>CMP202608042</t>
  </si>
  <si>
    <t>CUST101165</t>
  </si>
  <si>
    <t>CMP202608044</t>
  </si>
  <si>
    <t>CUST100932</t>
  </si>
  <si>
    <t>CMP202608048</t>
  </si>
  <si>
    <t>CUST100252</t>
  </si>
  <si>
    <t>CMP202608053</t>
  </si>
  <si>
    <t>CUST100574</t>
  </si>
  <si>
    <t>CMP202608058</t>
  </si>
  <si>
    <t>CUST100975</t>
  </si>
  <si>
    <t>CMP202608059</t>
  </si>
  <si>
    <t>CUST100232</t>
  </si>
  <si>
    <t>CUST101091</t>
  </si>
  <si>
    <t>CMP202608066</t>
  </si>
  <si>
    <t>CUST100476</t>
  </si>
  <si>
    <t>CMP202608007</t>
  </si>
  <si>
    <t>CUST100042</t>
  </si>
  <si>
    <t>CMP202608025</t>
  </si>
  <si>
    <t>CUST101203</t>
  </si>
  <si>
    <t>CMP202608027</t>
  </si>
  <si>
    <t>CUST101419</t>
  </si>
  <si>
    <t>CMP202608036</t>
  </si>
  <si>
    <t>CUST100384</t>
  </si>
  <si>
    <t>CUST100329</t>
  </si>
  <si>
    <t>CMP202608045</t>
  </si>
  <si>
    <t>CUST100859</t>
  </si>
  <si>
    <t>CUST100185</t>
  </si>
  <si>
    <t>CMP202608049</t>
  </si>
  <si>
    <t>CUST100200</t>
  </si>
  <si>
    <t>CMP202608055</t>
  </si>
  <si>
    <t>CUST101128</t>
  </si>
  <si>
    <t>CUST101244</t>
  </si>
  <si>
    <t>CUST101347</t>
  </si>
  <si>
    <t>CUST100797</t>
  </si>
  <si>
    <t>CMP202608074</t>
  </si>
  <si>
    <t>CUST100577</t>
  </si>
  <si>
    <t>CMP202608009</t>
  </si>
  <si>
    <t>CUST100744</t>
  </si>
  <si>
    <t>CMP202608022</t>
  </si>
  <si>
    <t>CUST100947</t>
  </si>
  <si>
    <t>CMP202608026</t>
  </si>
  <si>
    <t>CUST100097</t>
  </si>
  <si>
    <t>CMP202608038</t>
  </si>
  <si>
    <t>CUST101098</t>
  </si>
  <si>
    <t>CMP202608043</t>
  </si>
  <si>
    <t>CUST100328</t>
  </si>
  <si>
    <t>CMP202608052</t>
  </si>
  <si>
    <t>CUST101096</t>
  </si>
  <si>
    <t>CMP202608062</t>
  </si>
  <si>
    <t>CUST100719</t>
  </si>
  <si>
    <t>CMP202608063</t>
  </si>
  <si>
    <t>CUST101361</t>
  </si>
  <si>
    <t>CMP202608069</t>
  </si>
  <si>
    <t>CUST100900</t>
  </si>
  <si>
    <t>CUST100983</t>
  </si>
  <si>
    <t>CUST101377</t>
  </si>
  <si>
    <t>CUST101357</t>
  </si>
  <si>
    <t>CMP202608023</t>
  </si>
  <si>
    <t>CUST101375</t>
  </si>
  <si>
    <t>CUST100406</t>
  </si>
  <si>
    <t>CUST101352</t>
  </si>
  <si>
    <t>CMP202608029</t>
  </si>
  <si>
    <t>CUST100888</t>
  </si>
  <si>
    <t>CUST100566</t>
  </si>
  <si>
    <t>CUST101064</t>
  </si>
  <si>
    <t>CUST100830</t>
  </si>
  <si>
    <t>CUST100245</t>
  </si>
  <si>
    <t>CMP202608004</t>
  </si>
  <si>
    <t>CUST100793</t>
  </si>
  <si>
    <t>CMP202608012</t>
  </si>
  <si>
    <t>CUST100167</t>
  </si>
  <si>
    <t>CMP202608057</t>
  </si>
  <si>
    <t>CUST100059</t>
  </si>
  <si>
    <t>CUST101493</t>
  </si>
  <si>
    <t>CUST101077</t>
  </si>
  <si>
    <t>CMP202608015</t>
  </si>
  <si>
    <t>CUST100853</t>
  </si>
  <si>
    <t>CMP202608018</t>
  </si>
  <si>
    <t>CUST100486</t>
  </si>
  <si>
    <t>CMP202608030</t>
  </si>
  <si>
    <t>CUST101015</t>
  </si>
  <si>
    <t>CUST100665</t>
  </si>
  <si>
    <t>CMP202608037</t>
  </si>
  <si>
    <t>CUST100535</t>
  </si>
  <si>
    <t>CMP202608041</t>
  </si>
  <si>
    <t>CUST100321</t>
  </si>
  <si>
    <t>CUST100193</t>
  </si>
  <si>
    <t>CUST100536</t>
  </si>
  <si>
    <t>CMP202608067</t>
  </si>
  <si>
    <t>CUST100579</t>
  </si>
  <si>
    <t>CMP202608002</t>
  </si>
  <si>
    <t>CUST100225</t>
  </si>
  <si>
    <t>CMP202608021</t>
  </si>
  <si>
    <t>CUST100226</t>
  </si>
  <si>
    <t>CMP202608024</t>
  </si>
  <si>
    <t>CUST100288</t>
  </si>
  <si>
    <t>CUST100051</t>
  </si>
  <si>
    <t>CUST101236</t>
  </si>
  <si>
    <t>CMP202608068</t>
  </si>
  <si>
    <t>CUST100881</t>
  </si>
  <si>
    <t>CUST100508</t>
  </si>
  <si>
    <t>CUST101403</t>
  </si>
  <si>
    <t>CMP202608011</t>
  </si>
  <si>
    <t>CUST101373</t>
  </si>
  <si>
    <t>CMP202608014</t>
  </si>
  <si>
    <t>CUST100278</t>
  </si>
  <si>
    <t>CUST100862</t>
  </si>
  <si>
    <t>CMP202608033</t>
  </si>
  <si>
    <t>CUST101013</t>
  </si>
  <si>
    <t>CMP202608034</t>
  </si>
  <si>
    <t>CUST101023</t>
  </si>
  <si>
    <t>CUST100409</t>
  </si>
  <si>
    <t>CUST100352</t>
  </si>
  <si>
    <t>CUST101164</t>
  </si>
  <si>
    <t>CMP202608005</t>
  </si>
  <si>
    <t>CUST101131</t>
  </si>
  <si>
    <t>CUST100027</t>
  </si>
  <si>
    <t>CUST101400</t>
  </si>
  <si>
    <t>CUST100186</t>
  </si>
  <si>
    <t>CUST100421</t>
  </si>
  <si>
    <t>CUST100164</t>
  </si>
  <si>
    <t>CMP202608051</t>
  </si>
  <si>
    <t>CUST100546</t>
  </si>
  <si>
    <t>CUST100297</t>
  </si>
  <si>
    <t>CUST101315</t>
  </si>
  <si>
    <t>CMP202608010</t>
  </si>
  <si>
    <t>CUST101477</t>
  </si>
  <si>
    <t>CUST101282</t>
  </si>
  <si>
    <t>CUST101176</t>
  </si>
  <si>
    <t>CUST101251</t>
  </si>
  <si>
    <t>CUST100374</t>
  </si>
  <si>
    <t>CUST101072</t>
  </si>
  <si>
    <t>CUST101449</t>
  </si>
  <si>
    <t>CMP202608071</t>
  </si>
  <si>
    <t>CUST100834</t>
  </si>
  <si>
    <t>CMP202608077</t>
  </si>
  <si>
    <t>CUST100008</t>
  </si>
  <si>
    <t>CMP202608078</t>
  </si>
  <si>
    <t>CUST100618</t>
  </si>
  <si>
    <t>CUST100509</t>
  </si>
  <si>
    <t>CUST100481</t>
  </si>
  <si>
    <t>CUST100304</t>
  </si>
  <si>
    <t>CUST100194</t>
  </si>
  <si>
    <t>CMP202608035</t>
  </si>
  <si>
    <t>CUST100422</t>
  </si>
  <si>
    <t>CUST101314</t>
  </si>
  <si>
    <t>CUST100231</t>
  </si>
  <si>
    <t>CMP202608061</t>
  </si>
  <si>
    <t>CUST100787</t>
  </si>
  <si>
    <t>CMP202608070</t>
  </si>
  <si>
    <t>CUST100322</t>
  </si>
  <si>
    <t>CUST101300</t>
  </si>
  <si>
    <t>CMP202608075</t>
  </si>
  <si>
    <t>CUST100099</t>
  </si>
  <si>
    <t>CUST100247</t>
  </si>
  <si>
    <t>CUST101079</t>
  </si>
  <si>
    <t>CUST100494</t>
  </si>
  <si>
    <t>CUST100772</t>
  </si>
  <si>
    <t>CUST100963</t>
  </si>
  <si>
    <t>CUST100667</t>
  </si>
  <si>
    <t>CMP202608050</t>
  </si>
  <si>
    <t>CUST101218</t>
  </si>
  <si>
    <t>CUST100989</t>
  </si>
  <si>
    <t>CMP202608054</t>
  </si>
  <si>
    <t>CUST100676</t>
  </si>
  <si>
    <t>CUST100928</t>
  </si>
  <si>
    <t>CUST100084</t>
  </si>
  <si>
    <t>CUST101106</t>
  </si>
  <si>
    <t>CMP202608039</t>
  </si>
  <si>
    <t>CUST100436</t>
  </si>
  <si>
    <t>CUST100948</t>
  </si>
  <si>
    <t>CUST101384</t>
  </si>
  <si>
    <t>CUST100391</t>
  </si>
  <si>
    <t>CUST100736</t>
  </si>
  <si>
    <t>CMP202608017</t>
  </si>
  <si>
    <t>CUST101003</t>
  </si>
  <si>
    <t>CUST100129</t>
  </si>
  <si>
    <t>CUST100501</t>
  </si>
  <si>
    <t>CUST100780</t>
  </si>
  <si>
    <t>CUST101266</t>
  </si>
  <si>
    <t>CUST101337</t>
  </si>
  <si>
    <t>CMP202608047</t>
  </si>
  <si>
    <t>CUST101126</t>
  </si>
  <si>
    <t>CUST101027</t>
  </si>
  <si>
    <t>CUST100181</t>
  </si>
  <si>
    <t>CUST101068</t>
  </si>
  <si>
    <t>CMP202608006</t>
  </si>
  <si>
    <t>CUST100589</t>
  </si>
  <si>
    <t>CUST100496</t>
  </si>
  <si>
    <t>CMP202608013</t>
  </si>
  <si>
    <t>CUST101299</t>
  </si>
  <si>
    <t>CUST100400</t>
  </si>
  <si>
    <t>CUST100244</t>
  </si>
  <si>
    <t>CUST101216</t>
  </si>
  <si>
    <t>CUST101463</t>
  </si>
  <si>
    <t>CUST100901</t>
  </si>
  <si>
    <t>CUST100875</t>
  </si>
  <si>
    <t>CUST100119</t>
  </si>
  <si>
    <t>CUST101202</t>
  </si>
  <si>
    <t>CUST101020</t>
  </si>
  <si>
    <t>CUST100977</t>
  </si>
  <si>
    <t>CUST100659</t>
  </si>
  <si>
    <t>CUST100061</t>
  </si>
  <si>
    <t>CUST100812</t>
  </si>
  <si>
    <t>CUST100491</t>
  </si>
  <si>
    <t>CUST100857</t>
  </si>
  <si>
    <t>CMP202608060</t>
  </si>
  <si>
    <t>CUST100069</t>
  </si>
  <si>
    <t>CUST100547</t>
  </si>
  <si>
    <t>CUST100937</t>
  </si>
  <si>
    <t>CUST101364</t>
  </si>
  <si>
    <t>CMP202608019</t>
  </si>
  <si>
    <t>CUST100405</t>
  </si>
  <si>
    <t>CUST100039</t>
  </si>
  <si>
    <t>CMP202608028</t>
  </si>
  <si>
    <t>CUST101188</t>
  </si>
  <si>
    <t>CUST100291</t>
  </si>
  <si>
    <t>CUST101120</t>
  </si>
  <si>
    <t>CUST100498</t>
  </si>
  <si>
    <t>CUST101439</t>
  </si>
  <si>
    <t>CUST101334</t>
  </si>
  <si>
    <t>CUST100571</t>
  </si>
  <si>
    <t>CUST100375</t>
  </si>
  <si>
    <t>CUST101371</t>
  </si>
  <si>
    <t>CUST101045</t>
  </si>
  <si>
    <t>CUST100680</t>
  </si>
  <si>
    <t>CUST100334</t>
  </si>
  <si>
    <t>CUST101090</t>
  </si>
  <si>
    <t>CUST100731</t>
  </si>
  <si>
    <t>CUST100610</t>
  </si>
  <si>
    <t>CUST100214</t>
  </si>
  <si>
    <t>CUST101460</t>
  </si>
  <si>
    <t>CUST100822</t>
  </si>
  <si>
    <t>CUST100631</t>
  </si>
  <si>
    <t>CUST100141</t>
  </si>
  <si>
    <t>CUST101360</t>
  </si>
  <si>
    <t>CUST100966</t>
  </si>
  <si>
    <t>CUST100863</t>
  </si>
  <si>
    <t>CUST101366</t>
  </si>
  <si>
    <t>CMP202608072</t>
  </si>
  <si>
    <t>CUST101358</t>
  </si>
  <si>
    <t>CUST101259</t>
  </si>
  <si>
    <t>CUST101472</t>
  </si>
  <si>
    <t>CUST100041</t>
  </si>
  <si>
    <t>CUST100939</t>
  </si>
  <si>
    <t>CUST100490</t>
  </si>
  <si>
    <t>CUST101213</t>
  </si>
  <si>
    <t>CUST100959</t>
  </si>
  <si>
    <t>CUST100886</t>
  </si>
  <si>
    <t>CUST101233</t>
  </si>
  <si>
    <t>CUST101389</t>
  </si>
  <si>
    <t>CUST100956</t>
  </si>
  <si>
    <t>CUST100994</t>
  </si>
  <si>
    <t>CUST100465</t>
  </si>
  <si>
    <t>CUST101183</t>
  </si>
  <si>
    <t>CUST100213</t>
  </si>
  <si>
    <t>CUST101219</t>
  </si>
  <si>
    <t>CUST100649</t>
  </si>
  <si>
    <t>CUST100258</t>
  </si>
  <si>
    <t>CUST100100</t>
  </si>
  <si>
    <t>CUST100662</t>
  </si>
  <si>
    <t>CUST100246</t>
  </si>
  <si>
    <t>CUST100394</t>
  </si>
  <si>
    <t>CUST100922</t>
  </si>
  <si>
    <t>CUST100872</t>
  </si>
  <si>
    <t>CUST101336</t>
  </si>
  <si>
    <t>CUST101150</t>
  </si>
  <si>
    <t>CUST100531</t>
  </si>
  <si>
    <t>CUST100319</t>
  </si>
  <si>
    <t>Project Item</t>
  </si>
  <si>
    <t>Details</t>
  </si>
  <si>
    <t>Dataset</t>
  </si>
  <si>
    <t>Synthetic fintech campaign dataset created specifically for this portfolio project.</t>
  </si>
  <si>
    <t>Goal</t>
  </si>
  <si>
    <t>Analyze campaign effectiveness, customer segments, conversion performance and revenue.</t>
  </si>
  <si>
    <t>Primary Analysis</t>
  </si>
  <si>
    <t>Compare Channel, Segment, Customer Type, Region and monthly performance.</t>
  </si>
  <si>
    <t>KPIs</t>
  </si>
  <si>
    <t>Delivery %, CTR %, CTC %, Login Rate, Yield %, Conversion Rate, CPL, CPC, Spend and Revenue.</t>
  </si>
  <si>
    <t>Dashboard</t>
  </si>
  <si>
    <t>Build an executive-style dashboard with KPI cards, trends, channel/segment comparisons and key insights.</t>
  </si>
  <si>
    <t>Business Questions</t>
  </si>
  <si>
    <t>Which channels perform best? Which segments drive conversions? Fresh vs Repeat? Where is spend efficient? How can revenue be improved?</t>
  </si>
  <si>
    <t>Important</t>
  </si>
  <si>
    <t>Synthetic portfolio data only; it is not real company data and is unrelated to any previous files you provided.</t>
  </si>
  <si>
    <t>Delivery%</t>
  </si>
  <si>
    <t>CTR%</t>
  </si>
  <si>
    <t>Login Rate%</t>
  </si>
  <si>
    <t>Yield%</t>
  </si>
  <si>
    <t>Conversion Rate%</t>
  </si>
  <si>
    <t>CPL</t>
  </si>
  <si>
    <t>CPC</t>
  </si>
  <si>
    <t>ROI %</t>
  </si>
  <si>
    <t>Row Labels</t>
  </si>
  <si>
    <t>Grand Total</t>
  </si>
  <si>
    <t>Sum of Conversions</t>
  </si>
  <si>
    <t>Sum of Revenue</t>
  </si>
  <si>
    <t>Sum of Spend</t>
  </si>
  <si>
    <t>Channel ROI %</t>
  </si>
  <si>
    <t>Sum of Logins</t>
  </si>
  <si>
    <t>Channel Performance Summary</t>
  </si>
  <si>
    <t>Yield %</t>
  </si>
  <si>
    <t>Conversion Contribution %</t>
  </si>
  <si>
    <t>Customer Type</t>
  </si>
  <si>
    <t>Revenue Contribution %</t>
  </si>
  <si>
    <t>ROI%</t>
  </si>
  <si>
    <t>Customer Type Performance Summary</t>
  </si>
  <si>
    <t>Jan</t>
  </si>
  <si>
    <t>Feb</t>
  </si>
  <si>
    <t>Mar</t>
  </si>
  <si>
    <t>Apr</t>
  </si>
  <si>
    <t>May</t>
  </si>
  <si>
    <t>Jun</t>
  </si>
  <si>
    <t>Jul</t>
  </si>
  <si>
    <t>Aug</t>
  </si>
  <si>
    <t>Month</t>
  </si>
  <si>
    <t>Monthly Performance Summary</t>
  </si>
  <si>
    <t>Total Logins</t>
  </si>
  <si>
    <t>Total Conversions</t>
  </si>
  <si>
    <t>Overall Yield</t>
  </si>
  <si>
    <t>Total Spend</t>
  </si>
  <si>
    <t>Total Revenue</t>
  </si>
  <si>
    <t>Overall ROI</t>
  </si>
  <si>
    <t>Campaign Performance Dashboard</t>
  </si>
  <si>
    <t>Key Business Insights</t>
  </si>
  <si>
    <t>Repeat customers generated 2,500 conversions with a 6.96% yield, compared with 2,362 conversions and a 5.21% yield from Fresh customers. Repeat customers also generated ₹29.95 lakh in revenue versus ₹26.33 lakh from Fresh customers.</t>
  </si>
  <si>
    <t>1. Customer Type Performance</t>
  </si>
  <si>
    <t>2. Channel Performance</t>
  </si>
  <si>
    <t>RCS generated the highest number of conversions at 1,751 (36.01% of total conversions), followed by Email with 1,581 conversions (32.52%). SMS generated 611 conversions (12.57%), while WhatsApp generated 919 conversions (18.90%).</t>
  </si>
  <si>
    <t>3. Monthly Performance</t>
  </si>
  <si>
    <t>Monthly conversions ranged from 521 to 726. January recorded the highest conversions at 726, while August had the highest login volume at 12,179 and generated ₹8.23 lakh in revenue. Yield peaked at 6.19% in May and was lowest at 5.73% in April.</t>
  </si>
  <si>
    <t>Business Recommendations</t>
  </si>
  <si>
    <t>1. Strengthen Repeat Customer Engagement</t>
  </si>
  <si>
    <t>Repeat customers generated 2,500 conversions at a 6.96% yield. Consider focused campaigns and engagement strategies for repeat customers to maintain their conversion contribution.</t>
  </si>
  <si>
    <t>2. Optimize Channel Allocation</t>
  </si>
  <si>
    <r>
      <t xml:space="preserve">RCS and Email together contributed </t>
    </r>
    <r>
      <rPr>
        <b/>
        <sz val="11"/>
        <color theme="1"/>
        <rFont val="Calibri"/>
        <family val="2"/>
        <scheme val="minor"/>
      </rPr>
      <t>68.53% of total conversions</t>
    </r>
    <r>
      <rPr>
        <sz val="11"/>
        <color theme="1"/>
        <rFont val="Calibri"/>
        <family val="2"/>
        <scheme val="minor"/>
      </rPr>
      <t>. Review campaign performance across channels and evaluate opportunities to improve conversion contribution from WhatsApp and SMS.</t>
    </r>
  </si>
  <si>
    <t>3. Investigate Monthly Yield Variation</t>
  </si>
  <si>
    <r>
      <t xml:space="preserve">Monthly yield ranged from </t>
    </r>
    <r>
      <rPr>
        <b/>
        <sz val="11"/>
        <color theme="1"/>
        <rFont val="Calibri"/>
        <family val="2"/>
        <scheme val="minor"/>
      </rPr>
      <t>5.73% to 6.19%</t>
    </r>
    <r>
      <rPr>
        <sz val="11"/>
        <color theme="1"/>
        <rFont val="Calibri"/>
        <family val="2"/>
        <scheme val="minor"/>
      </rPr>
      <t>. Analyze the campaigns, customer mix, and channel performance during higher- and lower-yield months to identify factors associated with the variation.</t>
    </r>
  </si>
  <si>
    <t>Fintech Campaign Performance Analysis</t>
  </si>
  <si>
    <t>Business Problem</t>
  </si>
  <si>
    <t>The business runs customer acquisition and engagement campaigns across multiple channels and customer types. However, campaign performance can vary by channel, customer type, and month. This analysis aims to understand campaign performance, identify key conversion and yield patterns, and highlight opportunities for improving campaign effectiveness.</t>
  </si>
  <si>
    <t>Project Objective</t>
  </si>
  <si>
    <t>To analyze campaign performance across channels, customer types, and months using key metrics such as logins, conversions, yield, revenue, spend, and ROI. The analysis aims to identify performance patterns and generate actionable business recommendations.</t>
  </si>
  <si>
    <t>Data &amp; KPI Framework</t>
  </si>
  <si>
    <t>The analysis uses campaign-level data covering multiple channels, customer types, and monthly periods. Key performance indicators include Sent, Delivered, Clicks, Logins, Conversions, Spend, Revenue, Delivery Rate, CTR, Login Rate, Yield, Conversion Rate, CPL, CPC, and ROI.</t>
  </si>
  <si>
    <t>Analysis Approach</t>
  </si>
  <si>
    <t>Key Findings</t>
  </si>
  <si>
    <r>
      <t>RCS generated the highest conversions at 1,751 (36.01%)</t>
    </r>
    <r>
      <rPr>
        <sz val="11"/>
        <color theme="1"/>
        <rFont val="Calibri"/>
        <family val="2"/>
        <scheme val="minor"/>
      </rPr>
      <t>, followed by Email at 1,581 conversions (32.52%). WhatsApp contributed 919 conversions (18.90%), while SMS contributed 611 conversions (12.57%).</t>
    </r>
  </si>
  <si>
    <t>Monthly conversions ranged from 521 to 726. January recorded the highest conversions at 726, while August recorded the highest login volume at 12,179 and generated ₹8.23 lakh in revenue. Yield peaked at 6.19% in May and was lowest at 5.73% in April.</t>
  </si>
  <si>
    <t>Repeat customers demonstrated higher yield and conversion performance. Consider focused engagement strategies to maintain and improve repeat-customer contribution.</t>
  </si>
  <si>
    <t>2. Optimize Channel Performance</t>
  </si>
  <si>
    <t>RCS and Email together contributed 68.53% of total conversions. Review channel-level performance regularly to identify opportunities for improving contribution from other channels.</t>
  </si>
  <si>
    <t>3. Investigate Monthly Performance Variations</t>
  </si>
  <si>
    <t>Monthly yield varied between 5.73% and 6.19%. Analyze campaign mix, customer type, and channel performance during higher- and lower-yield months to identify improvement opportunities.</t>
  </si>
  <si>
    <t>Conclusion</t>
  </si>
  <si>
    <t>The analysis provides a consolidated view of campaign performance across customer types, channels, and months. The findings highlight differences in conversion, yield, revenue, and ROI performance and provide data-driven areas for further optimization.</t>
  </si>
  <si>
    <t>The analysis was performed using Excel through data quality checks, KPI calculations, pivot-based analysis, and dashboard visualizations. Campaign performance was evaluated across channels, customer types, and monthly periods to identify conversion, yield, revenue, and ROI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</si>
</sst>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164" formatCode="[$-F800]dddd\,\ mmmm\ dd\,\ yyyy"/>
    <numFmt numFmtId="165" formatCode="&quot;₹&quot;\ #,##0.00"/>
  </numFmts>
  <fonts count="11"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2"/>
      <color theme="1"/>
      <name val="Calibri"/>
      <family val="2"/>
      <scheme val="minor"/>
    </font>
    <font>
      <b/>
      <sz val="22"/>
      <color theme="1"/>
      <name val="Cambria"/>
      <family val="1"/>
      <scheme val="major"/>
    </font>
    <font>
      <b/>
      <sz val="14"/>
      <color theme="1"/>
      <name val="Calibri"/>
      <family val="2"/>
      <scheme val="minor"/>
    </font>
    <font>
      <sz val="20"/>
      <color theme="1"/>
      <name val="Cambria"/>
      <family val="1"/>
      <scheme val="major"/>
    </font>
    <font>
      <sz val="16"/>
      <color theme="1"/>
      <name val="Cambria"/>
      <family val="1"/>
      <scheme val="major"/>
    </font>
    <font>
      <b/>
      <sz val="12"/>
      <color theme="1"/>
      <name val="Constantia"/>
      <family val="1"/>
    </font>
    <font>
      <b/>
      <sz val="14"/>
      <color theme="1"/>
      <name val="Cambria"/>
      <family val="1"/>
      <scheme val="major"/>
    </font>
  </fonts>
  <fills count="10">
    <fill>
      <patternFill patternType="none"/>
    </fill>
    <fill>
      <patternFill patternType="gray125"/>
    </fill>
    <fill>
      <patternFill patternType="solid">
        <fgColor theme="8" tint="0.39997558519241921"/>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2">
    <xf numFmtId="0" fontId="0" fillId="0" borderId="0"/>
    <xf numFmtId="9" fontId="2"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9" fontId="0" fillId="0" borderId="0" xfId="1" applyFont="1"/>
    <xf numFmtId="2" fontId="0" fillId="0" borderId="0" xfId="1" applyNumberFormat="1" applyFont="1"/>
    <xf numFmtId="2" fontId="0" fillId="0" borderId="0" xfId="0" applyNumberFormat="1"/>
    <xf numFmtId="0" fontId="3" fillId="0" borderId="0" xfId="0" applyFont="1"/>
    <xf numFmtId="0" fontId="3" fillId="0" borderId="2" xfId="0" applyFont="1" applyBorder="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0" fontId="0" fillId="0" borderId="0" xfId="1" applyNumberFormat="1" applyFont="1"/>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10" fontId="0" fillId="0" borderId="0" xfId="0" applyNumberFormat="1"/>
    <xf numFmtId="9" fontId="0" fillId="0" borderId="0" xfId="0" applyNumberFormat="1"/>
    <xf numFmtId="0" fontId="3" fillId="4" borderId="0" xfId="0" applyFont="1" applyFill="1"/>
    <xf numFmtId="0" fontId="0" fillId="0" borderId="0" xfId="0" applyAlignment="1">
      <alignment vertical="center" wrapText="1"/>
    </xf>
    <xf numFmtId="3" fontId="0" fillId="0" borderId="0" xfId="0" applyNumberFormat="1" applyAlignment="1">
      <alignment horizontal="right" vertical="center" wrapText="1"/>
    </xf>
    <xf numFmtId="10" fontId="0" fillId="0" borderId="0" xfId="0" applyNumberFormat="1" applyAlignment="1">
      <alignment horizontal="right" vertical="center" wrapText="1"/>
    </xf>
    <xf numFmtId="8" fontId="0" fillId="0" borderId="0" xfId="0" applyNumberFormat="1" applyAlignment="1">
      <alignment horizontal="right" vertical="center" wrapText="1"/>
    </xf>
    <xf numFmtId="9" fontId="0" fillId="0" borderId="0" xfId="0" applyNumberFormat="1" applyAlignment="1">
      <alignment horizontal="right" vertical="center" wrapText="1"/>
    </xf>
    <xf numFmtId="6" fontId="0" fillId="0" borderId="0" xfId="0" applyNumberFormat="1" applyAlignment="1">
      <alignment horizontal="righ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right" vertical="center" wrapText="1"/>
    </xf>
    <xf numFmtId="0" fontId="4" fillId="0" borderId="1" xfId="0" applyFont="1" applyBorder="1" applyAlignment="1">
      <alignment horizontal="left"/>
    </xf>
    <xf numFmtId="0" fontId="6" fillId="0" borderId="1" xfId="0" applyFont="1" applyBorder="1" applyAlignment="1">
      <alignment horizontal="center" vertical="center"/>
    </xf>
    <xf numFmtId="10" fontId="6" fillId="0" borderId="1" xfId="1" applyNumberFormat="1" applyFont="1" applyBorder="1" applyAlignment="1">
      <alignment horizontal="center" vertical="center"/>
    </xf>
    <xf numFmtId="165" fontId="6" fillId="0" borderId="1" xfId="0" applyNumberFormat="1" applyFont="1" applyBorder="1" applyAlignment="1">
      <alignment horizontal="center" vertical="center"/>
    </xf>
    <xf numFmtId="0" fontId="0" fillId="0" borderId="0" xfId="0" applyAlignment="1">
      <alignment wrapText="1"/>
    </xf>
    <xf numFmtId="0" fontId="6" fillId="0" borderId="0" xfId="0" applyFont="1"/>
    <xf numFmtId="0" fontId="3" fillId="0" borderId="0" xfId="0" applyFont="1" applyAlignment="1">
      <alignment wrapText="1"/>
    </xf>
    <xf numFmtId="0" fontId="9" fillId="3" borderId="0" xfId="0" applyFont="1" applyFill="1"/>
    <xf numFmtId="0" fontId="0" fillId="0" borderId="0" xfId="0" applyAlignment="1">
      <alignment vertical="top" wrapText="1"/>
    </xf>
    <xf numFmtId="0" fontId="10" fillId="9" borderId="0" xfId="0" applyFont="1" applyFill="1"/>
    <xf numFmtId="0" fontId="0" fillId="0" borderId="0" xfId="0" applyAlignment="1">
      <alignment horizontal="left" vertical="top" wrapText="1"/>
    </xf>
    <xf numFmtId="0" fontId="8" fillId="8" borderId="0" xfId="0" applyFont="1" applyFill="1" applyAlignment="1">
      <alignment horizontal="center" vertical="center"/>
    </xf>
    <xf numFmtId="0" fontId="0" fillId="3" borderId="0" xfId="0" applyFill="1"/>
    <xf numFmtId="0" fontId="3" fillId="5" borderId="0" xfId="0" applyFont="1" applyFill="1"/>
    <xf numFmtId="0" fontId="3" fillId="6" borderId="0" xfId="0" applyFont="1" applyFill="1"/>
    <xf numFmtId="0" fontId="7" fillId="6" borderId="0" xfId="0" applyFont="1" applyFill="1"/>
    <xf numFmtId="0" fontId="6" fillId="0" borderId="0" xfId="0" applyFont="1"/>
    <xf numFmtId="0" fontId="6" fillId="0" borderId="0" xfId="0" applyFont="1" applyAlignment="1">
      <alignment horizontal="left"/>
    </xf>
    <xf numFmtId="0" fontId="5" fillId="0" borderId="0" xfId="0" applyFont="1" applyAlignment="1">
      <alignment horizontal="center" vertical="center"/>
    </xf>
  </cellXfs>
  <cellStyles count="2">
    <cellStyle name="Normal" xfId="0" builtinId="0"/>
    <cellStyle name="Percent" xfId="1" builtinId="5"/>
  </cellStyles>
  <dxfs count="5">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Conversion Trent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6.1111111111111109E-2"/>
          <c:y val="0.21747703412073491"/>
          <c:w val="0.93888888888888888"/>
          <c:h val="0.69827172645086033"/>
        </c:manualLayout>
      </c:layout>
      <c:lineChart>
        <c:grouping val="standard"/>
        <c:varyColors val="0"/>
        <c:ser>
          <c:idx val="0"/>
          <c:order val="0"/>
          <c:tx>
            <c:strRef>
              <c:f>'Monthly Performance'!$J$3</c:f>
              <c:strCache>
                <c:ptCount val="1"/>
                <c:pt idx="0">
                  <c:v>Conversions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 Performance'!$H$4:$H$11</c:f>
              <c:strCache>
                <c:ptCount val="8"/>
                <c:pt idx="0">
                  <c:v>Jan</c:v>
                </c:pt>
                <c:pt idx="1">
                  <c:v>Feb</c:v>
                </c:pt>
                <c:pt idx="2">
                  <c:v>Mar</c:v>
                </c:pt>
                <c:pt idx="3">
                  <c:v>Apr</c:v>
                </c:pt>
                <c:pt idx="4">
                  <c:v>May</c:v>
                </c:pt>
                <c:pt idx="5">
                  <c:v>Jun</c:v>
                </c:pt>
                <c:pt idx="6">
                  <c:v>Jul</c:v>
                </c:pt>
                <c:pt idx="7">
                  <c:v>Aug</c:v>
                </c:pt>
              </c:strCache>
            </c:strRef>
          </c:cat>
          <c:val>
            <c:numRef>
              <c:f>'Monthly Performance'!$J$4:$J$11</c:f>
              <c:numCache>
                <c:formatCode>General</c:formatCode>
                <c:ptCount val="8"/>
                <c:pt idx="0">
                  <c:v>726</c:v>
                </c:pt>
                <c:pt idx="1">
                  <c:v>521</c:v>
                </c:pt>
                <c:pt idx="2">
                  <c:v>566</c:v>
                </c:pt>
                <c:pt idx="3">
                  <c:v>573</c:v>
                </c:pt>
                <c:pt idx="4">
                  <c:v>578</c:v>
                </c:pt>
                <c:pt idx="5">
                  <c:v>611</c:v>
                </c:pt>
                <c:pt idx="6">
                  <c:v>581</c:v>
                </c:pt>
                <c:pt idx="7">
                  <c:v>706</c:v>
                </c:pt>
              </c:numCache>
            </c:numRef>
          </c:val>
          <c:smooth val="0"/>
          <c:extLst>
            <c:ext xmlns:c16="http://schemas.microsoft.com/office/drawing/2014/chart" uri="{C3380CC4-5D6E-409C-BE32-E72D297353CC}">
              <c16:uniqueId val="{00000000-033C-4635-AD49-D9A7F7E32437}"/>
            </c:ext>
          </c:extLst>
        </c:ser>
        <c:dLbls>
          <c:dLblPos val="ctr"/>
          <c:showLegendKey val="0"/>
          <c:showVal val="1"/>
          <c:showCatName val="0"/>
          <c:showSerName val="0"/>
          <c:showPercent val="0"/>
          <c:showBubbleSize val="0"/>
        </c:dLbls>
        <c:marker val="1"/>
        <c:smooth val="0"/>
        <c:axId val="1640986079"/>
        <c:axId val="1363312"/>
      </c:lineChart>
      <c:catAx>
        <c:axId val="1640986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3312"/>
        <c:crosses val="autoZero"/>
        <c:auto val="1"/>
        <c:lblAlgn val="ctr"/>
        <c:lblOffset val="100"/>
        <c:noMultiLvlLbl val="0"/>
      </c:catAx>
      <c:valAx>
        <c:axId val="1363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409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2090334115587691"/>
          <c:y val="8.2179951913039756E-2"/>
          <c:w val="0.83904103040738665"/>
          <c:h val="0.71330363392116403"/>
        </c:manualLayout>
      </c:layout>
      <c:lineChart>
        <c:grouping val="standard"/>
        <c:varyColors val="0"/>
        <c:ser>
          <c:idx val="0"/>
          <c:order val="0"/>
          <c:tx>
            <c:strRef>
              <c:f>'Monthly Performance'!$M$3</c:f>
              <c:strCache>
                <c:ptCount val="1"/>
                <c:pt idx="0">
                  <c:v>Revenue</c:v>
                </c:pt>
              </c:strCache>
            </c:strRef>
          </c:tx>
          <c:spPr>
            <a:ln w="22225" cap="rnd">
              <a:solidFill>
                <a:schemeClr val="accent1"/>
              </a:solidFill>
              <a:round/>
            </a:ln>
            <a:effectLst/>
          </c:spPr>
          <c:marker>
            <c:symbol val="none"/>
          </c:marker>
          <c:dLbls>
            <c:delete val="1"/>
          </c:dLbls>
          <c:cat>
            <c:strRef>
              <c:f>'Monthly Performance'!$H$4:$H$11</c:f>
              <c:strCache>
                <c:ptCount val="8"/>
                <c:pt idx="0">
                  <c:v>Jan</c:v>
                </c:pt>
                <c:pt idx="1">
                  <c:v>Feb</c:v>
                </c:pt>
                <c:pt idx="2">
                  <c:v>Mar</c:v>
                </c:pt>
                <c:pt idx="3">
                  <c:v>Apr</c:v>
                </c:pt>
                <c:pt idx="4">
                  <c:v>May</c:v>
                </c:pt>
                <c:pt idx="5">
                  <c:v>Jun</c:v>
                </c:pt>
                <c:pt idx="6">
                  <c:v>Jul</c:v>
                </c:pt>
                <c:pt idx="7">
                  <c:v>Aug</c:v>
                </c:pt>
              </c:strCache>
            </c:strRef>
          </c:cat>
          <c:val>
            <c:numRef>
              <c:f>'Monthly Performance'!$M$4:$M$11</c:f>
              <c:numCache>
                <c:formatCode>"₹"#,##0.00_);[Red]\("₹"#,##0.00\)</c:formatCode>
                <c:ptCount val="8"/>
                <c:pt idx="0" formatCode="&quot;₹&quot;#,##0_);[Red]\(&quot;₹&quot;#,##0\)">
                  <c:v>845670.68</c:v>
                </c:pt>
                <c:pt idx="1">
                  <c:v>599468.42000000016</c:v>
                </c:pt>
                <c:pt idx="2">
                  <c:v>654462.24</c:v>
                </c:pt>
                <c:pt idx="3">
                  <c:v>641990.18999999971</c:v>
                </c:pt>
                <c:pt idx="4">
                  <c:v>658972.85000000009</c:v>
                </c:pt>
                <c:pt idx="5">
                  <c:v>710465.74999999977</c:v>
                </c:pt>
                <c:pt idx="6">
                  <c:v>694600.58</c:v>
                </c:pt>
                <c:pt idx="7">
                  <c:v>823260.13</c:v>
                </c:pt>
              </c:numCache>
            </c:numRef>
          </c:val>
          <c:smooth val="0"/>
          <c:extLst>
            <c:ext xmlns:c16="http://schemas.microsoft.com/office/drawing/2014/chart" uri="{C3380CC4-5D6E-409C-BE32-E72D297353CC}">
              <c16:uniqueId val="{00000000-F295-4B26-8214-2AD4F778C4E2}"/>
            </c:ext>
          </c:extLst>
        </c:ser>
        <c:dLbls>
          <c:dLblPos val="ctr"/>
          <c:showLegendKey val="0"/>
          <c:showVal val="1"/>
          <c:showCatName val="0"/>
          <c:showSerName val="0"/>
          <c:showPercent val="0"/>
          <c:showBubbleSize val="0"/>
        </c:dLbls>
        <c:smooth val="0"/>
        <c:axId val="1737874575"/>
        <c:axId val="1730615183"/>
      </c:lineChart>
      <c:catAx>
        <c:axId val="173787457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30615183"/>
        <c:crosses val="autoZero"/>
        <c:auto val="1"/>
        <c:lblAlgn val="ctr"/>
        <c:lblOffset val="100"/>
        <c:noMultiLvlLbl val="0"/>
      </c:catAx>
      <c:valAx>
        <c:axId val="173061518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378745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Conversion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barChart>
        <c:barDir val="col"/>
        <c:grouping val="clustered"/>
        <c:varyColors val="0"/>
        <c:ser>
          <c:idx val="0"/>
          <c:order val="0"/>
          <c:tx>
            <c:strRef>
              <c:f>Channel!$L$3</c:f>
              <c:strCache>
                <c:ptCount val="1"/>
                <c:pt idx="0">
                  <c:v>Conversions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Channel!$J$4:$J$7</c:f>
              <c:strCache>
                <c:ptCount val="4"/>
                <c:pt idx="0">
                  <c:v>Email</c:v>
                </c:pt>
                <c:pt idx="1">
                  <c:v>RCS</c:v>
                </c:pt>
                <c:pt idx="2">
                  <c:v>SMS</c:v>
                </c:pt>
                <c:pt idx="3">
                  <c:v>WhatsApp</c:v>
                </c:pt>
              </c:strCache>
            </c:strRef>
          </c:cat>
          <c:val>
            <c:numRef>
              <c:f>Channel!$L$4:$L$7</c:f>
              <c:numCache>
                <c:formatCode>General</c:formatCode>
                <c:ptCount val="4"/>
                <c:pt idx="0">
                  <c:v>1581</c:v>
                </c:pt>
                <c:pt idx="1">
                  <c:v>1751</c:v>
                </c:pt>
                <c:pt idx="2">
                  <c:v>611</c:v>
                </c:pt>
                <c:pt idx="3">
                  <c:v>919</c:v>
                </c:pt>
              </c:numCache>
            </c:numRef>
          </c:val>
          <c:extLst>
            <c:ext xmlns:c16="http://schemas.microsoft.com/office/drawing/2014/chart" uri="{C3380CC4-5D6E-409C-BE32-E72D297353CC}">
              <c16:uniqueId val="{00000000-331B-4242-A851-2E84F71D9C65}"/>
            </c:ext>
          </c:extLst>
        </c:ser>
        <c:dLbls>
          <c:dLblPos val="inEnd"/>
          <c:showLegendKey val="0"/>
          <c:showVal val="1"/>
          <c:showCatName val="0"/>
          <c:showSerName val="0"/>
          <c:showPercent val="0"/>
          <c:showBubbleSize val="0"/>
        </c:dLbls>
        <c:gapWidth val="65"/>
        <c:axId val="1717497279"/>
        <c:axId val="1730670863"/>
      </c:barChart>
      <c:catAx>
        <c:axId val="1717497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670863"/>
        <c:crosses val="autoZero"/>
        <c:auto val="1"/>
        <c:lblAlgn val="ctr"/>
        <c:lblOffset val="100"/>
        <c:noMultiLvlLbl val="0"/>
      </c:catAx>
      <c:valAx>
        <c:axId val="17306708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749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ROI By Channel</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3052703426610887"/>
          <c:y val="0.27740628412971013"/>
          <c:w val="0.8694729657338911"/>
          <c:h val="0.63728932545390327"/>
        </c:manualLayout>
      </c:layout>
      <c:barChart>
        <c:barDir val="col"/>
        <c:grouping val="clustered"/>
        <c:varyColors val="0"/>
        <c:ser>
          <c:idx val="0"/>
          <c:order val="0"/>
          <c:tx>
            <c:strRef>
              <c:f>Channel!$L$3</c:f>
              <c:strCache>
                <c:ptCount val="1"/>
                <c:pt idx="0">
                  <c:v>Conversions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Channel!$J$4:$J$7</c:f>
              <c:strCache>
                <c:ptCount val="4"/>
                <c:pt idx="0">
                  <c:v>Email</c:v>
                </c:pt>
                <c:pt idx="1">
                  <c:v>RCS</c:v>
                </c:pt>
                <c:pt idx="2">
                  <c:v>SMS</c:v>
                </c:pt>
                <c:pt idx="3">
                  <c:v>WhatsApp</c:v>
                </c:pt>
              </c:strCache>
            </c:strRef>
          </c:cat>
          <c:val>
            <c:numRef>
              <c:f>Channel!$L$4:$L$7</c:f>
              <c:numCache>
                <c:formatCode>General</c:formatCode>
                <c:ptCount val="4"/>
                <c:pt idx="0">
                  <c:v>1581</c:v>
                </c:pt>
                <c:pt idx="1">
                  <c:v>1751</c:v>
                </c:pt>
                <c:pt idx="2">
                  <c:v>611</c:v>
                </c:pt>
                <c:pt idx="3">
                  <c:v>919</c:v>
                </c:pt>
              </c:numCache>
            </c:numRef>
          </c:val>
          <c:extLst>
            <c:ext xmlns:c16="http://schemas.microsoft.com/office/drawing/2014/chart" uri="{C3380CC4-5D6E-409C-BE32-E72D297353CC}">
              <c16:uniqueId val="{00000000-AB7B-46D2-AC02-E54F1B9B3F16}"/>
            </c:ext>
          </c:extLst>
        </c:ser>
        <c:dLbls>
          <c:dLblPos val="inEnd"/>
          <c:showLegendKey val="0"/>
          <c:showVal val="1"/>
          <c:showCatName val="0"/>
          <c:showSerName val="0"/>
          <c:showPercent val="0"/>
          <c:showBubbleSize val="0"/>
        </c:dLbls>
        <c:gapWidth val="65"/>
        <c:axId val="1738147535"/>
        <c:axId val="1730568623"/>
      </c:barChart>
      <c:catAx>
        <c:axId val="1738147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568623"/>
        <c:crosses val="autoZero"/>
        <c:auto val="1"/>
        <c:lblAlgn val="ctr"/>
        <c:lblOffset val="100"/>
        <c:noMultiLvlLbl val="0"/>
      </c:catAx>
      <c:valAx>
        <c:axId val="17305686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3814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ConversionBy Customer Type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'Fresh and Repeat'!$M$3</c:f>
              <c:strCache>
                <c:ptCount val="1"/>
                <c:pt idx="0">
                  <c:v>Conversions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'Fresh and Repeat'!$K$4:$K$5</c:f>
              <c:strCache>
                <c:ptCount val="2"/>
                <c:pt idx="0">
                  <c:v>Fresh</c:v>
                </c:pt>
                <c:pt idx="1">
                  <c:v>Repeat</c:v>
                </c:pt>
              </c:strCache>
            </c:strRef>
          </c:cat>
          <c:val>
            <c:numRef>
              <c:f>'Fresh and Repeat'!$M$4:$M$5</c:f>
              <c:numCache>
                <c:formatCode>#,##0</c:formatCode>
                <c:ptCount val="2"/>
                <c:pt idx="0">
                  <c:v>2362</c:v>
                </c:pt>
                <c:pt idx="1">
                  <c:v>2500</c:v>
                </c:pt>
              </c:numCache>
            </c:numRef>
          </c:val>
          <c:extLst>
            <c:ext xmlns:c16="http://schemas.microsoft.com/office/drawing/2014/chart" uri="{C3380CC4-5D6E-409C-BE32-E72D297353CC}">
              <c16:uniqueId val="{00000000-2101-4C5E-BF56-357C4B37DD9B}"/>
            </c:ext>
          </c:extLst>
        </c:ser>
        <c:dLbls>
          <c:dLblPos val="inEnd"/>
          <c:showLegendKey val="0"/>
          <c:showVal val="1"/>
          <c:showCatName val="0"/>
          <c:showSerName val="0"/>
          <c:showPercent val="0"/>
          <c:showBubbleSize val="0"/>
        </c:dLbls>
        <c:gapWidth val="65"/>
        <c:axId val="1738034783"/>
        <c:axId val="1730665583"/>
      </c:barChart>
      <c:catAx>
        <c:axId val="1738034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665583"/>
        <c:crosses val="autoZero"/>
        <c:auto val="1"/>
        <c:lblAlgn val="ctr"/>
        <c:lblOffset val="100"/>
        <c:noMultiLvlLbl val="0"/>
      </c:catAx>
      <c:valAx>
        <c:axId val="173066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7380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Yield  By Customer Type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3145525294064553"/>
          <c:y val="0.26478734339129184"/>
          <c:w val="0.86601618547681536"/>
          <c:h val="0.65378851133541194"/>
        </c:manualLayout>
      </c:layout>
      <c:barChart>
        <c:barDir val="col"/>
        <c:grouping val="clustered"/>
        <c:varyColors val="0"/>
        <c:ser>
          <c:idx val="0"/>
          <c:order val="0"/>
          <c:tx>
            <c:strRef>
              <c:f>'Fresh and Repeat'!$N$3</c:f>
              <c:strCache>
                <c:ptCount val="1"/>
                <c:pt idx="0">
                  <c:v>Yield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'Fresh and Repeat'!$K$4:$K$5</c:f>
              <c:strCache>
                <c:ptCount val="2"/>
                <c:pt idx="0">
                  <c:v>Fresh</c:v>
                </c:pt>
                <c:pt idx="1">
                  <c:v>Repeat</c:v>
                </c:pt>
              </c:strCache>
            </c:strRef>
          </c:cat>
          <c:val>
            <c:numRef>
              <c:f>'Fresh and Repeat'!$N$4:$N$5</c:f>
              <c:numCache>
                <c:formatCode>0.00%</c:formatCode>
                <c:ptCount val="2"/>
                <c:pt idx="0">
                  <c:v>5.2058538305562903E-2</c:v>
                </c:pt>
                <c:pt idx="1">
                  <c:v>6.9568121104185213E-2</c:v>
                </c:pt>
              </c:numCache>
            </c:numRef>
          </c:val>
          <c:extLst>
            <c:ext xmlns:c16="http://schemas.microsoft.com/office/drawing/2014/chart" uri="{C3380CC4-5D6E-409C-BE32-E72D297353CC}">
              <c16:uniqueId val="{00000000-7206-4BA0-8DDC-0F2B7B5A194E}"/>
            </c:ext>
          </c:extLst>
        </c:ser>
        <c:dLbls>
          <c:dLblPos val="inEnd"/>
          <c:showLegendKey val="0"/>
          <c:showVal val="1"/>
          <c:showCatName val="0"/>
          <c:showSerName val="0"/>
          <c:showPercent val="0"/>
          <c:showBubbleSize val="0"/>
        </c:dLbls>
        <c:gapWidth val="65"/>
        <c:axId val="1737851839"/>
        <c:axId val="1730643983"/>
      </c:barChart>
      <c:catAx>
        <c:axId val="1737851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0643983"/>
        <c:crosses val="autoZero"/>
        <c:auto val="1"/>
        <c:lblAlgn val="ctr"/>
        <c:lblOffset val="100"/>
        <c:noMultiLvlLbl val="0"/>
      </c:catAx>
      <c:valAx>
        <c:axId val="17306439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73785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'Fresh and Repeat'!$P$3</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'Fresh and Repeat'!$K$4:$K$5</c:f>
              <c:strCache>
                <c:ptCount val="2"/>
                <c:pt idx="0">
                  <c:v>Fresh</c:v>
                </c:pt>
                <c:pt idx="1">
                  <c:v>Repeat</c:v>
                </c:pt>
              </c:strCache>
            </c:strRef>
          </c:cat>
          <c:val>
            <c:numRef>
              <c:f>'Fresh and Repeat'!$P$4:$P$5</c:f>
              <c:numCache>
                <c:formatCode>"₹"#,##0.00_);[Red]\("₹"#,##0.00\)</c:formatCode>
                <c:ptCount val="2"/>
                <c:pt idx="0">
                  <c:v>2633626.5000000028</c:v>
                </c:pt>
                <c:pt idx="1">
                  <c:v>2995264.3399999971</c:v>
                </c:pt>
              </c:numCache>
            </c:numRef>
          </c:val>
          <c:extLst>
            <c:ext xmlns:c16="http://schemas.microsoft.com/office/drawing/2014/chart" uri="{C3380CC4-5D6E-409C-BE32-E72D297353CC}">
              <c16:uniqueId val="{00000000-3998-4CF7-A886-F968D4A7456C}"/>
            </c:ext>
          </c:extLst>
        </c:ser>
        <c:dLbls>
          <c:dLblPos val="inEnd"/>
          <c:showLegendKey val="0"/>
          <c:showVal val="1"/>
          <c:showCatName val="0"/>
          <c:showSerName val="0"/>
          <c:showPercent val="0"/>
          <c:showBubbleSize val="0"/>
        </c:dLbls>
        <c:gapWidth val="65"/>
        <c:axId val="1738195791"/>
        <c:axId val="1797364783"/>
      </c:barChart>
      <c:catAx>
        <c:axId val="1738195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7364783"/>
        <c:crosses val="autoZero"/>
        <c:auto val="1"/>
        <c:lblAlgn val="ctr"/>
        <c:lblOffset val="100"/>
        <c:noMultiLvlLbl val="0"/>
      </c:catAx>
      <c:valAx>
        <c:axId val="17973647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Red]\(&quot;₹&quot;#,##0.00\)" sourceLinked="1"/>
        <c:majorTickMark val="none"/>
        <c:minorTickMark val="none"/>
        <c:tickLblPos val="nextTo"/>
        <c:crossAx val="173819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7057</xdr:colOff>
      <xdr:row>0</xdr:row>
      <xdr:rowOff>444500</xdr:rowOff>
    </xdr:from>
    <xdr:to>
      <xdr:col>12</xdr:col>
      <xdr:colOff>599723</xdr:colOff>
      <xdr:row>13</xdr:row>
      <xdr:rowOff>169334</xdr:rowOff>
    </xdr:to>
    <xdr:graphicFrame macro="">
      <xdr:nvGraphicFramePr>
        <xdr:cNvPr id="2" name="Chart 1">
          <a:extLst>
            <a:ext uri="{FF2B5EF4-FFF2-40B4-BE49-F238E27FC236}">
              <a16:creationId xmlns:a16="http://schemas.microsoft.com/office/drawing/2014/main" id="{2D9D677D-A541-82F1-7B48-2C024D502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592668</xdr:colOff>
      <xdr:row>1</xdr:row>
      <xdr:rowOff>14111</xdr:rowOff>
    </xdr:from>
    <xdr:to>
      <xdr:col>23</xdr:col>
      <xdr:colOff>0</xdr:colOff>
      <xdr:row>14</xdr:row>
      <xdr:rowOff>0</xdr:rowOff>
    </xdr:to>
    <xdr:graphicFrame macro="">
      <xdr:nvGraphicFramePr>
        <xdr:cNvPr id="3" name="Chart 2">
          <a:extLst>
            <a:ext uri="{FF2B5EF4-FFF2-40B4-BE49-F238E27FC236}">
              <a16:creationId xmlns:a16="http://schemas.microsoft.com/office/drawing/2014/main" id="{9A8ED3F9-1FE4-4251-8DCB-926378147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7056</xdr:colOff>
      <xdr:row>15</xdr:row>
      <xdr:rowOff>141111</xdr:rowOff>
    </xdr:from>
    <xdr:to>
      <xdr:col>12</xdr:col>
      <xdr:colOff>599722</xdr:colOff>
      <xdr:row>31</xdr:row>
      <xdr:rowOff>7054</xdr:rowOff>
    </xdr:to>
    <xdr:graphicFrame macro="">
      <xdr:nvGraphicFramePr>
        <xdr:cNvPr id="4" name="Chart 2">
          <a:extLst>
            <a:ext uri="{FF2B5EF4-FFF2-40B4-BE49-F238E27FC236}">
              <a16:creationId xmlns:a16="http://schemas.microsoft.com/office/drawing/2014/main" id="{4C5B5E69-DA40-C9EF-695F-93A3CC401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606777</xdr:colOff>
      <xdr:row>15</xdr:row>
      <xdr:rowOff>169333</xdr:rowOff>
    </xdr:from>
    <xdr:to>
      <xdr:col>23</xdr:col>
      <xdr:colOff>14110</xdr:colOff>
      <xdr:row>30</xdr:row>
      <xdr:rowOff>176389</xdr:rowOff>
    </xdr:to>
    <xdr:graphicFrame macro="">
      <xdr:nvGraphicFramePr>
        <xdr:cNvPr id="6" name="Chart 4">
          <a:extLst>
            <a:ext uri="{FF2B5EF4-FFF2-40B4-BE49-F238E27FC236}">
              <a16:creationId xmlns:a16="http://schemas.microsoft.com/office/drawing/2014/main" id="{4F198EA5-FF63-F752-F3C4-430174AA4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14110</xdr:colOff>
      <xdr:row>31</xdr:row>
      <xdr:rowOff>141112</xdr:rowOff>
    </xdr:from>
    <xdr:to>
      <xdr:col>13</xdr:col>
      <xdr:colOff>14111</xdr:colOff>
      <xdr:row>46</xdr:row>
      <xdr:rowOff>7058</xdr:rowOff>
    </xdr:to>
    <xdr:graphicFrame macro="">
      <xdr:nvGraphicFramePr>
        <xdr:cNvPr id="7" name="Chart 1">
          <a:extLst>
            <a:ext uri="{FF2B5EF4-FFF2-40B4-BE49-F238E27FC236}">
              <a16:creationId xmlns:a16="http://schemas.microsoft.com/office/drawing/2014/main" id="{E87D2404-0277-1DC7-BDFC-971C0C5B1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14111</xdr:colOff>
      <xdr:row>32</xdr:row>
      <xdr:rowOff>14111</xdr:rowOff>
    </xdr:from>
    <xdr:to>
      <xdr:col>23</xdr:col>
      <xdr:colOff>14111</xdr:colOff>
      <xdr:row>46</xdr:row>
      <xdr:rowOff>7056</xdr:rowOff>
    </xdr:to>
    <xdr:graphicFrame macro="">
      <xdr:nvGraphicFramePr>
        <xdr:cNvPr id="8" name="Chart 2">
          <a:extLst>
            <a:ext uri="{FF2B5EF4-FFF2-40B4-BE49-F238E27FC236}">
              <a16:creationId xmlns:a16="http://schemas.microsoft.com/office/drawing/2014/main" id="{7A433A2B-2322-E6BE-45E8-114F54C50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592667</xdr:colOff>
      <xdr:row>46</xdr:row>
      <xdr:rowOff>148167</xdr:rowOff>
    </xdr:from>
    <xdr:to>
      <xdr:col>12</xdr:col>
      <xdr:colOff>599722</xdr:colOff>
      <xdr:row>65</xdr:row>
      <xdr:rowOff>69320</xdr:rowOff>
    </xdr:to>
    <xdr:graphicFrame macro="">
      <xdr:nvGraphicFramePr>
        <xdr:cNvPr id="9" name="Chart 3">
          <a:extLst>
            <a:ext uri="{FF2B5EF4-FFF2-40B4-BE49-F238E27FC236}">
              <a16:creationId xmlns:a16="http://schemas.microsoft.com/office/drawing/2014/main" id="{3667F101-6C83-82FB-C9C7-DEB9B280B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si Medona S" refreshedDate="46282.441605208332" createdVersion="8" refreshedVersion="8" minRefreshableVersion="3" recordCount="1500" xr:uid="{F104222F-41FF-440B-9F08-6140792294B5}">
  <cacheSource type="worksheet">
    <worksheetSource ref="A1:X1501" sheet="Raw_Data"/>
  </cacheSource>
  <cacheFields count="26">
    <cacheField name="Campaign_Date" numFmtId="164">
      <sharedItems containsSemiMixedTypes="0" containsNonDate="0" containsDate="1" containsString="0" minDate="2026-01-01T00:00:00" maxDate="2026-09-01T00:00:00" count="243">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sharedItems>
      <fieldGroup par="25"/>
    </cacheField>
    <cacheField name="Campaign_ID" numFmtId="0">
      <sharedItems/>
    </cacheField>
    <cacheField name="Customer_ID" numFmtId="0">
      <sharedItems/>
    </cacheField>
    <cacheField name="Channel" numFmtId="0">
      <sharedItems count="4">
        <s v="RCS"/>
        <s v="SMS"/>
        <s v="Email"/>
        <s v="WhatsApp"/>
      </sharedItems>
    </cacheField>
    <cacheField name="Segment" numFmtId="0">
      <sharedItems/>
    </cacheField>
    <cacheField name="Customer_Type" numFmtId="0">
      <sharedItems count="2">
        <s v="Fresh"/>
        <s v="Repeat"/>
      </sharedItems>
    </cacheField>
    <cacheField name="Region" numFmtId="0">
      <sharedItems/>
    </cacheField>
    <cacheField name="Age_Group" numFmtId="0">
      <sharedItems/>
    </cacheField>
    <cacheField name="Base_Size" numFmtId="0">
      <sharedItems containsSemiMixedTypes="0" containsString="0" containsNumber="1" containsInteger="1" minValue="404" maxValue="4999"/>
    </cacheField>
    <cacheField name="Sent" numFmtId="0">
      <sharedItems containsSemiMixedTypes="0" containsString="0" containsNumber="1" containsInteger="1" minValue="307" maxValue="4839"/>
    </cacheField>
    <cacheField name="Delivered" numFmtId="0">
      <sharedItems containsSemiMixedTypes="0" containsString="0" containsNumber="1" containsInteger="1" minValue="278" maxValue="4678"/>
    </cacheField>
    <cacheField name="Clicks" numFmtId="0">
      <sharedItems containsSemiMixedTypes="0" containsString="0" containsNumber="1" containsInteger="1" minValue="1" maxValue="429"/>
    </cacheField>
    <cacheField name="Logins" numFmtId="0">
      <sharedItems containsSemiMixedTypes="0" containsString="0" containsNumber="1" containsInteger="1" minValue="1" maxValue="276"/>
    </cacheField>
    <cacheField name="Conversions" numFmtId="0">
      <sharedItems containsSemiMixedTypes="0" containsString="0" containsNumber="1" containsInteger="1" minValue="0" maxValue="32"/>
    </cacheField>
    <cacheField name="Spend" numFmtId="0">
      <sharedItems containsSemiMixedTypes="0" containsString="0" containsNumber="1" minValue="21.9" maxValue="963.87"/>
    </cacheField>
    <cacheField name="Revenue" numFmtId="0">
      <sharedItems containsSemiMixedTypes="0" containsString="0" containsNumber="1" minValue="0" maxValue="41266.94" count="1170">
        <n v="0"/>
        <n v="1257.3699999999999"/>
        <n v="23331.79"/>
        <n v="3716.39"/>
        <n v="760.13"/>
        <n v="5936.89"/>
        <n v="25116.74"/>
        <n v="2307.52"/>
        <n v="7725.44"/>
        <n v="3628.58"/>
        <n v="2604.9899999999998"/>
        <n v="1708.66"/>
        <n v="796.83"/>
        <n v="8783.35"/>
        <n v="838.91"/>
        <n v="2811.04"/>
        <n v="5366.33"/>
        <n v="956.55"/>
        <n v="688.72"/>
        <n v="4714.7"/>
        <n v="14152.59"/>
        <n v="3523.57"/>
        <n v="903.67"/>
        <n v="1029.21"/>
        <n v="1123.8800000000001"/>
        <n v="9697.85"/>
        <n v="6134.4"/>
        <n v="1103.76"/>
        <n v="3088.45"/>
        <n v="4129.3999999999996"/>
        <n v="987.58"/>
        <n v="13072.5"/>
        <n v="5783.62"/>
        <n v="2122.48"/>
        <n v="2605.75"/>
        <n v="2605.13"/>
        <n v="724.01"/>
        <n v="5061.55"/>
        <n v="1144.6099999999999"/>
        <n v="4627.63"/>
        <n v="5789.21"/>
        <n v="6993"/>
        <n v="1200.44"/>
        <n v="5349.29"/>
        <n v="10722.62"/>
        <n v="6037.32"/>
        <n v="5140.17"/>
        <n v="778.19"/>
        <n v="3965.92"/>
        <n v="9868.83"/>
        <n v="583.03"/>
        <n v="8907.52"/>
        <n v="1001.97"/>
        <n v="3933.1"/>
        <n v="2815.47"/>
        <n v="2548.94"/>
        <n v="5459.68"/>
        <n v="3160.62"/>
        <n v="8481.1299999999992"/>
        <n v="2610.59"/>
        <n v="1546.36"/>
        <n v="14430.71"/>
        <n v="27482.58"/>
        <n v="822.12"/>
        <n v="3495.4"/>
        <n v="1968.17"/>
        <n v="1065.23"/>
        <n v="1092"/>
        <n v="3693.48"/>
        <n v="3369.09"/>
        <n v="4468.91"/>
        <n v="4379.3999999999996"/>
        <n v="4895.49"/>
        <n v="6158.83"/>
        <n v="2913.63"/>
        <n v="2977.54"/>
        <n v="1349.76"/>
        <n v="2873.48"/>
        <n v="4248.8"/>
        <n v="5296.58"/>
        <n v="7536.68"/>
        <n v="2494.0300000000002"/>
        <n v="1785.29"/>
        <n v="1040.32"/>
        <n v="16803.61"/>
        <n v="13127.31"/>
        <n v="1680.1"/>
        <n v="1320.6"/>
        <n v="812.38"/>
        <n v="1812.29"/>
        <n v="7561.41"/>
        <n v="1532.73"/>
        <n v="3961.69"/>
        <n v="13438.11"/>
        <n v="14885.81"/>
        <n v="5176.21"/>
        <n v="4558.6400000000003"/>
        <n v="2613.34"/>
        <n v="7723.89"/>
        <n v="1027.97"/>
        <n v="1269.94"/>
        <n v="3649.04"/>
        <n v="4902.2700000000004"/>
        <n v="1290.5999999999999"/>
        <n v="4041.19"/>
        <n v="1396.2"/>
        <n v="3080.23"/>
        <n v="7123.8"/>
        <n v="10607.97"/>
        <n v="1074.95"/>
        <n v="6207.29"/>
        <n v="5232.8"/>
        <n v="5114.58"/>
        <n v="5207.33"/>
        <n v="1495.47"/>
        <n v="865.24"/>
        <n v="2118.84"/>
        <n v="726.71"/>
        <n v="854.15"/>
        <n v="8169.3"/>
        <n v="5227.24"/>
        <n v="5266.5"/>
        <n v="7227.55"/>
        <n v="5870.94"/>
        <n v="932.86"/>
        <n v="934.75"/>
        <n v="3957.03"/>
        <n v="704.56"/>
        <n v="1029.6400000000001"/>
        <n v="721.24"/>
        <n v="2762.79"/>
        <n v="8568.08"/>
        <n v="6776.4"/>
        <n v="865.35"/>
        <n v="27880.29"/>
        <n v="2854.89"/>
        <n v="10519.83"/>
        <n v="1323.62"/>
        <n v="5387.55"/>
        <n v="7671.18"/>
        <n v="3910.81"/>
        <n v="2572.25"/>
        <n v="2636.11"/>
        <n v="735.3"/>
        <n v="984.3"/>
        <n v="2494.27"/>
        <n v="11854.63"/>
        <n v="3583.61"/>
        <n v="7465.88"/>
        <n v="5708.33"/>
        <n v="26093.66"/>
        <n v="5671.13"/>
        <n v="4867.05"/>
        <n v="1121.22"/>
        <n v="862.79"/>
        <n v="11204.22"/>
        <n v="1364.1"/>
        <n v="5716.13"/>
        <n v="6212.99"/>
        <n v="1471.82"/>
        <n v="6992.47"/>
        <n v="861.94"/>
        <n v="2073.02"/>
        <n v="11941.64"/>
        <n v="2141.1999999999998"/>
        <n v="2041.41"/>
        <n v="25224.92"/>
        <n v="1445.84"/>
        <n v="8463.4699999999993"/>
        <n v="2676.63"/>
        <n v="2927.77"/>
        <n v="6830.07"/>
        <n v="758.43"/>
        <n v="1107.3499999999999"/>
        <n v="1362.91"/>
        <n v="2825.82"/>
        <n v="1184.55"/>
        <n v="6606.03"/>
        <n v="25587.34"/>
        <n v="6852.7"/>
        <n v="4411.6499999999996"/>
        <n v="1542.55"/>
        <n v="32361.05"/>
        <n v="2930.27"/>
        <n v="2102.52"/>
        <n v="3857.91"/>
        <n v="12803.22"/>
        <n v="6758.22"/>
        <n v="1339.34"/>
        <n v="4786.2700000000004"/>
        <n v="3106.79"/>
        <n v="13273.12"/>
        <n v="1443.42"/>
        <n v="3386.97"/>
        <n v="1094.97"/>
        <n v="1522.79"/>
        <n v="16776.88"/>
        <n v="13782.7"/>
        <n v="928.8"/>
        <n v="11385.49"/>
        <n v="679.82"/>
        <n v="6916.48"/>
        <n v="4572.13"/>
        <n v="892.71"/>
        <n v="2163.0700000000002"/>
        <n v="2843.09"/>
        <n v="1040.1099999999999"/>
        <n v="894.31"/>
        <n v="12591.1"/>
        <n v="4712.72"/>
        <n v="1414.93"/>
        <n v="19950.47"/>
        <n v="3072.66"/>
        <n v="22910.52"/>
        <n v="3048.04"/>
        <n v="6439.86"/>
        <n v="690"/>
        <n v="8461.0300000000007"/>
        <n v="8953.7800000000007"/>
        <n v="7175.85"/>
        <n v="4365.08"/>
        <n v="5092.54"/>
        <n v="2852.38"/>
        <n v="12275.89"/>
        <n v="5075.22"/>
        <n v="689.89"/>
        <n v="2370.9699999999998"/>
        <n v="10742.92"/>
        <n v="19153.47"/>
        <n v="6025.53"/>
        <n v="10541.02"/>
        <n v="930.45"/>
        <n v="12902.15"/>
        <n v="702.74"/>
        <n v="1035.51"/>
        <n v="6282.33"/>
        <n v="9584.8700000000008"/>
        <n v="5418.43"/>
        <n v="3851.51"/>
        <n v="7888.33"/>
        <n v="966.75"/>
        <n v="4371.8500000000004"/>
        <n v="2703.11"/>
        <n v="997.06"/>
        <n v="3052.76"/>
        <n v="5130.47"/>
        <n v="8651.43"/>
        <n v="1496.88"/>
        <n v="3640.94"/>
        <n v="1044.8599999999999"/>
        <n v="2855.68"/>
        <n v="6180.41"/>
        <n v="14673.02"/>
        <n v="2390.7600000000002"/>
        <n v="18542.84"/>
        <n v="1137.44"/>
        <n v="9539.68"/>
        <n v="6115.58"/>
        <n v="3787.12"/>
        <n v="5889.75"/>
        <n v="581.20000000000005"/>
        <n v="758.98"/>
        <n v="2641.56"/>
        <n v="3200.91"/>
        <n v="6773.79"/>
        <n v="3688.53"/>
        <n v="1125.2"/>
        <n v="860.02"/>
        <n v="3447.72"/>
        <n v="1494.71"/>
        <n v="690.42"/>
        <n v="11052.89"/>
        <n v="2024.25"/>
        <n v="4143.43"/>
        <n v="3306.2"/>
        <n v="10596.18"/>
        <n v="2018.46"/>
        <n v="7767.57"/>
        <n v="1518.91"/>
        <n v="13342.88"/>
        <n v="6456.68"/>
        <n v="1407.88"/>
        <n v="4371.59"/>
        <n v="687.22"/>
        <n v="2468.06"/>
        <n v="1555.19"/>
        <n v="3043.49"/>
        <n v="5357.11"/>
        <n v="4818.59"/>
        <n v="7661.1"/>
        <n v="20326.25"/>
        <n v="1230.6199999999999"/>
        <n v="1127.46"/>
        <n v="1776.57"/>
        <n v="1577.72"/>
        <n v="1062.05"/>
        <n v="855.58"/>
        <n v="12774.51"/>
        <n v="2702.95"/>
        <n v="8933.7199999999993"/>
        <n v="8601.91"/>
        <n v="7604.12"/>
        <n v="1532.95"/>
        <n v="3304.44"/>
        <n v="2357.48"/>
        <n v="5252.23"/>
        <n v="5611.38"/>
        <n v="1064.0999999999999"/>
        <n v="1410.46"/>
        <n v="1682.04"/>
        <n v="3633.94"/>
        <n v="7712.34"/>
        <n v="1943.33"/>
        <n v="1792.05"/>
        <n v="7057.2"/>
        <n v="3075.34"/>
        <n v="3733.59"/>
        <n v="2877.43"/>
        <n v="4902.95"/>
        <n v="1002.11"/>
        <n v="1387.62"/>
        <n v="4209.33"/>
        <n v="10555.35"/>
        <n v="4424.1400000000003"/>
        <n v="2194.0300000000002"/>
        <n v="1736.52"/>
        <n v="4342.49"/>
        <n v="843.86"/>
        <n v="1071.9100000000001"/>
        <n v="4168.54"/>
        <n v="2376.0100000000002"/>
        <n v="1188.17"/>
        <n v="9342.64"/>
        <n v="6740.14"/>
        <n v="3684.36"/>
        <n v="2199.4299999999998"/>
        <n v="1382.55"/>
        <n v="4807.04"/>
        <n v="2352.29"/>
        <n v="7810.63"/>
        <n v="17460.45"/>
        <n v="10881.92"/>
        <n v="27407.46"/>
        <n v="11196.6"/>
        <n v="2719.43"/>
        <n v="2607.4899999999998"/>
        <n v="2637.11"/>
        <n v="4353.57"/>
        <n v="8414.69"/>
        <n v="2278.11"/>
        <n v="2225.17"/>
        <n v="1340.96"/>
        <n v="3208.97"/>
        <n v="1103.9100000000001"/>
        <n v="4943.33"/>
        <n v="4990.7299999999996"/>
        <n v="1338.28"/>
        <n v="1340.62"/>
        <n v="765.66"/>
        <n v="4483.07"/>
        <n v="1752"/>
        <n v="3899.46"/>
        <n v="851.4"/>
        <n v="6188.73"/>
        <n v="5087.07"/>
        <n v="5581.51"/>
        <n v="6160.12"/>
        <n v="4370.99"/>
        <n v="2726.11"/>
        <n v="2445.84"/>
        <n v="4587.01"/>
        <n v="5410.84"/>
        <n v="803.16"/>
        <n v="1676.96"/>
        <n v="1608.84"/>
        <n v="2067.4299999999998"/>
        <n v="653.07000000000005"/>
        <n v="14222"/>
        <n v="3105.69"/>
        <n v="2381.14"/>
        <n v="2400.77"/>
        <n v="6618.91"/>
        <n v="11506.31"/>
        <n v="908.42"/>
        <n v="6993.39"/>
        <n v="1131.25"/>
        <n v="5356.98"/>
        <n v="41266.94"/>
        <n v="5486.27"/>
        <n v="2220.4499999999998"/>
        <n v="3691.35"/>
        <n v="5569.81"/>
        <n v="2927.59"/>
        <n v="9359.2999999999993"/>
        <n v="4890.1400000000003"/>
        <n v="14052.28"/>
        <n v="994.03"/>
        <n v="880.56"/>
        <n v="1266.83"/>
        <n v="4543.6099999999997"/>
        <n v="6638.74"/>
        <n v="3847.36"/>
        <n v="2850.28"/>
        <n v="2837.37"/>
        <n v="6968.25"/>
        <n v="4893.34"/>
        <n v="1217.9100000000001"/>
        <n v="8660.76"/>
        <n v="3000.96"/>
        <n v="4237.3599999999997"/>
        <n v="10313"/>
        <n v="7844.22"/>
        <n v="924.21"/>
        <n v="10712.2"/>
        <n v="3613.56"/>
        <n v="3770.12"/>
        <n v="6363.92"/>
        <n v="955.4"/>
        <n v="2855.33"/>
        <n v="972.69"/>
        <n v="5022.0600000000004"/>
        <n v="1410.74"/>
        <n v="2141.63"/>
        <n v="12649.23"/>
        <n v="765.33"/>
        <n v="1173.7"/>
        <n v="9670.15"/>
        <n v="11829.93"/>
        <n v="1505.97"/>
        <n v="7056.39"/>
        <n v="17006.18"/>
        <n v="1475.78"/>
        <n v="1043.98"/>
        <n v="1060.71"/>
        <n v="5553"/>
        <n v="771.09"/>
        <n v="5975.28"/>
        <n v="1765.04"/>
        <n v="976.82"/>
        <n v="4630.28"/>
        <n v="7450.47"/>
        <n v="4534"/>
        <n v="688.41"/>
        <n v="9141.31"/>
        <n v="2517.9"/>
        <n v="2979.59"/>
        <n v="1259.92"/>
        <n v="1818.93"/>
        <n v="6417.43"/>
        <n v="700.32"/>
        <n v="2724.16"/>
        <n v="2482.08"/>
        <n v="914.25"/>
        <n v="6829.69"/>
        <n v="5717.67"/>
        <n v="2773.6"/>
        <n v="2351.65"/>
        <n v="1334.07"/>
        <n v="1915.55"/>
        <n v="2077.58"/>
        <n v="956.59"/>
        <n v="3613.16"/>
        <n v="9548.86"/>
        <n v="2002.7"/>
        <n v="1007.14"/>
        <n v="1657.79"/>
        <n v="3967.33"/>
        <n v="679.88"/>
        <n v="1703.22"/>
        <n v="602.87"/>
        <n v="780.09"/>
        <n v="1421.91"/>
        <n v="1267.81"/>
        <n v="2325.17"/>
        <n v="18639.05"/>
        <n v="1327.09"/>
        <n v="830.78"/>
        <n v="1515.26"/>
        <n v="954.56"/>
        <n v="8680.1"/>
        <n v="2545.6999999999998"/>
        <n v="6993.61"/>
        <n v="4709.16"/>
        <n v="3444.79"/>
        <n v="2880.58"/>
        <n v="6306.75"/>
        <n v="576.16999999999996"/>
        <n v="937.16"/>
        <n v="9399.16"/>
        <n v="1275.6400000000001"/>
        <n v="3863.15"/>
        <n v="7175.9"/>
        <n v="2975.53"/>
        <n v="3601.34"/>
        <n v="11899.37"/>
        <n v="1306.5"/>
        <n v="1211.56"/>
        <n v="1300.8900000000001"/>
        <n v="2758.53"/>
        <n v="2585.27"/>
        <n v="7121.91"/>
        <n v="1027.0999999999999"/>
        <n v="941.71"/>
        <n v="5407.64"/>
        <n v="10808.24"/>
        <n v="2050.27"/>
        <n v="8549.58"/>
        <n v="11834.69"/>
        <n v="951.24"/>
        <n v="16996.11"/>
        <n v="1056.46"/>
        <n v="21085.69"/>
        <n v="6252.31"/>
        <n v="1957.37"/>
        <n v="8917.9699999999993"/>
        <n v="889.06"/>
        <n v="1030.79"/>
        <n v="3293.59"/>
        <n v="7296.94"/>
        <n v="736.85"/>
        <n v="885.64"/>
        <n v="1587.44"/>
        <n v="853.69"/>
        <n v="1781.86"/>
        <n v="829.5"/>
        <n v="1007.74"/>
        <n v="995.33"/>
        <n v="10377.01"/>
        <n v="7512.48"/>
        <n v="5059.3100000000004"/>
        <n v="3609.74"/>
        <n v="5746.55"/>
        <n v="12102.41"/>
        <n v="3050.6"/>
        <n v="18660.03"/>
        <n v="1309.96"/>
        <n v="3982.72"/>
        <n v="23125.62"/>
        <n v="695.21"/>
        <n v="1534.58"/>
        <n v="3365.54"/>
        <n v="1112.96"/>
        <n v="2716.46"/>
        <n v="783.94"/>
        <n v="2266.44"/>
        <n v="1018.78"/>
        <n v="912.93"/>
        <n v="2775.46"/>
        <n v="8685.35"/>
        <n v="670.46"/>
        <n v="7151.82"/>
        <n v="6372.42"/>
        <n v="1418.49"/>
        <n v="9346.25"/>
        <n v="2938.51"/>
        <n v="7654.72"/>
        <n v="18757.14"/>
        <n v="3792.24"/>
        <n v="4327.28"/>
        <n v="1502.64"/>
        <n v="2324"/>
        <n v="835.47"/>
        <n v="2563.14"/>
        <n v="9931.16"/>
        <n v="1325.84"/>
        <n v="1395.24"/>
        <n v="1215.78"/>
        <n v="9298.82"/>
        <n v="1119.52"/>
        <n v="3785.19"/>
        <n v="28318.48"/>
        <n v="3971.48"/>
        <n v="803.5"/>
        <n v="705.31"/>
        <n v="11754.1"/>
        <n v="17011.099999999999"/>
        <n v="901.53"/>
        <n v="1027.26"/>
        <n v="8238.5400000000009"/>
        <n v="9565.39"/>
        <n v="1927.84"/>
        <n v="5662.31"/>
        <n v="7646.84"/>
        <n v="2900.57"/>
        <n v="7280.1"/>
        <n v="8455.1"/>
        <n v="2863.05"/>
        <n v="4294.55"/>
        <n v="4588.8900000000003"/>
        <n v="4476.8999999999996"/>
        <n v="8474.43"/>
        <n v="1085.1099999999999"/>
        <n v="950.29"/>
        <n v="4875.7700000000004"/>
        <n v="2547.17"/>
        <n v="868.9"/>
        <n v="1748.84"/>
        <n v="1760.85"/>
        <n v="12521.61"/>
        <n v="905.37"/>
        <n v="4606.0200000000004"/>
        <n v="5258.88"/>
        <n v="3282.87"/>
        <n v="14542.34"/>
        <n v="1488.04"/>
        <n v="1136.32"/>
        <n v="21733.83"/>
        <n v="3434.82"/>
        <n v="1185.53"/>
        <n v="1245.1199999999999"/>
        <n v="2800.11"/>
        <n v="2612.8000000000002"/>
        <n v="3592.3"/>
        <n v="762.72"/>
        <n v="1067.6199999999999"/>
        <n v="1504.12"/>
        <n v="28361.02"/>
        <n v="6433.17"/>
        <n v="1295.49"/>
        <n v="1011.95"/>
        <n v="10317.459999999999"/>
        <n v="4150.71"/>
        <n v="948.02"/>
        <n v="5832.39"/>
        <n v="879.48"/>
        <n v="5806.53"/>
        <n v="10718.38"/>
        <n v="4660.29"/>
        <n v="2681.72"/>
        <n v="4457.49"/>
        <n v="1228.72"/>
        <n v="21621.84"/>
        <n v="4068.72"/>
        <n v="8927.2099999999991"/>
        <n v="3846.26"/>
        <n v="18708.27"/>
        <n v="876.92"/>
        <n v="1003.72"/>
        <n v="742.66"/>
        <n v="1516.06"/>
        <n v="940.35"/>
        <n v="12056.73"/>
        <n v="9243.02"/>
        <n v="14398.87"/>
        <n v="1078.3800000000001"/>
        <n v="2693.76"/>
        <n v="3969.64"/>
        <n v="6977.55"/>
        <n v="11538.81"/>
        <n v="1674.08"/>
        <n v="680.49"/>
        <n v="2600.41"/>
        <n v="7224.56"/>
        <n v="1254.44"/>
        <n v="4118.08"/>
        <n v="2090.62"/>
        <n v="4411.3500000000004"/>
        <n v="1724.46"/>
        <n v="1236.94"/>
        <n v="3253.71"/>
        <n v="8797.2999999999993"/>
        <n v="710.77"/>
        <n v="3438.17"/>
        <n v="7716.6"/>
        <n v="3683.81"/>
        <n v="1055.28"/>
        <n v="1133.03"/>
        <n v="7998.2"/>
        <n v="1996.74"/>
        <n v="5100.63"/>
        <n v="1220.1300000000001"/>
        <n v="9105.6200000000008"/>
        <n v="1150.8499999999999"/>
        <n v="3107.81"/>
        <n v="1726.55"/>
        <n v="2650.74"/>
        <n v="2347.89"/>
        <n v="990.39"/>
        <n v="968.16"/>
        <n v="809.54"/>
        <n v="1524.11"/>
        <n v="1255.47"/>
        <n v="6692.55"/>
        <n v="2295.1999999999998"/>
        <n v="1630.5"/>
        <n v="10222.75"/>
        <n v="1215.3599999999999"/>
        <n v="1178.8699999999999"/>
        <n v="2504.0300000000002"/>
        <n v="5416.5"/>
        <n v="1417.43"/>
        <n v="741.75"/>
        <n v="9268.83"/>
        <n v="699.56"/>
        <n v="925.21"/>
        <n v="3217.54"/>
        <n v="4321.66"/>
        <n v="5708.35"/>
        <n v="719.37"/>
        <n v="16870.09"/>
        <n v="7178.6"/>
        <n v="6184.7"/>
        <n v="5745.19"/>
        <n v="1630.13"/>
        <n v="1655.76"/>
        <n v="5480.79"/>
        <n v="864.61"/>
        <n v="1863.83"/>
        <n v="5870.88"/>
        <n v="1152"/>
        <n v="15644.34"/>
        <n v="5544.71"/>
        <n v="4586.62"/>
        <n v="2810.32"/>
        <n v="1426.38"/>
        <n v="928.62"/>
        <n v="3833.83"/>
        <n v="3397.95"/>
        <n v="8549.35"/>
        <n v="10272.73"/>
        <n v="685.32"/>
        <n v="14117.14"/>
        <n v="5572.72"/>
        <n v="5358.42"/>
        <n v="8754.24"/>
        <n v="6804.26"/>
        <n v="5956.93"/>
        <n v="1014.92"/>
        <n v="706.75"/>
        <n v="1808.01"/>
        <n v="4534.2"/>
        <n v="11744.29"/>
        <n v="4106.34"/>
        <n v="4016.71"/>
        <n v="7760.77"/>
        <n v="17523.2"/>
        <n v="22872.959999999999"/>
        <n v="733.88"/>
        <n v="3485.98"/>
        <n v="1046.93"/>
        <n v="3688.04"/>
        <n v="1243.96"/>
        <n v="2210.02"/>
        <n v="1360.61"/>
        <n v="8875.4500000000007"/>
        <n v="1750.77"/>
        <n v="2648.59"/>
        <n v="4587.8500000000004"/>
        <n v="1316.58"/>
        <n v="15164.53"/>
        <n v="3492.39"/>
        <n v="949"/>
        <n v="9147.33"/>
        <n v="4079.2"/>
        <n v="1442.61"/>
        <n v="5423.33"/>
        <n v="13509.73"/>
        <n v="874.45"/>
        <n v="1408.97"/>
        <n v="1598.41"/>
        <n v="14691.77"/>
        <n v="2535.4299999999998"/>
        <n v="5368.62"/>
        <n v="2329.38"/>
        <n v="1247.55"/>
        <n v="4257.41"/>
        <n v="943.85"/>
        <n v="9200.7000000000007"/>
        <n v="4158.87"/>
        <n v="1919.28"/>
        <n v="5171.63"/>
        <n v="810.49"/>
        <n v="4308.12"/>
        <n v="1041.52"/>
        <n v="6189.4"/>
        <n v="1250.71"/>
        <n v="4579.71"/>
        <n v="9693.34"/>
        <n v="4471"/>
        <n v="22131.16"/>
        <n v="3371.49"/>
        <n v="11001.38"/>
        <n v="3516.54"/>
        <n v="6320.52"/>
        <n v="18008.310000000001"/>
        <n v="681.77"/>
        <n v="3603.4"/>
        <n v="2070.54"/>
        <n v="2172.69"/>
        <n v="4443.3999999999996"/>
        <n v="4955.96"/>
        <n v="988.66"/>
        <n v="11540.58"/>
        <n v="3467.08"/>
        <n v="1907.93"/>
        <n v="921.34"/>
        <n v="876.64"/>
        <n v="7936.28"/>
        <n v="4436.8500000000004"/>
        <n v="1584.19"/>
        <n v="6132.45"/>
        <n v="3400.41"/>
        <n v="886.85"/>
        <n v="2219.25"/>
        <n v="845.4"/>
        <n v="7848.57"/>
        <n v="8503.25"/>
        <n v="980.21"/>
        <n v="3670.9"/>
        <n v="22525.21"/>
        <n v="9151.77"/>
        <n v="18747.080000000002"/>
        <n v="2271.48"/>
        <n v="901.94"/>
        <n v="759.07"/>
        <n v="1336.97"/>
        <n v="7710.73"/>
        <n v="2837.24"/>
        <n v="4961.5600000000004"/>
        <n v="3413.32"/>
        <n v="1050.69"/>
        <n v="8648.14"/>
        <n v="7743.89"/>
        <n v="3336.59"/>
        <n v="4136.8999999999996"/>
        <n v="1166.19"/>
        <n v="12505.08"/>
        <n v="2911.6"/>
        <n v="1411.71"/>
        <n v="7786.52"/>
        <n v="9999.09"/>
        <n v="2191.69"/>
        <n v="3342.13"/>
        <n v="2466.0500000000002"/>
        <n v="7708.99"/>
        <n v="2385.83"/>
        <n v="3435.52"/>
        <n v="1068.52"/>
        <n v="3595.03"/>
        <n v="924.93"/>
        <n v="4199.26"/>
        <n v="7153.94"/>
        <n v="2846.84"/>
        <n v="1228.3399999999999"/>
        <n v="638.08000000000004"/>
        <n v="1441.93"/>
        <n v="3526.5"/>
        <n v="6807.51"/>
        <n v="4799.6499999999996"/>
        <n v="9280.08"/>
        <n v="1420.46"/>
        <n v="4134.8100000000004"/>
        <n v="9576.35"/>
        <n v="903.96"/>
        <n v="4308.28"/>
        <n v="9184.27"/>
        <n v="10733.76"/>
        <n v="1185.57"/>
        <n v="8594.16"/>
        <n v="1329"/>
        <n v="4108.78"/>
        <n v="4506.92"/>
        <n v="14867.23"/>
        <n v="2475.23"/>
        <n v="7373.38"/>
        <n v="5568.35"/>
        <n v="4305.75"/>
        <n v="11325.17"/>
        <n v="2246.8000000000002"/>
        <n v="11810.45"/>
        <n v="1612.32"/>
        <n v="11830.55"/>
        <n v="3795.27"/>
        <n v="825.42"/>
        <n v="1747.46"/>
        <n v="2555.9699999999998"/>
        <n v="12031.74"/>
        <n v="13770.59"/>
        <n v="2897.12"/>
        <n v="2260.7600000000002"/>
        <n v="5139.5200000000004"/>
        <n v="1040.53"/>
        <n v="916.13"/>
        <n v="25289.14"/>
        <n v="1374.07"/>
        <n v="1308.49"/>
        <n v="3487.89"/>
        <n v="739.05"/>
        <n v="9815.0400000000009"/>
        <n v="1037.6400000000001"/>
        <n v="896.3"/>
        <n v="1298.8"/>
        <n v="716.93"/>
        <n v="3414.15"/>
        <n v="6947.05"/>
        <n v="2005.79"/>
        <n v="2976.82"/>
        <n v="2132.91"/>
        <n v="2584.56"/>
        <n v="1703.05"/>
        <n v="3297.26"/>
        <n v="4153.66"/>
        <n v="815.24"/>
        <n v="2716.35"/>
        <n v="719.83"/>
        <n v="2528.4299999999998"/>
        <n v="7147.27"/>
        <n v="2303.7399999999998"/>
        <n v="8224.24"/>
        <n v="6666.48"/>
        <n v="2367.9899999999998"/>
        <n v="1150.43"/>
        <n v="5637.86"/>
        <n v="736.92"/>
        <n v="8852.0499999999993"/>
        <n v="1469.94"/>
        <n v="1096.26"/>
        <n v="1047.75"/>
        <n v="1821.77"/>
        <n v="2147.02"/>
        <n v="4127.49"/>
        <n v="3289.11"/>
        <n v="1710.34"/>
        <n v="7146.66"/>
        <n v="1779.05"/>
        <n v="13863.8"/>
        <n v="2675.62"/>
        <n v="2175.38"/>
        <n v="17906.05"/>
        <n v="3513.47"/>
        <n v="7404.94"/>
        <n v="3550.33"/>
        <n v="5820.13"/>
        <n v="14402.82"/>
        <n v="685.48"/>
        <n v="16668.28"/>
        <n v="4933.1499999999996"/>
        <n v="1450.92"/>
        <n v="4681.78"/>
        <n v="756.32"/>
        <n v="1055.57"/>
        <n v="24458.41"/>
        <n v="6454.55"/>
        <n v="2810.73"/>
        <n v="7697.12"/>
        <n v="8371.51"/>
        <n v="1833.01"/>
        <n v="6740.31"/>
        <n v="9251.1200000000008"/>
        <n v="1055.82"/>
        <n v="1218.1400000000001"/>
        <n v="651.09"/>
        <n v="2803.3"/>
        <n v="6941.93"/>
        <n v="1273.6600000000001"/>
        <n v="2885.87"/>
        <n v="1507.83"/>
        <n v="9728.93"/>
        <n v="3976.27"/>
        <n v="1117.07"/>
        <n v="842.77"/>
        <n v="1445.04"/>
        <n v="16239.12"/>
        <n v="3168.82"/>
        <n v="5693.67"/>
        <n v="4697.51"/>
        <n v="11801.62"/>
        <n v="5159.54"/>
        <n v="2976.07"/>
        <n v="1238.9000000000001"/>
        <n v="2665.56"/>
        <n v="976.2"/>
        <n v="1263.58"/>
        <n v="3311.29"/>
        <n v="4301.0600000000004"/>
        <n v="1654.3"/>
        <n v="8927.1299999999992"/>
        <n v="4004.16"/>
        <n v="2000.45"/>
        <n v="967.79"/>
        <n v="1589.54"/>
        <n v="1353.52"/>
        <n v="4665.45"/>
        <n v="1262"/>
        <n v="1390.42"/>
        <n v="2174.33"/>
        <n v="1552.99"/>
        <n v="7364.44"/>
        <n v="8679.83"/>
        <n v="5951.01"/>
        <n v="1810.76"/>
        <n v="1323.58"/>
        <n v="1041.67"/>
        <n v="4625.1000000000004"/>
        <n v="2339.54"/>
        <n v="20731.349999999999"/>
        <n v="16046.13"/>
        <n v="1505.1"/>
        <n v="1427.45"/>
        <n v="1476.25"/>
        <n v="11803.01"/>
        <n v="834.04"/>
        <n v="5116.32"/>
        <n v="18085.2"/>
        <n v="2602.77"/>
        <n v="1113.78"/>
        <n v="5955.3"/>
        <n v="684.54"/>
        <n v="745.98"/>
        <n v="2407.25"/>
        <n v="5165.38"/>
        <n v="1838.59"/>
        <n v="1258.8699999999999"/>
        <n v="1796.78"/>
        <n v="1269.3800000000001"/>
        <n v="9327.59"/>
        <n v="1292.5"/>
        <n v="2514.44"/>
        <n v="2196.0100000000002"/>
        <n v="5373.57"/>
        <n v="3934.51"/>
        <n v="6636.09"/>
        <n v="5950.57"/>
        <n v="13682.9"/>
        <n v="1098.18"/>
        <n v="1608.39"/>
        <n v="7226.2"/>
        <n v="18354.09"/>
        <n v="9735.2900000000009"/>
        <n v="1817.03"/>
        <n v="3050.04"/>
        <n v="980.86"/>
        <n v="7466.54"/>
        <n v="5296.5"/>
        <n v="2022.77"/>
        <n v="7829.57"/>
        <n v="6254.2"/>
        <n v="1067.96"/>
        <n v="1612.98"/>
        <n v="923.15"/>
        <n v="24254.73"/>
        <n v="5794.38"/>
        <n v="3500.37"/>
        <n v="8205.15"/>
        <n v="2705.62"/>
        <n v="1401.25"/>
        <n v="2592.58"/>
        <n v="1727.39"/>
        <n v="1015.6"/>
        <n v="3832.78"/>
        <n v="2754.5"/>
        <n v="1236.52"/>
        <n v="1871.03"/>
        <n v="870.27"/>
        <n v="5503.06"/>
        <n v="3972.07"/>
        <n v="2563.9699999999998"/>
        <n v="5182.76"/>
        <n v="11299.79"/>
        <n v="3766.63"/>
        <n v="1213.19"/>
        <n v="17657.310000000001"/>
        <n v="3592.35"/>
        <n v="1615.08"/>
        <n v="1211.73"/>
        <n v="696.12"/>
        <n v="20231.490000000002"/>
        <n v="1831.18"/>
        <n v="6275.77"/>
        <n v="4062.54"/>
        <n v="3773.02"/>
        <n v="10927.06"/>
        <n v="5222.8900000000003"/>
        <n v="3645.78"/>
        <n v="4247.6499999999996"/>
        <n v="14261.46"/>
        <n v="2845.49"/>
        <n v="2436.23"/>
        <n v="898.06"/>
        <n v="9374.59"/>
        <n v="840.04"/>
        <n v="2521.31"/>
        <n v="1789.85"/>
        <n v="4376.49"/>
        <n v="828.03"/>
        <n v="6041.62"/>
        <n v="9009.11"/>
        <n v="2422.81"/>
        <n v="1245.18"/>
        <n v="882.36"/>
        <n v="727"/>
        <n v="8104.22"/>
        <n v="1071.94"/>
        <n v="5554.19"/>
        <n v="1322.39"/>
        <n v="1331.27"/>
        <n v="7676.78"/>
        <n v="814.25"/>
        <n v="2432.29"/>
        <n v="2831.47"/>
        <n v="3063.77"/>
        <n v="7603.71"/>
        <n v="3405.89"/>
        <n v="923.44"/>
        <n v="5423.93"/>
        <n v="3452.08"/>
        <n v="5463.58"/>
        <n v="3411.88"/>
        <n v="7911.55"/>
        <n v="5515.92"/>
        <n v="7033.79"/>
        <n v="4263.3"/>
        <n v="1306.68"/>
        <n v="2153.5"/>
        <n v="6448.24"/>
        <n v="4315.18"/>
        <n v="2596.38"/>
        <n v="1980.34"/>
        <n v="1775.33"/>
        <n v="9565.8700000000008"/>
        <n v="789.49"/>
        <n v="2197.5500000000002"/>
        <n v="938.99"/>
        <n v="1405.52"/>
        <n v="2216.44"/>
        <n v="4974.4799999999996"/>
        <n v="19298.5"/>
        <n v="1311.07"/>
        <n v="8676.64"/>
        <n v="3861.25"/>
        <n v="3854.58"/>
        <n v="2609.09"/>
        <n v="887.89"/>
        <n v="996.36"/>
        <n v="2184.2199999999998"/>
        <n v="13470.52"/>
        <n v="3507.47"/>
        <n v="7756.35"/>
        <n v="2764.44"/>
        <n v="8230.09"/>
        <n v="1138.51"/>
        <n v="846.4"/>
        <n v="23488.080000000002"/>
        <n v="4649.3900000000003"/>
        <n v="6245.78"/>
        <n v="1285.78"/>
        <n v="1137.4000000000001"/>
        <n v="842.57"/>
        <n v="1411.2"/>
        <n v="3175.64"/>
        <n v="6519.64"/>
        <n v="2077.12"/>
        <n v="1937.21"/>
        <n v="1013.37"/>
        <n v="1551.46"/>
        <n v="1324.1"/>
        <n v="1144.04"/>
        <n v="933.97"/>
        <n v="738.59"/>
        <n v="1550.83"/>
        <n v="1455.96"/>
        <n v="4526.5600000000004"/>
        <n v="3158.4"/>
        <n v="1598.15"/>
        <n v="6930.71"/>
        <n v="970.5"/>
        <n v="1239.56"/>
        <n v="11013.4"/>
        <n v="33816.379999999997"/>
        <n v="8022.05"/>
      </sharedItems>
    </cacheField>
    <cacheField name="Delivery%" numFmtId="9">
      <sharedItems containsSemiMixedTypes="0" containsString="0" containsNumber="1" minValue="0.86725663716814161" maxValue="0.99009900990099009"/>
    </cacheField>
    <cacheField name="CTR%" numFmtId="9">
      <sharedItems containsSemiMixedTypes="0" containsString="0" containsNumber="1" minValue="2.6954177897574125E-3" maxValue="0.1245674740484429"/>
    </cacheField>
    <cacheField name="Login Rate%" numFmtId="9">
      <sharedItems containsSemiMixedTypes="0" containsString="0" containsNumber="1" minValue="0.23770491803278687" maxValue="1"/>
    </cacheField>
    <cacheField name="Yield%" numFmtId="9">
      <sharedItems containsSemiMixedTypes="0" containsString="0" containsNumber="1" minValue="0" maxValue="0.16666666666666666"/>
    </cacheField>
    <cacheField name="Conversion Rate%" numFmtId="9">
      <sharedItems containsSemiMixedTypes="0" containsString="0" containsNumber="1" minValue="0" maxValue="8.1845238095238099E-3"/>
    </cacheField>
    <cacheField name="CPL" numFmtId="2">
      <sharedItems containsSemiMixedTypes="0" containsString="0" containsNumber="1" minValue="1.2251923076923077" maxValue="257.83999999999997"/>
    </cacheField>
    <cacheField name="CPC" numFmtId="2">
      <sharedItems containsSemiMixedTypes="0" containsString="0" containsNumber="1" minValue="0.70694915254237289" maxValue="68.808888888888887"/>
    </cacheField>
    <cacheField name="ROI %" numFmtId="9">
      <sharedItems containsSemiMixedTypes="0" containsString="0" containsNumber="1" minValue="-1" maxValue="130.87576518599909"/>
    </cacheField>
    <cacheField name="Days (Campaign_Date)" numFmtId="0" databaseField="0">
      <fieldGroup base="0">
        <rangePr groupBy="days" startDate="2026-01-01T00:00:00" endDate="2026-09-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6"/>
        </groupItems>
      </fieldGroup>
    </cacheField>
    <cacheField name="Months (Campaign_Date)" numFmtId="0" databaseField="0">
      <fieldGroup base="0">
        <rangePr groupBy="months" startDate="2026-01-01T00:00:00" endDate="2026-09-01T00:00:00"/>
        <groupItems count="14">
          <s v="&lt;01-01-2026"/>
          <s v="Jan"/>
          <s v="Feb"/>
          <s v="Mar"/>
          <s v="Apr"/>
          <s v="May"/>
          <s v="Jun"/>
          <s v="Jul"/>
          <s v="Aug"/>
          <s v="Sep"/>
          <s v="Oct"/>
          <s v="Nov"/>
          <s v="Dec"/>
          <s v="&gt;01-09-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CMP202601006"/>
    <s v="CUST100290"/>
    <x v="0"/>
    <s v="Red Non-Saleable"/>
    <x v="0"/>
    <s v="East"/>
    <s v="35-44"/>
    <n v="1524"/>
    <n v="1278"/>
    <n v="1173"/>
    <n v="34"/>
    <n v="19"/>
    <n v="0"/>
    <n v="131.05000000000001"/>
    <x v="0"/>
    <n v="0.9178403755868545"/>
    <n v="2.8985507246376812E-2"/>
    <n v="0.55882352941176472"/>
    <n v="0"/>
    <n v="0"/>
    <n v="6.897368421052632"/>
    <n v="3.8544117647058829"/>
    <n v="-1"/>
  </r>
  <r>
    <x v="0"/>
    <s v="CMP202601010"/>
    <s v="CUST100326"/>
    <x v="0"/>
    <s v="Red Saleable"/>
    <x v="1"/>
    <s v="North"/>
    <s v="25-34"/>
    <n v="1069"/>
    <n v="1013"/>
    <n v="907"/>
    <n v="47"/>
    <n v="29"/>
    <n v="1"/>
    <n v="116.09"/>
    <x v="1"/>
    <n v="0.89536031589338594"/>
    <n v="5.1819184123484012E-2"/>
    <n v="0.61702127659574468"/>
    <n v="3.4482758620689655E-2"/>
    <n v="1.1025358324145535E-3"/>
    <n v="4.0031034482758621"/>
    <n v="2.4700000000000002"/>
    <n v="9.8309931949349636"/>
  </r>
  <r>
    <x v="0"/>
    <s v="CMP202601022"/>
    <s v="CUST101316"/>
    <x v="1"/>
    <s v="Red Non-Saleable"/>
    <x v="0"/>
    <s v="East"/>
    <s v="35-44"/>
    <n v="2034"/>
    <n v="1940"/>
    <n v="1845"/>
    <n v="19"/>
    <n v="9"/>
    <n v="0"/>
    <n v="321.72000000000003"/>
    <x v="0"/>
    <n v="0.9510309278350515"/>
    <n v="1.0298102981029811E-2"/>
    <n v="0.47368421052631576"/>
    <n v="0"/>
    <n v="0"/>
    <n v="35.74666666666667"/>
    <n v="16.932631578947369"/>
    <n v="-1"/>
  </r>
  <r>
    <x v="0"/>
    <s v="CMP202601048"/>
    <s v="CUST100789"/>
    <x v="2"/>
    <s v="Green"/>
    <x v="1"/>
    <s v="South"/>
    <s v="45-54"/>
    <n v="3247"/>
    <n v="3008"/>
    <n v="2806"/>
    <n v="233"/>
    <n v="150"/>
    <n v="14"/>
    <n v="275.22000000000003"/>
    <x v="2"/>
    <n v="0.93284574468085102"/>
    <n v="8.3036350677120452E-2"/>
    <n v="0.64377682403433478"/>
    <n v="9.3333333333333338E-2"/>
    <n v="4.9893086243763367E-3"/>
    <n v="1.8348000000000002"/>
    <n v="1.1812017167381976"/>
    <n v="83.775052685124621"/>
  </r>
  <r>
    <x v="1"/>
    <s v="CMP202601007"/>
    <s v="CUST100201"/>
    <x v="3"/>
    <s v="Red Saleable"/>
    <x v="1"/>
    <s v="West"/>
    <s v="25-34"/>
    <n v="3462"/>
    <n v="3371"/>
    <n v="3139"/>
    <n v="145"/>
    <n v="79"/>
    <n v="3"/>
    <n v="492.27"/>
    <x v="3"/>
    <n v="0.93117769207950163"/>
    <n v="4.6193055113093344E-2"/>
    <n v="0.54482758620689653"/>
    <n v="3.7974683544303799E-2"/>
    <n v="9.5571838165020703E-4"/>
    <n v="6.2312658227848097"/>
    <n v="3.3949655172413791"/>
    <n v="6.5494951957259229"/>
  </r>
  <r>
    <x v="1"/>
    <s v="CMP202601016"/>
    <s v="CUST100386"/>
    <x v="2"/>
    <s v="Red Saleable"/>
    <x v="1"/>
    <s v="East"/>
    <s v="45-54"/>
    <n v="940"/>
    <n v="790"/>
    <n v="721"/>
    <n v="31"/>
    <n v="18"/>
    <n v="1"/>
    <n v="59.31"/>
    <x v="4"/>
    <n v="0.91265822784810124"/>
    <n v="4.2995839112343968E-2"/>
    <n v="0.58064516129032262"/>
    <n v="5.5555555555555552E-2"/>
    <n v="1.3869625520110957E-3"/>
    <n v="3.2949999999999999"/>
    <n v="1.913225806451613"/>
    <n v="11.816219861743381"/>
  </r>
  <r>
    <x v="1"/>
    <s v="CMP202601024"/>
    <s v="CUST100024"/>
    <x v="2"/>
    <s v="Red Saleable"/>
    <x v="1"/>
    <s v="East"/>
    <s v="25-34"/>
    <n v="4146"/>
    <n v="3732"/>
    <n v="3627"/>
    <n v="116"/>
    <n v="66"/>
    <n v="4"/>
    <n v="354.22"/>
    <x v="5"/>
    <n v="0.97186495176848875"/>
    <n v="3.1982354562999728E-2"/>
    <n v="0.56896551724137934"/>
    <n v="6.0606060606060608E-2"/>
    <n v="1.1028398125172319E-3"/>
    <n v="5.3669696969696972"/>
    <n v="3.0536206896551725"/>
    <n v="15.760459601377674"/>
  </r>
  <r>
    <x v="1"/>
    <s v="CMP202601036"/>
    <s v="CUST100383"/>
    <x v="3"/>
    <s v="Green"/>
    <x v="1"/>
    <s v="East"/>
    <s v="55+"/>
    <n v="3472"/>
    <n v="2956"/>
    <n v="2786"/>
    <n v="241"/>
    <n v="173"/>
    <n v="21"/>
    <n v="393.53"/>
    <x v="6"/>
    <n v="0.94248985115020301"/>
    <n v="8.6503948312993545E-2"/>
    <n v="0.71784232365145229"/>
    <n v="0.12138728323699421"/>
    <n v="7.537688442211055E-3"/>
    <n v="2.2747398843930635"/>
    <n v="1.6329045643153526"/>
    <n v="62.824206540797412"/>
  </r>
  <r>
    <x v="1"/>
    <s v="CMP202601068"/>
    <s v="CUST101201"/>
    <x v="3"/>
    <s v="Red Saleable"/>
    <x v="1"/>
    <s v="East"/>
    <s v="18-24"/>
    <n v="4096"/>
    <n v="3316"/>
    <n v="3040"/>
    <n v="139"/>
    <n v="83"/>
    <n v="3"/>
    <n v="504.37"/>
    <x v="7"/>
    <n v="0.91676718938480095"/>
    <n v="4.5723684210526319E-2"/>
    <n v="0.59712230215827333"/>
    <n v="3.614457831325301E-2"/>
    <n v="9.8684210526315793E-4"/>
    <n v="6.0767469879518075"/>
    <n v="3.6285611510791367"/>
    <n v="3.5750540277970537"/>
  </r>
  <r>
    <x v="1"/>
    <s v="CMP202601069"/>
    <s v="CUST100575"/>
    <x v="2"/>
    <s v="Red Non-Saleable"/>
    <x v="0"/>
    <s v="South"/>
    <s v="45-54"/>
    <n v="3059"/>
    <n v="2392"/>
    <n v="2179"/>
    <n v="7"/>
    <n v="3"/>
    <n v="0"/>
    <n v="197.02"/>
    <x v="0"/>
    <n v="0.91095317725752512"/>
    <n v="3.2124827902707664E-3"/>
    <n v="0.42857142857142855"/>
    <n v="0"/>
    <n v="0"/>
    <n v="65.673333333333332"/>
    <n v="28.145714285714288"/>
    <n v="-1"/>
  </r>
  <r>
    <x v="1"/>
    <s v="CMP202601070"/>
    <s v="CUST100507"/>
    <x v="1"/>
    <s v="Amber"/>
    <x v="1"/>
    <s v="South"/>
    <s v="45-54"/>
    <n v="4584"/>
    <n v="3625"/>
    <n v="3509"/>
    <n v="198"/>
    <n v="97"/>
    <n v="7"/>
    <n v="705.8"/>
    <x v="8"/>
    <n v="0.96799999999999997"/>
    <n v="5.6426332288401257E-2"/>
    <n v="0.48989898989898989"/>
    <n v="7.2164948453608241E-2"/>
    <n v="1.9948703334283272E-3"/>
    <n v="7.2762886597938143"/>
    <n v="3.5646464646464646"/>
    <n v="9.9456503258713518"/>
  </r>
  <r>
    <x v="2"/>
    <s v="CMP202601009"/>
    <s v="CUST100728"/>
    <x v="3"/>
    <s v="Amber"/>
    <x v="1"/>
    <s v="Central"/>
    <s v="45-54"/>
    <n v="1239"/>
    <n v="1189"/>
    <n v="1125"/>
    <n v="83"/>
    <n v="47"/>
    <n v="3"/>
    <n v="204.99"/>
    <x v="9"/>
    <n v="0.94617325483599668"/>
    <n v="7.3777777777777775E-2"/>
    <n v="0.5662650602409639"/>
    <n v="6.3829787234042548E-2"/>
    <n v="2.6666666666666666E-3"/>
    <n v="4.3614893617021275"/>
    <n v="2.4697590361445783"/>
    <n v="16.701253719693643"/>
  </r>
  <r>
    <x v="2"/>
    <s v="CMP202601011"/>
    <s v="CUST101101"/>
    <x v="0"/>
    <s v="Amber"/>
    <x v="0"/>
    <s v="Central"/>
    <s v="45-54"/>
    <n v="1694"/>
    <n v="1566"/>
    <n v="1408"/>
    <n v="67"/>
    <n v="28"/>
    <n v="2"/>
    <n v="184.59"/>
    <x v="10"/>
    <n v="0.89910600255427842"/>
    <n v="4.7585227272727272E-2"/>
    <n v="0.41791044776119401"/>
    <n v="7.1428571428571425E-2"/>
    <n v="1.4204545454545455E-3"/>
    <n v="6.5925000000000002"/>
    <n v="2.7550746268656718"/>
    <n v="13.112302941654475"/>
  </r>
  <r>
    <x v="2"/>
    <s v="CMP202601012"/>
    <s v="CUST101304"/>
    <x v="3"/>
    <s v="Red Saleable"/>
    <x v="0"/>
    <s v="North"/>
    <s v="18-24"/>
    <n v="3773"/>
    <n v="3090"/>
    <n v="2827"/>
    <n v="130"/>
    <n v="59"/>
    <n v="2"/>
    <n v="464.43"/>
    <x v="11"/>
    <n v="0.91488673139158572"/>
    <n v="4.5985143261407853E-2"/>
    <n v="0.45384615384615384"/>
    <n v="3.3898305084745763E-2"/>
    <n v="7.0746374248319773E-4"/>
    <n v="7.8716949152542375"/>
    <n v="3.5725384615384614"/>
    <n v="2.6790474344895894"/>
  </r>
  <r>
    <x v="2"/>
    <s v="CMP202601015"/>
    <s v="CUST100970"/>
    <x v="0"/>
    <s v="Red Non-Saleable"/>
    <x v="1"/>
    <s v="East"/>
    <s v="55+"/>
    <n v="3139"/>
    <n v="2851"/>
    <n v="2570"/>
    <n v="73"/>
    <n v="44"/>
    <n v="1"/>
    <n v="333.37"/>
    <x v="12"/>
    <n v="0.90143809189757984"/>
    <n v="2.8404669260700389E-2"/>
    <n v="0.60273972602739723"/>
    <n v="2.2727272727272728E-2"/>
    <n v="3.8910505836575878E-4"/>
    <n v="7.5765909090909096"/>
    <n v="4.5667123287671236"/>
    <n v="1.3902270750217478"/>
  </r>
  <r>
    <x v="2"/>
    <s v="CMP202601015"/>
    <s v="CUST101462"/>
    <x v="0"/>
    <s v="Green"/>
    <x v="1"/>
    <s v="East"/>
    <s v="18-24"/>
    <n v="1306"/>
    <n v="1148"/>
    <n v="1048"/>
    <n v="119"/>
    <n v="75"/>
    <n v="6"/>
    <n v="148.66999999999999"/>
    <x v="13"/>
    <n v="0.91289198606271782"/>
    <n v="0.11354961832061068"/>
    <n v="0.63025210084033612"/>
    <n v="0.08"/>
    <n v="5.7251908396946565E-3"/>
    <n v="1.9822666666666664"/>
    <n v="1.2493277310924369"/>
    <n v="58.079504943835346"/>
  </r>
  <r>
    <x v="2"/>
    <s v="CMP202601021"/>
    <s v="CUST100748"/>
    <x v="3"/>
    <s v="Red Non-Saleable"/>
    <x v="0"/>
    <s v="North"/>
    <s v="25-34"/>
    <n v="3950"/>
    <n v="3575"/>
    <n v="3390"/>
    <n v="44"/>
    <n v="18"/>
    <n v="0"/>
    <n v="485.84"/>
    <x v="0"/>
    <n v="0.94825174825174829"/>
    <n v="1.2979351032448377E-2"/>
    <n v="0.40909090909090912"/>
    <n v="0"/>
    <n v="0"/>
    <n v="26.99111111111111"/>
    <n v="11.041818181818181"/>
    <n v="-1"/>
  </r>
  <r>
    <x v="2"/>
    <s v="CMP202601025"/>
    <s v="CUST100230"/>
    <x v="1"/>
    <s v="Red Non-Saleable"/>
    <x v="0"/>
    <s v="East"/>
    <s v="55+"/>
    <n v="4878"/>
    <n v="4513"/>
    <n v="4276"/>
    <n v="64"/>
    <n v="30"/>
    <n v="1"/>
    <n v="937.39"/>
    <x v="14"/>
    <n v="0.94748504320850879"/>
    <n v="1.4967259120673527E-2"/>
    <n v="0.46875"/>
    <n v="3.3333333333333333E-2"/>
    <n v="2.3386342376052386E-4"/>
    <n v="31.246333333333332"/>
    <n v="14.64671875"/>
    <n v="-0.10505766009878495"/>
  </r>
  <r>
    <x v="2"/>
    <s v="CMP202601035"/>
    <s v="CUST100108"/>
    <x v="2"/>
    <s v="Green"/>
    <x v="0"/>
    <s v="North"/>
    <s v="45-54"/>
    <n v="1061"/>
    <n v="931"/>
    <n v="861"/>
    <n v="62"/>
    <n v="25"/>
    <n v="2"/>
    <n v="75.05"/>
    <x v="15"/>
    <n v="0.92481203007518797"/>
    <n v="7.2009291521486649E-2"/>
    <n v="0.40322580645161288"/>
    <n v="0.08"/>
    <n v="2.3228803716608595E-3"/>
    <n v="3.0019999999999998"/>
    <n v="1.2104838709677419"/>
    <n v="36.455562958027983"/>
  </r>
  <r>
    <x v="2"/>
    <s v="CMP202601050"/>
    <s v="CUST101032"/>
    <x v="2"/>
    <s v="Amber"/>
    <x v="0"/>
    <s v="North"/>
    <s v="35-44"/>
    <n v="2944"/>
    <n v="2298"/>
    <n v="2172"/>
    <n v="110"/>
    <n v="61"/>
    <n v="4"/>
    <n v="160.69999999999999"/>
    <x v="16"/>
    <n v="0.94516971279373363"/>
    <n v="5.0644567219152857E-2"/>
    <n v="0.55454545454545456"/>
    <n v="6.5573770491803282E-2"/>
    <n v="1.841620626151013E-3"/>
    <n v="2.6344262295081964"/>
    <n v="1.4609090909090907"/>
    <n v="32.393466085874302"/>
  </r>
  <r>
    <x v="2"/>
    <s v="CMP202601059"/>
    <s v="CUST101135"/>
    <x v="1"/>
    <s v="Red Saleable"/>
    <x v="1"/>
    <s v="East"/>
    <s v="35-44"/>
    <n v="1112"/>
    <n v="877"/>
    <n v="857"/>
    <n v="33"/>
    <n v="17"/>
    <n v="1"/>
    <n v="181.18"/>
    <x v="17"/>
    <n v="0.97719498289623719"/>
    <n v="3.8506417736289385E-2"/>
    <n v="0.51515151515151514"/>
    <n v="5.8823529411764705E-2"/>
    <n v="1.1668611435239206E-3"/>
    <n v="10.65764705882353"/>
    <n v="5.4903030303030302"/>
    <n v="4.2795562424108615"/>
  </r>
  <r>
    <x v="2"/>
    <s v="CMP202601074"/>
    <s v="CUST100570"/>
    <x v="0"/>
    <s v="Amber"/>
    <x v="0"/>
    <s v="Central"/>
    <s v="35-44"/>
    <n v="586"/>
    <n v="551"/>
    <n v="499"/>
    <n v="25"/>
    <n v="12"/>
    <n v="1"/>
    <n v="76.040000000000006"/>
    <x v="18"/>
    <n v="0.90562613430127037"/>
    <n v="5.0100200400801605E-2"/>
    <n v="0.48"/>
    <n v="8.3333333333333329E-2"/>
    <n v="2.004008016032064E-3"/>
    <n v="6.3366666666666669"/>
    <n v="3.0416000000000003"/>
    <n v="8.0573382430299851"/>
  </r>
  <r>
    <x v="3"/>
    <s v="CMP202601012"/>
    <s v="CUST101220"/>
    <x v="2"/>
    <s v="Green"/>
    <x v="0"/>
    <s v="Central"/>
    <s v="25-34"/>
    <n v="2827"/>
    <n v="2823"/>
    <n v="2598"/>
    <n v="170"/>
    <n v="81"/>
    <n v="6"/>
    <n v="218.42"/>
    <x v="19"/>
    <n v="0.92029755579171091"/>
    <n v="6.5434949961508851E-2"/>
    <n v="0.47647058823529409"/>
    <n v="7.407407407407407E-2"/>
    <n v="2.3094688221709007E-3"/>
    <n v="2.6965432098765429"/>
    <n v="1.2848235294117647"/>
    <n v="20.58547752037359"/>
  </r>
  <r>
    <x v="3"/>
    <s v="CMP202601017"/>
    <s v="CUST100529"/>
    <x v="0"/>
    <s v="Amber"/>
    <x v="1"/>
    <s v="East"/>
    <s v="35-44"/>
    <n v="2990"/>
    <n v="2567"/>
    <n v="2308"/>
    <n v="209"/>
    <n v="134"/>
    <n v="10"/>
    <n v="323.42"/>
    <x v="20"/>
    <n v="0.89910401246591354"/>
    <n v="9.0554592720970536E-2"/>
    <n v="0.64114832535885169"/>
    <n v="7.4626865671641784E-2"/>
    <n v="4.3327556325823222E-3"/>
    <n v="2.4135820895522389"/>
    <n v="1.5474641148325359"/>
    <n v="42.759167645785666"/>
  </r>
  <r>
    <x v="3"/>
    <s v="CMP202601022"/>
    <s v="CUST100238"/>
    <x v="2"/>
    <s v="Amber"/>
    <x v="1"/>
    <s v="North"/>
    <s v="35-44"/>
    <n v="2411"/>
    <n v="2153"/>
    <n v="2021"/>
    <n v="119"/>
    <n v="64"/>
    <n v="5"/>
    <n v="165.19"/>
    <x v="21"/>
    <n v="0.93869019972131906"/>
    <n v="5.8881741712023754E-2"/>
    <n v="0.53781512605042014"/>
    <n v="7.8125E-2"/>
    <n v="2.4740227610094011E-3"/>
    <n v="2.58109375"/>
    <n v="1.3881512605042017"/>
    <n v="20.330407409649496"/>
  </r>
  <r>
    <x v="3"/>
    <s v="CMP202601038"/>
    <s v="CUST101138"/>
    <x v="0"/>
    <s v="Red Saleable"/>
    <x v="0"/>
    <s v="East"/>
    <s v="45-54"/>
    <n v="2566"/>
    <n v="2375"/>
    <n v="2126"/>
    <n v="66"/>
    <n v="32"/>
    <n v="1"/>
    <n v="320.98"/>
    <x v="22"/>
    <n v="0.89515789473684215"/>
    <n v="3.1044214487300093E-2"/>
    <n v="0.48484848484848486"/>
    <n v="3.125E-2"/>
    <n v="4.7036688617121356E-4"/>
    <n v="10.030625000000001"/>
    <n v="4.8633333333333333"/>
    <n v="1.8153467505763596"/>
  </r>
  <r>
    <x v="3"/>
    <s v="CMP202601043"/>
    <s v="CUST100274"/>
    <x v="2"/>
    <s v="Green"/>
    <x v="1"/>
    <s v="West"/>
    <s v="55+"/>
    <n v="411"/>
    <n v="313"/>
    <n v="297"/>
    <n v="28"/>
    <n v="18"/>
    <n v="1"/>
    <n v="27"/>
    <x v="23"/>
    <n v="0.94888178913738019"/>
    <n v="9.4276094276094277E-2"/>
    <n v="0.6428571428571429"/>
    <n v="5.5555555555555552E-2"/>
    <n v="3.3670033670033669E-3"/>
    <n v="1.5"/>
    <n v="0.9642857142857143"/>
    <n v="37.11888888888889"/>
  </r>
  <r>
    <x v="3"/>
    <s v="CMP202601050"/>
    <s v="CUST100090"/>
    <x v="1"/>
    <s v="Red Saleable"/>
    <x v="0"/>
    <s v="South"/>
    <s v="35-44"/>
    <n v="1673"/>
    <n v="1544"/>
    <n v="1507"/>
    <n v="37"/>
    <n v="14"/>
    <n v="1"/>
    <n v="263.16000000000003"/>
    <x v="24"/>
    <n v="0.97603626943005184"/>
    <n v="2.4552090245520901E-2"/>
    <n v="0.3783783783783784"/>
    <n v="7.1428571428571425E-2"/>
    <n v="6.6357000663570006E-4"/>
    <n v="18.797142857142859"/>
    <n v="7.1124324324324331"/>
    <n v="3.270709834321325"/>
  </r>
  <r>
    <x v="3"/>
    <s v="CMP202601052"/>
    <s v="CUST101086"/>
    <x v="1"/>
    <s v="Green"/>
    <x v="1"/>
    <s v="East"/>
    <s v="25-34"/>
    <n v="3371"/>
    <n v="3120"/>
    <n v="3089"/>
    <n v="209"/>
    <n v="93"/>
    <n v="8"/>
    <n v="584.01"/>
    <x v="25"/>
    <n v="0.9900641025641026"/>
    <n v="6.7659436710909682E-2"/>
    <n v="0.44497607655502391"/>
    <n v="8.6021505376344093E-2"/>
    <n v="2.589834898025251E-3"/>
    <n v="6.2796774193548384"/>
    <n v="2.7943062200956938"/>
    <n v="15.60562319138371"/>
  </r>
  <r>
    <x v="3"/>
    <s v="CMP202601069"/>
    <s v="CUST101383"/>
    <x v="2"/>
    <s v="Green"/>
    <x v="0"/>
    <s v="South"/>
    <s v="25-34"/>
    <n v="3347"/>
    <n v="3035"/>
    <n v="2858"/>
    <n v="201"/>
    <n v="102"/>
    <n v="7"/>
    <n v="260.08999999999997"/>
    <x v="26"/>
    <n v="0.94168039538714987"/>
    <n v="7.0328901329601123E-2"/>
    <n v="0.5074626865671642"/>
    <n v="6.8627450980392163E-2"/>
    <n v="2.4492652204338699E-3"/>
    <n v="2.5499019607843136"/>
    <n v="1.2939800995024875"/>
    <n v="22.585681879349455"/>
  </r>
  <r>
    <x v="4"/>
    <s v="CMP202601002"/>
    <s v="CUST101270"/>
    <x v="0"/>
    <s v="Red Non-Saleable"/>
    <x v="0"/>
    <s v="West"/>
    <s v="55+"/>
    <n v="4618"/>
    <n v="4308"/>
    <n v="4030"/>
    <n v="62"/>
    <n v="29"/>
    <n v="1"/>
    <n v="465.27"/>
    <x v="27"/>
    <n v="0.93546889507892295"/>
    <n v="1.5384615384615385E-2"/>
    <n v="0.46774193548387094"/>
    <n v="3.4482758620689655E-2"/>
    <n v="2.4813895781637717E-4"/>
    <n v="16.043793103448277"/>
    <n v="7.504354838709677"/>
    <n v="1.3722999548649173"/>
  </r>
  <r>
    <x v="4"/>
    <s v="CMP202601010"/>
    <s v="CUST100121"/>
    <x v="0"/>
    <s v="Red Non-Saleable"/>
    <x v="0"/>
    <s v="East"/>
    <s v="18-24"/>
    <n v="1646"/>
    <n v="1546"/>
    <n v="1387"/>
    <n v="16"/>
    <n v="9"/>
    <n v="0"/>
    <n v="178.61"/>
    <x v="0"/>
    <n v="0.89715394566623541"/>
    <n v="1.1535688536409516E-2"/>
    <n v="0.5625"/>
    <n v="0"/>
    <n v="0"/>
    <n v="19.845555555555556"/>
    <n v="11.163125000000001"/>
    <n v="-1"/>
  </r>
  <r>
    <x v="4"/>
    <s v="CMP202601022"/>
    <s v="CUST101466"/>
    <x v="2"/>
    <s v="Red Saleable"/>
    <x v="1"/>
    <s v="Central"/>
    <s v="25-34"/>
    <n v="4414"/>
    <n v="4010"/>
    <n v="3728"/>
    <n v="171"/>
    <n v="95"/>
    <n v="3"/>
    <n v="376.48"/>
    <x v="28"/>
    <n v="0.92967581047381542"/>
    <n v="4.5869098712446349E-2"/>
    <n v="0.55555555555555558"/>
    <n v="3.1578947368421054E-2"/>
    <n v="8.0472103004291845E-4"/>
    <n v="3.962947368421053"/>
    <n v="2.2016374269005849"/>
    <n v="7.2034902252443684"/>
  </r>
  <r>
    <x v="4"/>
    <s v="CMP202601023"/>
    <s v="CUST101294"/>
    <x v="2"/>
    <s v="Green"/>
    <x v="0"/>
    <s v="South"/>
    <s v="25-34"/>
    <n v="1886"/>
    <n v="1747"/>
    <n v="1634"/>
    <n v="119"/>
    <n v="56"/>
    <n v="4"/>
    <n v="152.97"/>
    <x v="29"/>
    <n v="0.93531768746422439"/>
    <n v="7.2827417380660953E-2"/>
    <n v="0.47058823529411764"/>
    <n v="7.1428571428571425E-2"/>
    <n v="2.4479804161566705E-3"/>
    <n v="2.7316071428571429"/>
    <n v="1.2854621848739496"/>
    <n v="25.994835588677518"/>
  </r>
  <r>
    <x v="4"/>
    <s v="CMP202601029"/>
    <s v="CUST101343"/>
    <x v="1"/>
    <s v="Green"/>
    <x v="0"/>
    <s v="Central"/>
    <s v="35-44"/>
    <n v="752"/>
    <n v="745"/>
    <n v="708"/>
    <n v="41"/>
    <n v="13"/>
    <n v="1"/>
    <n v="114.72"/>
    <x v="30"/>
    <n v="0.95033557046979866"/>
    <n v="5.7909604519774012E-2"/>
    <n v="0.31707317073170732"/>
    <n v="7.6923076923076927E-2"/>
    <n v="1.4124293785310734E-3"/>
    <n v="8.8246153846153845"/>
    <n v="2.7980487804878047"/>
    <n v="7.6086122733612278"/>
  </r>
  <r>
    <x v="4"/>
    <s v="CMP202601041"/>
    <s v="CUST101312"/>
    <x v="1"/>
    <s v="Green"/>
    <x v="1"/>
    <s v="East"/>
    <s v="18-24"/>
    <n v="4242"/>
    <n v="3275"/>
    <n v="3101"/>
    <n v="195"/>
    <n v="108"/>
    <n v="11"/>
    <n v="635.70000000000005"/>
    <x v="31"/>
    <n v="0.94687022900763362"/>
    <n v="6.2882940986778463E-2"/>
    <n v="0.55384615384615388"/>
    <n v="0.10185185185185185"/>
    <n v="3.547242824895195E-3"/>
    <n v="5.886111111111112"/>
    <n v="3.2600000000000002"/>
    <n v="19.563945257196789"/>
  </r>
  <r>
    <x v="4"/>
    <s v="CMP202601042"/>
    <s v="CUST101162"/>
    <x v="0"/>
    <s v="Green"/>
    <x v="1"/>
    <s v="South"/>
    <s v="35-44"/>
    <n v="914"/>
    <n v="905"/>
    <n v="808"/>
    <n v="91"/>
    <n v="56"/>
    <n v="4"/>
    <n v="92.58"/>
    <x v="32"/>
    <n v="0.89281767955801106"/>
    <n v="0.11262376237623763"/>
    <n v="0.61538461538461542"/>
    <n v="7.1428571428571425E-2"/>
    <n v="4.9504950495049506E-3"/>
    <n v="1.6532142857142857"/>
    <n v="1.0173626373626374"/>
    <n v="61.471592136530568"/>
  </r>
  <r>
    <x v="4"/>
    <s v="CMP202601070"/>
    <s v="CUST101490"/>
    <x v="3"/>
    <s v="Amber"/>
    <x v="0"/>
    <s v="East"/>
    <s v="45-54"/>
    <n v="2378"/>
    <n v="1736"/>
    <n v="1616"/>
    <n v="88"/>
    <n v="50"/>
    <n v="2"/>
    <n v="232.53"/>
    <x v="33"/>
    <n v="0.93087557603686633"/>
    <n v="5.4455445544554455E-2"/>
    <n v="0.56818181818181823"/>
    <n v="0.04"/>
    <n v="1.2376237623762376E-3"/>
    <n v="4.6505999999999998"/>
    <n v="2.6423863636363638"/>
    <n v="8.1277684599836579"/>
  </r>
  <r>
    <x v="5"/>
    <s v="CMP202601002"/>
    <s v="CUST100367"/>
    <x v="1"/>
    <s v="Amber"/>
    <x v="0"/>
    <s v="South"/>
    <s v="55+"/>
    <n v="4675"/>
    <n v="3662"/>
    <n v="3528"/>
    <n v="120"/>
    <n v="40"/>
    <n v="2"/>
    <n v="759.2"/>
    <x v="34"/>
    <n v="0.96340797378481702"/>
    <n v="3.4013605442176874E-2"/>
    <n v="0.33333333333333331"/>
    <n v="0.05"/>
    <n v="5.6689342403628119E-4"/>
    <n v="18.98"/>
    <n v="6.3266666666666671"/>
    <n v="2.432231296101159"/>
  </r>
  <r>
    <x v="5"/>
    <s v="CMP202601007"/>
    <s v="CUST100336"/>
    <x v="2"/>
    <s v="Red Non-Saleable"/>
    <x v="0"/>
    <s v="West"/>
    <s v="55+"/>
    <n v="542"/>
    <n v="456"/>
    <n v="432"/>
    <n v="4"/>
    <n v="2"/>
    <n v="0"/>
    <n v="33.520000000000003"/>
    <x v="0"/>
    <n v="0.94736842105263153"/>
    <n v="9.2592592592592587E-3"/>
    <n v="0.5"/>
    <n v="0"/>
    <n v="0"/>
    <n v="16.760000000000002"/>
    <n v="8.3800000000000008"/>
    <n v="-1"/>
  </r>
  <r>
    <x v="5"/>
    <s v="CMP202601028"/>
    <s v="CUST100746"/>
    <x v="2"/>
    <s v="Amber"/>
    <x v="0"/>
    <s v="North"/>
    <s v="25-34"/>
    <n v="1776"/>
    <n v="1537"/>
    <n v="1471"/>
    <n v="72"/>
    <n v="32"/>
    <n v="2"/>
    <n v="111.94"/>
    <x v="35"/>
    <n v="0.95705920624593366"/>
    <n v="4.894629503738953E-2"/>
    <n v="0.44444444444444442"/>
    <n v="6.25E-2"/>
    <n v="1.3596193065941536E-3"/>
    <n v="3.4981249999999999"/>
    <n v="1.5547222222222221"/>
    <n v="22.272556726817939"/>
  </r>
  <r>
    <x v="5"/>
    <s v="CMP202601066"/>
    <s v="CUST100414"/>
    <x v="0"/>
    <s v="Red Saleable"/>
    <x v="0"/>
    <s v="North"/>
    <s v="55+"/>
    <n v="2272"/>
    <n v="1953"/>
    <n v="1770"/>
    <n v="57"/>
    <n v="27"/>
    <n v="1"/>
    <n v="220.27"/>
    <x v="36"/>
    <n v="0.90629800307219666"/>
    <n v="3.2203389830508473E-2"/>
    <n v="0.47368421052631576"/>
    <n v="3.7037037037037035E-2"/>
    <n v="5.649717514124294E-4"/>
    <n v="8.1581481481481486"/>
    <n v="3.8643859649122807"/>
    <n v="2.2869205974485856"/>
  </r>
  <r>
    <x v="6"/>
    <s v="CMP202601020"/>
    <s v="CUST100951"/>
    <x v="1"/>
    <s v="Green"/>
    <x v="1"/>
    <s v="South"/>
    <s v="35-44"/>
    <n v="2112"/>
    <n v="1814"/>
    <n v="1791"/>
    <n v="116"/>
    <n v="59"/>
    <n v="5"/>
    <n v="347.98"/>
    <x v="37"/>
    <n v="0.98732083792723269"/>
    <n v="6.4768285873813516E-2"/>
    <n v="0.50862068965517238"/>
    <n v="8.4745762711864403E-2"/>
    <n v="2.7917364600781687E-3"/>
    <n v="5.8979661016949159"/>
    <n v="2.9998275862068966"/>
    <n v="13.545519857463072"/>
  </r>
  <r>
    <x v="6"/>
    <s v="CMP202601020"/>
    <s v="CUST101056"/>
    <x v="0"/>
    <s v="Red Saleable"/>
    <x v="1"/>
    <s v="North"/>
    <s v="25-34"/>
    <n v="1038"/>
    <n v="1012"/>
    <n v="910"/>
    <n v="48"/>
    <n v="32"/>
    <n v="1"/>
    <n v="143.29"/>
    <x v="38"/>
    <n v="0.89920948616600793"/>
    <n v="5.2747252747252747E-2"/>
    <n v="0.66666666666666663"/>
    <n v="3.125E-2"/>
    <n v="1.0989010989010989E-3"/>
    <n v="4.4778124999999998"/>
    <n v="2.985208333333333"/>
    <n v="6.9880661595366043"/>
  </r>
  <r>
    <x v="6"/>
    <s v="CMP202601029"/>
    <s v="CUST101322"/>
    <x v="3"/>
    <s v="Red Non-Saleable"/>
    <x v="0"/>
    <s v="South"/>
    <s v="25-34"/>
    <n v="4489"/>
    <n v="3884"/>
    <n v="3674"/>
    <n v="20"/>
    <n v="10"/>
    <n v="0"/>
    <n v="551.36"/>
    <x v="0"/>
    <n v="0.94593202883625127"/>
    <n v="5.4436581382689168E-3"/>
    <n v="0.5"/>
    <n v="0"/>
    <n v="0"/>
    <n v="55.136000000000003"/>
    <n v="27.568000000000001"/>
    <n v="-1"/>
  </r>
  <r>
    <x v="6"/>
    <s v="CMP202601036"/>
    <s v="CUST100207"/>
    <x v="2"/>
    <s v="Amber"/>
    <x v="1"/>
    <s v="South"/>
    <s v="55+"/>
    <n v="2493"/>
    <n v="1927"/>
    <n v="1786"/>
    <n v="121"/>
    <n v="71"/>
    <n v="5"/>
    <n v="154.44999999999999"/>
    <x v="39"/>
    <n v="0.92682926829268297"/>
    <n v="6.7749160134378497E-2"/>
    <n v="0.58677685950413228"/>
    <n v="7.0422535211267609E-2"/>
    <n v="2.7995520716685329E-3"/>
    <n v="2.1753521126760562"/>
    <n v="1.2764462809917354"/>
    <n v="28.961994172871485"/>
  </r>
  <r>
    <x v="6"/>
    <s v="CMP202601074"/>
    <s v="CUST101356"/>
    <x v="3"/>
    <s v="Red Saleable"/>
    <x v="1"/>
    <s v="East"/>
    <s v="55+"/>
    <n v="3386"/>
    <n v="2756"/>
    <n v="2574"/>
    <n v="128"/>
    <n v="69"/>
    <n v="4"/>
    <n v="383.1"/>
    <x v="40"/>
    <n v="0.93396226415094341"/>
    <n v="4.9728049728049728E-2"/>
    <n v="0.5390625"/>
    <n v="5.7971014492753624E-2"/>
    <n v="1.554001554001554E-3"/>
    <n v="5.5521739130434788"/>
    <n v="2.9929687500000002"/>
    <n v="14.111485251892455"/>
  </r>
  <r>
    <x v="7"/>
    <s v="CMP202601002"/>
    <s v="CUST100945"/>
    <x v="1"/>
    <s v="Red Non-Saleable"/>
    <x v="1"/>
    <s v="East"/>
    <s v="45-54"/>
    <n v="2367"/>
    <n v="1932"/>
    <n v="1881"/>
    <n v="10"/>
    <n v="5"/>
    <n v="0"/>
    <n v="354.76"/>
    <x v="0"/>
    <n v="0.97360248447204967"/>
    <n v="5.3163211057947902E-3"/>
    <n v="0.5"/>
    <n v="0"/>
    <n v="0"/>
    <n v="70.951999999999998"/>
    <n v="35.475999999999999"/>
    <n v="-1"/>
  </r>
  <r>
    <x v="7"/>
    <s v="CMP202601006"/>
    <s v="CUST101427"/>
    <x v="2"/>
    <s v="Green"/>
    <x v="0"/>
    <s v="Central"/>
    <s v="18-24"/>
    <n v="2798"/>
    <n v="2552"/>
    <n v="2346"/>
    <n v="161"/>
    <n v="79"/>
    <n v="7"/>
    <n v="215.39"/>
    <x v="41"/>
    <n v="0.91927899686520376"/>
    <n v="6.8627450980392163E-2"/>
    <n v="0.49068322981366458"/>
    <n v="8.8607594936708861E-2"/>
    <n v="2.9838022165387893E-3"/>
    <n v="2.7264556962025313"/>
    <n v="1.3378260869565217"/>
    <n v="31.46668833279168"/>
  </r>
  <r>
    <x v="7"/>
    <s v="CMP202601044"/>
    <s v="CUST100179"/>
    <x v="1"/>
    <s v="Red Saleable"/>
    <x v="0"/>
    <s v="Central"/>
    <s v="45-54"/>
    <n v="1861"/>
    <n v="1642"/>
    <n v="1601"/>
    <n v="46"/>
    <n v="18"/>
    <n v="1"/>
    <n v="261.56"/>
    <x v="42"/>
    <n v="0.97503045066991478"/>
    <n v="2.8732042473454091E-2"/>
    <n v="0.39130434782608697"/>
    <n v="5.5555555555555552E-2"/>
    <n v="6.2460961898813238E-4"/>
    <n v="14.531111111111111"/>
    <n v="5.6860869565217396"/>
    <n v="3.5895396849671206"/>
  </r>
  <r>
    <x v="7"/>
    <s v="CMP202601055"/>
    <s v="CUST101291"/>
    <x v="0"/>
    <s v="Green"/>
    <x v="0"/>
    <s v="East"/>
    <s v="25-34"/>
    <n v="2428"/>
    <n v="2357"/>
    <n v="2187"/>
    <n v="176"/>
    <n v="76"/>
    <n v="5"/>
    <n v="273.83"/>
    <x v="43"/>
    <n v="0.92787441663131098"/>
    <n v="8.0475537265660729E-2"/>
    <n v="0.43181818181818182"/>
    <n v="6.5789473684210523E-2"/>
    <n v="2.2862368541380889E-3"/>
    <n v="3.6030263157894735"/>
    <n v="1.5558522727272726"/>
    <n v="18.535076507322064"/>
  </r>
  <r>
    <x v="8"/>
    <s v="CMP202601005"/>
    <s v="CUST100658"/>
    <x v="0"/>
    <s v="Red Saleable"/>
    <x v="1"/>
    <s v="West"/>
    <s v="45-54"/>
    <n v="3792"/>
    <n v="3564"/>
    <n v="3225"/>
    <n v="169"/>
    <n v="114"/>
    <n v="8"/>
    <n v="481.73"/>
    <x v="44"/>
    <n v="0.90488215488215484"/>
    <n v="5.2403100775193799E-2"/>
    <n v="0.67455621301775148"/>
    <n v="7.0175438596491224E-2"/>
    <n v="2.4806201550387598E-3"/>
    <n v="4.2257017543859652"/>
    <n v="2.8504733727810652"/>
    <n v="21.258568077553818"/>
  </r>
  <r>
    <x v="8"/>
    <s v="CMP202601011"/>
    <s v="CUST100464"/>
    <x v="0"/>
    <s v="Amber"/>
    <x v="1"/>
    <s v="East"/>
    <s v="35-44"/>
    <n v="1476"/>
    <n v="1183"/>
    <n v="1069"/>
    <n v="75"/>
    <n v="49"/>
    <n v="4"/>
    <n v="141.13"/>
    <x v="45"/>
    <n v="0.90363482671174977"/>
    <n v="7.015902712815715E-2"/>
    <n v="0.65333333333333332"/>
    <n v="8.1632653061224483E-2"/>
    <n v="3.7418147801683817E-3"/>
    <n v="2.8802040816326531"/>
    <n v="1.8817333333333333"/>
    <n v="41.778431233614398"/>
  </r>
  <r>
    <x v="8"/>
    <s v="CMP202601017"/>
    <s v="CUST100197"/>
    <x v="2"/>
    <s v="Red Saleable"/>
    <x v="0"/>
    <s v="East"/>
    <s v="45-54"/>
    <n v="552"/>
    <n v="418"/>
    <n v="402"/>
    <n v="15"/>
    <n v="6"/>
    <n v="0"/>
    <n v="39.81"/>
    <x v="0"/>
    <n v="0.96172248803827753"/>
    <n v="3.7313432835820892E-2"/>
    <n v="0.4"/>
    <n v="0"/>
    <n v="0"/>
    <n v="6.6350000000000007"/>
    <n v="2.6540000000000004"/>
    <n v="-1"/>
  </r>
  <r>
    <x v="8"/>
    <s v="CMP202601025"/>
    <s v="CUST100387"/>
    <x v="2"/>
    <s v="Green"/>
    <x v="0"/>
    <s v="North"/>
    <s v="55+"/>
    <n v="4332"/>
    <n v="3482"/>
    <n v="3226"/>
    <n v="215"/>
    <n v="106"/>
    <n v="7"/>
    <n v="254.07"/>
    <x v="46"/>
    <n v="0.92647903503733486"/>
    <n v="6.6646001239925604E-2"/>
    <n v="0.49302325581395351"/>
    <n v="6.6037735849056603E-2"/>
    <n v="2.1698698078115313E-3"/>
    <n v="2.3968867924528303"/>
    <n v="1.1817209302325582"/>
    <n v="19.231314204746724"/>
  </r>
  <r>
    <x v="8"/>
    <s v="CMP202601033"/>
    <s v="CUST101197"/>
    <x v="0"/>
    <s v="Red Saleable"/>
    <x v="1"/>
    <s v="North"/>
    <s v="55+"/>
    <n v="561"/>
    <n v="503"/>
    <n v="459"/>
    <n v="28"/>
    <n v="20"/>
    <n v="1"/>
    <n v="69.94"/>
    <x v="47"/>
    <n v="0.9125248508946322"/>
    <n v="6.1002178649237473E-2"/>
    <n v="0.7142857142857143"/>
    <n v="0.05"/>
    <n v="2.1786492374727671E-3"/>
    <n v="3.4969999999999999"/>
    <n v="2.4978571428571428"/>
    <n v="10.126537031741494"/>
  </r>
  <r>
    <x v="8"/>
    <s v="CMP202601043"/>
    <s v="CUST101227"/>
    <x v="0"/>
    <s v="Red Non-Saleable"/>
    <x v="1"/>
    <s v="East"/>
    <s v="35-44"/>
    <n v="560"/>
    <n v="445"/>
    <n v="407"/>
    <n v="12"/>
    <n v="7"/>
    <n v="0"/>
    <n v="54.81"/>
    <x v="0"/>
    <n v="0.91460674157303368"/>
    <n v="2.9484029484029485E-2"/>
    <n v="0.58333333333333337"/>
    <n v="0"/>
    <n v="0"/>
    <n v="7.83"/>
    <n v="4.5674999999999999"/>
    <n v="-1"/>
  </r>
  <r>
    <x v="8"/>
    <s v="CMP202601051"/>
    <s v="CUST100396"/>
    <x v="2"/>
    <s v="Amber"/>
    <x v="1"/>
    <s v="North"/>
    <s v="25-34"/>
    <n v="2578"/>
    <n v="1917"/>
    <n v="1821"/>
    <n v="101"/>
    <n v="61"/>
    <n v="3"/>
    <n v="143.53"/>
    <x v="48"/>
    <n v="0.9499217527386542"/>
    <n v="5.546403075233388E-2"/>
    <n v="0.60396039603960394"/>
    <n v="4.9180327868852458E-2"/>
    <n v="1.6474464579901153E-3"/>
    <n v="2.3529508196721314"/>
    <n v="1.421089108910891"/>
    <n v="26.631296593046748"/>
  </r>
  <r>
    <x v="8"/>
    <s v="CMP202601074"/>
    <s v="CUST101039"/>
    <x v="2"/>
    <s v="Red Saleable"/>
    <x v="0"/>
    <s v="South"/>
    <s v="45-54"/>
    <n v="1292"/>
    <n v="1151"/>
    <n v="1099"/>
    <n v="34"/>
    <n v="13"/>
    <n v="0"/>
    <n v="103.97"/>
    <x v="0"/>
    <n v="0.95482189400521289"/>
    <n v="3.0937215650591446E-2"/>
    <n v="0.38235294117647056"/>
    <n v="0"/>
    <n v="0"/>
    <n v="7.9976923076923079"/>
    <n v="3.0579411764705884"/>
    <n v="-1"/>
  </r>
  <r>
    <x v="8"/>
    <s v="CMP202601074"/>
    <s v="CUST101265"/>
    <x v="2"/>
    <s v="Green"/>
    <x v="0"/>
    <s v="South"/>
    <s v="25-34"/>
    <n v="3538"/>
    <n v="3158"/>
    <n v="3004"/>
    <n v="199"/>
    <n v="108"/>
    <n v="7"/>
    <n v="234.1"/>
    <x v="49"/>
    <n v="0.95123495883470555"/>
    <n v="6.624500665778961E-2"/>
    <n v="0.542713567839196"/>
    <n v="6.4814814814814811E-2"/>
    <n v="2.3302263648468709E-3"/>
    <n v="2.1675925925925927"/>
    <n v="1.1763819095477386"/>
    <n v="41.156471593336178"/>
  </r>
  <r>
    <x v="9"/>
    <s v="CMP202601004"/>
    <s v="CUST100740"/>
    <x v="2"/>
    <s v="Red Non-Saleable"/>
    <x v="0"/>
    <s v="East"/>
    <s v="18-24"/>
    <n v="2699"/>
    <n v="2477"/>
    <n v="2295"/>
    <n v="36"/>
    <n v="16"/>
    <n v="1"/>
    <n v="181.68"/>
    <x v="50"/>
    <n v="0.92652402099313691"/>
    <n v="1.5686274509803921E-2"/>
    <n v="0.44444444444444442"/>
    <n v="6.25E-2"/>
    <n v="4.3572984749455336E-4"/>
    <n v="11.355"/>
    <n v="5.0466666666666669"/>
    <n v="2.2091039189784234"/>
  </r>
  <r>
    <x v="9"/>
    <s v="CMP202601004"/>
    <s v="CUST101344"/>
    <x v="0"/>
    <s v="Red Saleable"/>
    <x v="1"/>
    <s v="East"/>
    <s v="45-54"/>
    <n v="3307"/>
    <n v="2966"/>
    <n v="2621"/>
    <n v="179"/>
    <n v="120"/>
    <n v="6"/>
    <n v="326.56"/>
    <x v="51"/>
    <n v="0.88368172623061358"/>
    <n v="6.8294544067149937E-2"/>
    <n v="0.67039106145251393"/>
    <n v="0.05"/>
    <n v="2.2892025944296068E-3"/>
    <n v="2.7213333333333334"/>
    <n v="1.8243575418994413"/>
    <n v="26.276825085742285"/>
  </r>
  <r>
    <x v="9"/>
    <s v="CMP202601035"/>
    <s v="CUST100697"/>
    <x v="2"/>
    <s v="Red Non-Saleable"/>
    <x v="1"/>
    <s v="Central"/>
    <s v="55+"/>
    <n v="1636"/>
    <n v="1576"/>
    <n v="1531"/>
    <n v="42"/>
    <n v="23"/>
    <n v="1"/>
    <n v="140.07"/>
    <x v="52"/>
    <n v="0.97144670050761417"/>
    <n v="2.7433050293925537E-2"/>
    <n v="0.54761904761904767"/>
    <n v="4.3478260869565216E-2"/>
    <n v="6.5316786414108428E-4"/>
    <n v="6.09"/>
    <n v="3.335"/>
    <n v="6.1533518954808324"/>
  </r>
  <r>
    <x v="9"/>
    <s v="CMP202601055"/>
    <s v="CUST100582"/>
    <x v="0"/>
    <s v="Amber"/>
    <x v="0"/>
    <s v="North"/>
    <s v="35-44"/>
    <n v="3627"/>
    <n v="2762"/>
    <n v="2548"/>
    <n v="141"/>
    <n v="69"/>
    <n v="4"/>
    <n v="361.37"/>
    <x v="53"/>
    <n v="0.92251991310644466"/>
    <n v="5.5337519623233911E-2"/>
    <n v="0.48936170212765956"/>
    <n v="5.7971014492753624E-2"/>
    <n v="1.5698587127158557E-3"/>
    <n v="5.2372463768115942"/>
    <n v="2.5629078014184397"/>
    <n v="9.8838586490300795"/>
  </r>
  <r>
    <x v="9"/>
    <s v="CMP202601059"/>
    <s v="CUST100581"/>
    <x v="3"/>
    <s v="Amber"/>
    <x v="0"/>
    <s v="Central"/>
    <s v="45-54"/>
    <n v="2690"/>
    <n v="2354"/>
    <n v="2252"/>
    <n v="129"/>
    <n v="57"/>
    <n v="2"/>
    <n v="400.33"/>
    <x v="54"/>
    <n v="0.9566694987255735"/>
    <n v="5.7282415630550622E-2"/>
    <n v="0.44186046511627908"/>
    <n v="3.5087719298245612E-2"/>
    <n v="8.8809946714031975E-4"/>
    <n v="7.0233333333333334"/>
    <n v="3.1033333333333331"/>
    <n v="6.0328728798741036"/>
  </r>
  <r>
    <x v="9"/>
    <s v="CMP202601068"/>
    <s v="CUST101007"/>
    <x v="0"/>
    <s v="Red Saleable"/>
    <x v="1"/>
    <s v="North"/>
    <s v="18-24"/>
    <n v="2058"/>
    <n v="1615"/>
    <n v="1496"/>
    <n v="69"/>
    <n v="43"/>
    <n v="2"/>
    <n v="196.51"/>
    <x v="55"/>
    <n v="0.9263157894736842"/>
    <n v="4.6122994652406414E-2"/>
    <n v="0.62318840579710144"/>
    <n v="4.6511627906976744E-2"/>
    <n v="1.3368983957219251E-3"/>
    <n v="4.5699999999999994"/>
    <n v="2.8479710144927535"/>
    <n v="11.971044730548066"/>
  </r>
  <r>
    <x v="10"/>
    <s v="CMP202601021"/>
    <s v="CUST100673"/>
    <x v="1"/>
    <s v="Amber"/>
    <x v="0"/>
    <s v="North"/>
    <s v="25-34"/>
    <n v="4214"/>
    <n v="4107"/>
    <n v="3961"/>
    <n v="165"/>
    <n v="66"/>
    <n v="4"/>
    <n v="717.58"/>
    <x v="56"/>
    <n v="0.96445093742391041"/>
    <n v="4.1656147437515778E-2"/>
    <n v="0.4"/>
    <n v="6.0606060606060608E-2"/>
    <n v="1.009845998485231E-3"/>
    <n v="10.872424242424243"/>
    <n v="4.3489696969696974"/>
    <n v="6.6084617742969423"/>
  </r>
  <r>
    <x v="10"/>
    <s v="CMP202601036"/>
    <s v="CUST100691"/>
    <x v="2"/>
    <s v="Red Saleable"/>
    <x v="0"/>
    <s v="South"/>
    <s v="45-54"/>
    <n v="619"/>
    <n v="454"/>
    <n v="425"/>
    <n v="15"/>
    <n v="7"/>
    <n v="0"/>
    <n v="33.869999999999997"/>
    <x v="0"/>
    <n v="0.93612334801762109"/>
    <n v="3.5294117647058823E-2"/>
    <n v="0.46666666666666667"/>
    <n v="0"/>
    <n v="0"/>
    <n v="4.8385714285714281"/>
    <n v="2.258"/>
    <n v="-1"/>
  </r>
  <r>
    <x v="10"/>
    <s v="CMP202601048"/>
    <s v="CUST100497"/>
    <x v="2"/>
    <s v="Amber"/>
    <x v="0"/>
    <s v="East"/>
    <s v="55+"/>
    <n v="3066"/>
    <n v="2905"/>
    <n v="2682"/>
    <n v="156"/>
    <n v="62"/>
    <n v="3"/>
    <n v="235.69"/>
    <x v="57"/>
    <n v="0.92323580034423403"/>
    <n v="5.8165548098434001E-2"/>
    <n v="0.39743589743589741"/>
    <n v="4.8387096774193547E-2"/>
    <n v="1.1185682326621924E-3"/>
    <n v="3.8014516129032256"/>
    <n v="1.5108333333333333"/>
    <n v="12.410072552929694"/>
  </r>
  <r>
    <x v="10"/>
    <s v="CMP202601048"/>
    <s v="CUST100973"/>
    <x v="0"/>
    <s v="Amber"/>
    <x v="1"/>
    <s v="South"/>
    <s v="35-44"/>
    <n v="3676"/>
    <n v="3252"/>
    <n v="2992"/>
    <n v="207"/>
    <n v="140"/>
    <n v="9"/>
    <n v="420.99"/>
    <x v="58"/>
    <n v="0.92004920049200489"/>
    <n v="6.9184491978609625E-2"/>
    <n v="0.67632850241545894"/>
    <n v="6.4285714285714279E-2"/>
    <n v="3.0080213903743314E-3"/>
    <n v="3.0070714285714288"/>
    <n v="2.0337681159420291"/>
    <n v="19.145680419962467"/>
  </r>
  <r>
    <x v="10"/>
    <s v="CMP202601050"/>
    <s v="CUST100623"/>
    <x v="0"/>
    <s v="Red Non-Saleable"/>
    <x v="0"/>
    <s v="North"/>
    <s v="55+"/>
    <n v="4886"/>
    <n v="4426"/>
    <n v="4125"/>
    <n v="51"/>
    <n v="23"/>
    <n v="0"/>
    <n v="552.04999999999995"/>
    <x v="0"/>
    <n v="0.9319927699954812"/>
    <n v="1.2363636363636363E-2"/>
    <n v="0.45098039215686275"/>
    <n v="0"/>
    <n v="0"/>
    <n v="24.002173913043475"/>
    <n v="10.824509803921568"/>
    <n v="-1"/>
  </r>
  <r>
    <x v="10"/>
    <s v="CMP202601060"/>
    <s v="CUST101186"/>
    <x v="2"/>
    <s v="Green"/>
    <x v="0"/>
    <s v="North"/>
    <s v="25-34"/>
    <n v="2102"/>
    <n v="1591"/>
    <n v="1500"/>
    <n v="76"/>
    <n v="36"/>
    <n v="3"/>
    <n v="116.03"/>
    <x v="59"/>
    <n v="0.94280326838466377"/>
    <n v="5.0666666666666665E-2"/>
    <n v="0.47368421052631576"/>
    <n v="8.3333333333333329E-2"/>
    <n v="2E-3"/>
    <n v="3.2230555555555558"/>
    <n v="1.5267105263157894"/>
    <n v="21.499267430836852"/>
  </r>
  <r>
    <x v="11"/>
    <s v="CMP202601007"/>
    <s v="CUST101328"/>
    <x v="1"/>
    <s v="Red Saleable"/>
    <x v="1"/>
    <s v="Central"/>
    <s v="55+"/>
    <n v="3010"/>
    <n v="2780"/>
    <n v="2698"/>
    <n v="47"/>
    <n v="26"/>
    <n v="2"/>
    <n v="548.80999999999995"/>
    <x v="60"/>
    <n v="0.97050359712230216"/>
    <n v="1.7420311341734617E-2"/>
    <n v="0.55319148936170215"/>
    <n v="7.6923076923076927E-2"/>
    <n v="7.4128984432913266E-4"/>
    <n v="21.108076923076922"/>
    <n v="11.676808510638297"/>
    <n v="1.8176600280607134"/>
  </r>
  <r>
    <x v="11"/>
    <s v="CMP202601014"/>
    <s v="CUST101469"/>
    <x v="3"/>
    <s v="Red Non-Saleable"/>
    <x v="0"/>
    <s v="East"/>
    <s v="18-24"/>
    <n v="4650"/>
    <n v="4017"/>
    <n v="3733"/>
    <n v="115"/>
    <n v="58"/>
    <n v="0"/>
    <n v="711.81"/>
    <x v="0"/>
    <n v="0.92930047298979335"/>
    <n v="3.0806321993035093E-2"/>
    <n v="0.5043478260869565"/>
    <n v="0"/>
    <n v="0"/>
    <n v="12.27258620689655"/>
    <n v="6.1896521739130428"/>
    <n v="-1"/>
  </r>
  <r>
    <x v="11"/>
    <s v="CMP202601026"/>
    <s v="CUST100540"/>
    <x v="2"/>
    <s v="Amber"/>
    <x v="1"/>
    <s v="West"/>
    <s v="45-54"/>
    <n v="4557"/>
    <n v="4309"/>
    <n v="4036"/>
    <n v="221"/>
    <n v="122"/>
    <n v="11"/>
    <n v="306.62"/>
    <x v="61"/>
    <n v="0.93664423300069621"/>
    <n v="5.475718533201189E-2"/>
    <n v="0.55203619909502266"/>
    <n v="9.0163934426229511E-2"/>
    <n v="2.7254707631318136E-3"/>
    <n v="2.5132786885245904"/>
    <n v="1.3874208144796381"/>
    <n v="46.063824929880624"/>
  </r>
  <r>
    <x v="11"/>
    <s v="CMP202601048"/>
    <s v="CUST101372"/>
    <x v="2"/>
    <s v="Green"/>
    <x v="1"/>
    <s v="North"/>
    <s v="25-34"/>
    <n v="3497"/>
    <n v="3380"/>
    <n v="3045"/>
    <n v="332"/>
    <n v="203"/>
    <n v="17"/>
    <n v="300.76"/>
    <x v="62"/>
    <n v="0.90088757396449703"/>
    <n v="0.10903119868637109"/>
    <n v="0.61144578313253017"/>
    <n v="8.3743842364532015E-2"/>
    <n v="5.5829228243021349E-3"/>
    <n v="1.4815763546798029"/>
    <n v="0.9059036144578313"/>
    <n v="90.377111317994434"/>
  </r>
  <r>
    <x v="11"/>
    <s v="CMP202601057"/>
    <s v="CUST100037"/>
    <x v="1"/>
    <s v="Red Non-Saleable"/>
    <x v="0"/>
    <s v="South"/>
    <s v="55+"/>
    <n v="4381"/>
    <n v="4018"/>
    <n v="3831"/>
    <n v="34"/>
    <n v="10"/>
    <n v="0"/>
    <n v="725.49"/>
    <x v="0"/>
    <n v="0.95345943255350918"/>
    <n v="8.874967371443488E-3"/>
    <n v="0.29411764705882354"/>
    <n v="0"/>
    <n v="0"/>
    <n v="72.549000000000007"/>
    <n v="21.33794117647059"/>
    <n v="-1"/>
  </r>
  <r>
    <x v="11"/>
    <s v="CMP202601069"/>
    <s v="CUST100348"/>
    <x v="0"/>
    <s v="Red Saleable"/>
    <x v="0"/>
    <s v="North"/>
    <s v="25-34"/>
    <n v="2268"/>
    <n v="1916"/>
    <n v="1783"/>
    <n v="69"/>
    <n v="34"/>
    <n v="1"/>
    <n v="246.01"/>
    <x v="63"/>
    <n v="0.93058455114822547"/>
    <n v="3.8698822209758836E-2"/>
    <n v="0.49275362318840582"/>
    <n v="2.9411764705882353E-2"/>
    <n v="5.6085249579360629E-4"/>
    <n v="7.2355882352941174"/>
    <n v="3.5653623188405796"/>
    <n v="2.3418153733588065"/>
  </r>
  <r>
    <x v="11"/>
    <s v="CMP202601078"/>
    <s v="CUST100114"/>
    <x v="3"/>
    <s v="Amber"/>
    <x v="0"/>
    <s v="East"/>
    <s v="25-34"/>
    <n v="3436"/>
    <n v="2576"/>
    <n v="2349"/>
    <n v="137"/>
    <n v="75"/>
    <n v="5"/>
    <n v="349"/>
    <x v="64"/>
    <n v="0.91187888198757761"/>
    <n v="5.8322690506598551E-2"/>
    <n v="0.54744525547445255"/>
    <n v="6.6666666666666666E-2"/>
    <n v="2.1285653469561515E-3"/>
    <n v="4.6533333333333333"/>
    <n v="2.5474452554744524"/>
    <n v="9.0154727793696274"/>
  </r>
  <r>
    <x v="12"/>
    <s v="CMP202601008"/>
    <s v="CUST101260"/>
    <x v="1"/>
    <s v="Red Non-Saleable"/>
    <x v="1"/>
    <s v="West"/>
    <s v="18-24"/>
    <n v="1209"/>
    <n v="1023"/>
    <n v="1002"/>
    <n v="12"/>
    <n v="6"/>
    <n v="0"/>
    <n v="174.23"/>
    <x v="0"/>
    <n v="0.97947214076246336"/>
    <n v="1.1976047904191617E-2"/>
    <n v="0.5"/>
    <n v="0"/>
    <n v="0"/>
    <n v="29.03833333333333"/>
    <n v="14.519166666666665"/>
    <n v="-1"/>
  </r>
  <r>
    <x v="12"/>
    <s v="CMP202601008"/>
    <s v="CUST101320"/>
    <x v="0"/>
    <s v="Amber"/>
    <x v="0"/>
    <s v="East"/>
    <s v="25-34"/>
    <n v="2265"/>
    <n v="2081"/>
    <n v="1896"/>
    <n v="112"/>
    <n v="57"/>
    <n v="2"/>
    <n v="298.22000000000003"/>
    <x v="65"/>
    <n v="0.91110043248438255"/>
    <n v="5.9071729957805907E-2"/>
    <n v="0.5089285714285714"/>
    <n v="3.5087719298245612E-2"/>
    <n v="1.0548523206751054E-3"/>
    <n v="5.2319298245614041"/>
    <n v="2.6626785714285717"/>
    <n v="5.5997250352089054"/>
  </r>
  <r>
    <x v="12"/>
    <s v="CMP202601014"/>
    <s v="CUST100180"/>
    <x v="0"/>
    <s v="Amber"/>
    <x v="0"/>
    <s v="North"/>
    <s v="35-44"/>
    <n v="786"/>
    <n v="655"/>
    <n v="620"/>
    <n v="39"/>
    <n v="20"/>
    <n v="1"/>
    <n v="93.32"/>
    <x v="66"/>
    <n v="0.94656488549618323"/>
    <n v="6.2903225806451607E-2"/>
    <n v="0.51282051282051277"/>
    <n v="0.05"/>
    <n v="1.6129032258064516E-3"/>
    <n v="4.6659999999999995"/>
    <n v="2.3928205128205127"/>
    <n v="10.414809258465496"/>
  </r>
  <r>
    <x v="12"/>
    <s v="CMP202601031"/>
    <s v="CUST100173"/>
    <x v="1"/>
    <s v="Amber"/>
    <x v="0"/>
    <s v="South"/>
    <s v="25-34"/>
    <n v="1989"/>
    <n v="1472"/>
    <n v="1389"/>
    <n v="58"/>
    <n v="25"/>
    <n v="1"/>
    <n v="299.77"/>
    <x v="67"/>
    <n v="0.94361413043478259"/>
    <n v="4.1756659467242621E-2"/>
    <n v="0.43103448275862066"/>
    <n v="0.04"/>
    <n v="7.1994240460763136E-4"/>
    <n v="11.9908"/>
    <n v="5.1684482758620689"/>
    <n v="2.6427928078193283"/>
  </r>
  <r>
    <x v="12"/>
    <s v="CMP202601035"/>
    <s v="CUST101051"/>
    <x v="3"/>
    <s v="Green"/>
    <x v="0"/>
    <s v="South"/>
    <s v="18-24"/>
    <n v="3547"/>
    <n v="3203"/>
    <n v="3012"/>
    <n v="180"/>
    <n v="76"/>
    <n v="5"/>
    <n v="500.64"/>
    <x v="68"/>
    <n v="0.94036840462066817"/>
    <n v="5.9760956175298807E-2"/>
    <n v="0.42222222222222222"/>
    <n v="6.5789473684210523E-2"/>
    <n v="1.6600265604249668E-3"/>
    <n v="6.5873684210526315"/>
    <n v="2.7813333333333334"/>
    <n v="6.3775167785234901"/>
  </r>
  <r>
    <x v="12"/>
    <s v="CMP202601036"/>
    <s v="CUST100960"/>
    <x v="2"/>
    <s v="Green"/>
    <x v="0"/>
    <s v="West"/>
    <s v="18-24"/>
    <n v="1599"/>
    <n v="1530"/>
    <n v="1459"/>
    <n v="79"/>
    <n v="44"/>
    <n v="3"/>
    <n v="135.76"/>
    <x v="69"/>
    <n v="0.95359477124183012"/>
    <n v="5.4146675805346128E-2"/>
    <n v="0.55696202531645567"/>
    <n v="6.8181818181818177E-2"/>
    <n v="2.0562028786840301E-3"/>
    <n v="3.0854545454545454"/>
    <n v="1.7184810126582277"/>
    <n v="23.816514437242194"/>
  </r>
  <r>
    <x v="12"/>
    <s v="CMP202601054"/>
    <s v="CUST100968"/>
    <x v="2"/>
    <s v="Red Non-Saleable"/>
    <x v="0"/>
    <s v="Central"/>
    <s v="35-44"/>
    <n v="1247"/>
    <n v="1186"/>
    <n v="1115"/>
    <n v="8"/>
    <n v="3"/>
    <n v="0"/>
    <n v="109.22"/>
    <x v="0"/>
    <n v="0.94013490725126481"/>
    <n v="7.1748878923766817E-3"/>
    <n v="0.375"/>
    <n v="0"/>
    <n v="0"/>
    <n v="36.406666666666666"/>
    <n v="13.6525"/>
    <n v="-1"/>
  </r>
  <r>
    <x v="12"/>
    <s v="CMP202601065"/>
    <s v="CUST100923"/>
    <x v="0"/>
    <s v="Red Non-Saleable"/>
    <x v="0"/>
    <s v="West"/>
    <s v="35-44"/>
    <n v="4289"/>
    <n v="3494"/>
    <n v="3196"/>
    <n v="43"/>
    <n v="20"/>
    <n v="0"/>
    <n v="399.98"/>
    <x v="0"/>
    <n v="0.91471093302804807"/>
    <n v="1.3454317897371715E-2"/>
    <n v="0.46511627906976744"/>
    <n v="0"/>
    <n v="0"/>
    <n v="19.999000000000002"/>
    <n v="9.3018604651162793"/>
    <n v="-1"/>
  </r>
  <r>
    <x v="13"/>
    <s v="CMP202601026"/>
    <s v="CUST100651"/>
    <x v="1"/>
    <s v="Amber"/>
    <x v="1"/>
    <s v="West"/>
    <s v="35-44"/>
    <n v="4147"/>
    <n v="3119"/>
    <n v="2933"/>
    <n v="135"/>
    <n v="67"/>
    <n v="3"/>
    <n v="609.23"/>
    <x v="70"/>
    <n v="0.94036550176338574"/>
    <n v="4.6027957722468461E-2"/>
    <n v="0.49629629629629629"/>
    <n v="4.4776119402985072E-2"/>
    <n v="1.0228435049437436E-3"/>
    <n v="9.0929850746268652"/>
    <n v="4.5128148148148153"/>
    <n v="6.3353413325016819"/>
  </r>
  <r>
    <x v="13"/>
    <s v="CMP202601038"/>
    <s v="CUST100694"/>
    <x v="0"/>
    <s v="Amber"/>
    <x v="1"/>
    <s v="North"/>
    <s v="18-24"/>
    <n v="2029"/>
    <n v="1720"/>
    <n v="1557"/>
    <n v="129"/>
    <n v="83"/>
    <n v="5"/>
    <n v="213.83"/>
    <x v="71"/>
    <n v="0.90523255813953485"/>
    <n v="8.2851637764932567E-2"/>
    <n v="0.64341085271317833"/>
    <n v="6.0240963855421686E-2"/>
    <n v="3.2113037893384713E-3"/>
    <n v="2.576265060240964"/>
    <n v="1.6575968992248062"/>
    <n v="19.48075574054155"/>
  </r>
  <r>
    <x v="13"/>
    <s v="CMP202601040"/>
    <s v="CUST100784"/>
    <x v="2"/>
    <s v="Green"/>
    <x v="0"/>
    <s v="South"/>
    <s v="55+"/>
    <n v="3433"/>
    <n v="2662"/>
    <n v="2468"/>
    <n v="186"/>
    <n v="82"/>
    <n v="6"/>
    <n v="237.37"/>
    <x v="72"/>
    <n v="0.92712246431254697"/>
    <n v="7.5364667747163702E-2"/>
    <n v="0.44086021505376344"/>
    <n v="7.3170731707317069E-2"/>
    <n v="2.4311183144246355E-3"/>
    <n v="2.8947560975609758"/>
    <n v="1.2761827956989247"/>
    <n v="19.623878333403546"/>
  </r>
  <r>
    <x v="13"/>
    <s v="CMP202601043"/>
    <s v="CUST101279"/>
    <x v="2"/>
    <s v="Green"/>
    <x v="0"/>
    <s v="South"/>
    <s v="35-44"/>
    <n v="4138"/>
    <n v="3675"/>
    <n v="3414"/>
    <n v="191"/>
    <n v="92"/>
    <n v="6"/>
    <n v="316.02999999999997"/>
    <x v="73"/>
    <n v="0.92897959183673473"/>
    <n v="5.5946104276508493E-2"/>
    <n v="0.48167539267015708"/>
    <n v="6.5217391304347824E-2"/>
    <n v="1.7574692442882249E-3"/>
    <n v="3.4351086956521737"/>
    <n v="1.6546073298429318"/>
    <n v="18.488118216625008"/>
  </r>
  <r>
    <x v="13"/>
    <s v="CMP202601072"/>
    <s v="CUST100776"/>
    <x v="1"/>
    <s v="Amber"/>
    <x v="0"/>
    <s v="Central"/>
    <s v="18-24"/>
    <n v="504"/>
    <n v="399"/>
    <n v="382"/>
    <n v="17"/>
    <n v="6"/>
    <n v="0"/>
    <n v="61.15"/>
    <x v="0"/>
    <n v="0.95739348370927313"/>
    <n v="4.4502617801047119E-2"/>
    <n v="0.35294117647058826"/>
    <n v="0"/>
    <n v="0"/>
    <n v="10.191666666666666"/>
    <n v="3.5970588235294119"/>
    <n v="-1"/>
  </r>
  <r>
    <x v="14"/>
    <s v="CMP202601024"/>
    <s v="CUST100492"/>
    <x v="1"/>
    <s v="Green"/>
    <x v="0"/>
    <s v="Central"/>
    <s v="25-34"/>
    <n v="1488"/>
    <n v="1205"/>
    <n v="1150"/>
    <n v="60"/>
    <n v="19"/>
    <n v="2"/>
    <n v="200.14"/>
    <x v="74"/>
    <n v="0.9543568464730291"/>
    <n v="5.2173913043478258E-2"/>
    <n v="0.31666666666666665"/>
    <n v="0.10526315789473684"/>
    <n v="1.7391304347826088E-3"/>
    <n v="10.533684210526316"/>
    <n v="3.3356666666666666"/>
    <n v="13.557959428400123"/>
  </r>
  <r>
    <x v="14"/>
    <s v="CMP202601032"/>
    <s v="CUST100796"/>
    <x v="1"/>
    <s v="Amber"/>
    <x v="1"/>
    <s v="Central"/>
    <s v="25-34"/>
    <n v="2115"/>
    <n v="1856"/>
    <n v="1784"/>
    <n v="74"/>
    <n v="41"/>
    <n v="2"/>
    <n v="372.61"/>
    <x v="75"/>
    <n v="0.96120689655172409"/>
    <n v="4.1479820627802692E-2"/>
    <n v="0.55405405405405406"/>
    <n v="4.878048780487805E-2"/>
    <n v="1.1210762331838565E-3"/>
    <n v="9.0880487804878047"/>
    <n v="5.0352702702702707"/>
    <n v="6.9910362040739642"/>
  </r>
  <r>
    <x v="14"/>
    <s v="CMP202601039"/>
    <s v="CUST100777"/>
    <x v="3"/>
    <s v="Red Non-Saleable"/>
    <x v="0"/>
    <s v="East"/>
    <s v="35-44"/>
    <n v="1836"/>
    <n v="1794"/>
    <n v="1695"/>
    <n v="37"/>
    <n v="17"/>
    <n v="0"/>
    <n v="312.99"/>
    <x v="0"/>
    <n v="0.94481605351170572"/>
    <n v="2.1828908554572271E-2"/>
    <n v="0.45945945945945948"/>
    <n v="0"/>
    <n v="0"/>
    <n v="18.411176470588234"/>
    <n v="8.4591891891891891"/>
    <n v="-1"/>
  </r>
  <r>
    <x v="14"/>
    <s v="CMP202601040"/>
    <s v="CUST100683"/>
    <x v="1"/>
    <s v="Amber"/>
    <x v="0"/>
    <s v="North"/>
    <s v="35-44"/>
    <n v="2431"/>
    <n v="2071"/>
    <n v="1940"/>
    <n v="47"/>
    <n v="18"/>
    <n v="1"/>
    <n v="427.65"/>
    <x v="76"/>
    <n v="0.9367455335586673"/>
    <n v="2.4226804123711341E-2"/>
    <n v="0.38297872340425532"/>
    <n v="5.5555555555555552E-2"/>
    <n v="5.1546391752577321E-4"/>
    <n v="23.758333333333333"/>
    <n v="9.0989361702127649"/>
    <n v="2.1562258856541567"/>
  </r>
  <r>
    <x v="14"/>
    <s v="CMP202601044"/>
    <s v="CUST100295"/>
    <x v="1"/>
    <s v="Red Non-Saleable"/>
    <x v="1"/>
    <s v="South"/>
    <s v="25-34"/>
    <n v="1914"/>
    <n v="1694"/>
    <n v="1574"/>
    <n v="5"/>
    <n v="3"/>
    <n v="0"/>
    <n v="331.81"/>
    <x v="0"/>
    <n v="0.92916174734356549"/>
    <n v="3.1766200762388818E-3"/>
    <n v="0.6"/>
    <n v="0"/>
    <n v="0"/>
    <n v="110.60333333333334"/>
    <n v="66.361999999999995"/>
    <n v="-1"/>
  </r>
  <r>
    <x v="14"/>
    <s v="CMP202601044"/>
    <s v="CUST100643"/>
    <x v="0"/>
    <s v="Green"/>
    <x v="0"/>
    <s v="North"/>
    <s v="25-34"/>
    <n v="1342"/>
    <n v="1245"/>
    <n v="1140"/>
    <n v="73"/>
    <n v="35"/>
    <n v="2"/>
    <n v="145.59"/>
    <x v="77"/>
    <n v="0.91566265060240959"/>
    <n v="6.403508771929825E-2"/>
    <n v="0.47945205479452052"/>
    <n v="5.7142857142857141E-2"/>
    <n v="1.7543859649122807E-3"/>
    <n v="4.1597142857142861"/>
    <n v="1.9943835616438357"/>
    <n v="18.736795109554226"/>
  </r>
  <r>
    <x v="14"/>
    <s v="CMP202601052"/>
    <s v="CUST100587"/>
    <x v="2"/>
    <s v="Amber"/>
    <x v="0"/>
    <s v="East"/>
    <s v="35-44"/>
    <n v="4820"/>
    <n v="3637"/>
    <n v="3431"/>
    <n v="147"/>
    <n v="62"/>
    <n v="3"/>
    <n v="264.99"/>
    <x v="78"/>
    <n v="0.94335991201539726"/>
    <n v="4.2844651705042265E-2"/>
    <n v="0.42176870748299322"/>
    <n v="4.8387096774193547E-2"/>
    <n v="8.7438064704167882E-4"/>
    <n v="4.2740322580645165"/>
    <n v="1.8026530612244898"/>
    <n v="15.033812596701763"/>
  </r>
  <r>
    <x v="14"/>
    <s v="CMP202601056"/>
    <s v="CUST100896"/>
    <x v="1"/>
    <s v="Green"/>
    <x v="1"/>
    <s v="West"/>
    <s v="25-34"/>
    <n v="939"/>
    <n v="906"/>
    <n v="887"/>
    <n v="66"/>
    <n v="36"/>
    <n v="4"/>
    <n v="183.47"/>
    <x v="79"/>
    <n v="0.97902869757174393"/>
    <n v="7.4408117249154457E-2"/>
    <n v="0.54545454545454541"/>
    <n v="0.1111111111111111"/>
    <n v="4.5095828635851182E-3"/>
    <n v="5.0963888888888889"/>
    <n v="2.7798484848484848"/>
    <n v="27.868915899057065"/>
  </r>
  <r>
    <x v="14"/>
    <s v="CMP202601063"/>
    <s v="CUST100949"/>
    <x v="1"/>
    <s v="Red Non-Saleable"/>
    <x v="0"/>
    <s v="East"/>
    <s v="55+"/>
    <n v="1073"/>
    <n v="978"/>
    <n v="934"/>
    <n v="16"/>
    <n v="5"/>
    <n v="0"/>
    <n v="157.44"/>
    <x v="0"/>
    <n v="0.95501022494887522"/>
    <n v="1.7130620985010708E-2"/>
    <n v="0.3125"/>
    <n v="0"/>
    <n v="0"/>
    <n v="31.488"/>
    <n v="9.84"/>
    <n v="-1"/>
  </r>
  <r>
    <x v="14"/>
    <s v="CMP202601064"/>
    <s v="CUST100714"/>
    <x v="0"/>
    <s v="Amber"/>
    <x v="1"/>
    <s v="East"/>
    <s v="25-34"/>
    <n v="1597"/>
    <n v="1426"/>
    <n v="1263"/>
    <n v="92"/>
    <n v="63"/>
    <n v="5"/>
    <n v="186.99"/>
    <x v="80"/>
    <n v="0.88569424964936883"/>
    <n v="7.2842438638163101E-2"/>
    <n v="0.68478260869565222"/>
    <n v="7.9365079365079361E-2"/>
    <n v="3.95882818685669E-3"/>
    <n v="2.9680952380952381"/>
    <n v="2.0325000000000002"/>
    <n v="39.305256965613133"/>
  </r>
  <r>
    <x v="14"/>
    <s v="CMP202601072"/>
    <s v="CUST100104"/>
    <x v="1"/>
    <s v="Amber"/>
    <x v="1"/>
    <s v="South"/>
    <s v="25-34"/>
    <n v="1716"/>
    <n v="1381"/>
    <n v="1340"/>
    <n v="71"/>
    <n v="39"/>
    <n v="3"/>
    <n v="277.99"/>
    <x v="81"/>
    <n v="0.97031136857349742"/>
    <n v="5.2985074626865671E-2"/>
    <n v="0.54929577464788737"/>
    <n v="7.6923076923076927E-2"/>
    <n v="2.2388059701492539E-3"/>
    <n v="7.1279487179487182"/>
    <n v="3.9153521126760564"/>
    <n v="7.9716536566063523"/>
  </r>
  <r>
    <x v="15"/>
    <s v="CMP202601005"/>
    <s v="CUST100306"/>
    <x v="0"/>
    <s v="Red Saleable"/>
    <x v="1"/>
    <s v="East"/>
    <s v="25-34"/>
    <n v="1022"/>
    <n v="930"/>
    <n v="833"/>
    <n v="52"/>
    <n v="34"/>
    <n v="2"/>
    <n v="104.87"/>
    <x v="82"/>
    <n v="0.89569892473118284"/>
    <n v="6.2424969987995196E-2"/>
    <n v="0.65384615384615385"/>
    <n v="5.8823529411764705E-2"/>
    <n v="2.4009603841536613E-3"/>
    <n v="3.0844117647058824"/>
    <n v="2.0167307692307692"/>
    <n v="16.023839038809957"/>
  </r>
  <r>
    <x v="15"/>
    <s v="CMP202601005"/>
    <s v="CUST100393"/>
    <x v="1"/>
    <s v="Red Saleable"/>
    <x v="0"/>
    <s v="North"/>
    <s v="45-54"/>
    <n v="2308"/>
    <n v="2198"/>
    <n v="2059"/>
    <n v="42"/>
    <n v="17"/>
    <n v="1"/>
    <n v="398.34"/>
    <x v="83"/>
    <n v="0.93676069153776165"/>
    <n v="2.0398251578436135E-2"/>
    <n v="0.40476190476190477"/>
    <n v="5.8823529411764705E-2"/>
    <n v="4.8567265662943174E-4"/>
    <n v="23.431764705882351"/>
    <n v="9.4842857142857131"/>
    <n v="1.6116382989406037"/>
  </r>
  <r>
    <x v="15"/>
    <s v="CMP202601018"/>
    <s v="CUST100852"/>
    <x v="2"/>
    <s v="Red Saleable"/>
    <x v="1"/>
    <s v="West"/>
    <s v="35-44"/>
    <n v="449"/>
    <n v="383"/>
    <n v="361"/>
    <n v="16"/>
    <n v="8"/>
    <n v="0"/>
    <n v="32.909999999999997"/>
    <x v="0"/>
    <n v="0.94255874673629247"/>
    <n v="4.4321329639889197E-2"/>
    <n v="0.5"/>
    <n v="0"/>
    <n v="0"/>
    <n v="4.1137499999999996"/>
    <n v="2.0568749999999998"/>
    <n v="-1"/>
  </r>
  <r>
    <x v="15"/>
    <s v="CMP202601035"/>
    <s v="CUST100760"/>
    <x v="2"/>
    <s v="Green"/>
    <x v="1"/>
    <s v="South"/>
    <s v="45-54"/>
    <n v="2334"/>
    <n v="1766"/>
    <n v="1693"/>
    <n v="167"/>
    <n v="104"/>
    <n v="11"/>
    <n v="127.42"/>
    <x v="84"/>
    <n v="0.95866364665911663"/>
    <n v="9.8641464855286479E-2"/>
    <n v="0.6227544910179641"/>
    <n v="0.10576923076923077"/>
    <n v="6.4973419964559952E-3"/>
    <n v="1.2251923076923077"/>
    <n v="0.76299401197604788"/>
    <n v="130.87576518599909"/>
  </r>
  <r>
    <x v="15"/>
    <s v="CMP202601040"/>
    <s v="CUST100981"/>
    <x v="0"/>
    <s v="Amber"/>
    <x v="1"/>
    <s v="Central"/>
    <s v="55+"/>
    <n v="4829"/>
    <n v="4394"/>
    <n v="3929"/>
    <n v="332"/>
    <n v="203"/>
    <n v="16"/>
    <n v="547.04"/>
    <x v="85"/>
    <n v="0.89417387346381427"/>
    <n v="8.4499872741155516E-2"/>
    <n v="0.61144578313253017"/>
    <n v="7.8817733990147784E-2"/>
    <n v="4.0722830236701452E-3"/>
    <n v="2.6947783251231527"/>
    <n v="1.6477108433734939"/>
    <n v="22.996983767183391"/>
  </r>
  <r>
    <x v="15"/>
    <s v="CMP202601050"/>
    <s v="CUST100407"/>
    <x v="0"/>
    <s v="Amber"/>
    <x v="0"/>
    <s v="West"/>
    <s v="45-54"/>
    <n v="2208"/>
    <n v="1704"/>
    <n v="1505"/>
    <n v="85"/>
    <n v="41"/>
    <n v="2"/>
    <n v="221.33"/>
    <x v="86"/>
    <n v="0.88321596244131451"/>
    <n v="5.647840531561462E-2"/>
    <n v="0.4823529411764706"/>
    <n v="4.878048780487805E-2"/>
    <n v="1.3289036544850499E-3"/>
    <n v="5.3982926829268294"/>
    <n v="2.6038823529411768"/>
    <n v="6.5909275742104549"/>
  </r>
  <r>
    <x v="15"/>
    <s v="CMP202601053"/>
    <s v="CUST101021"/>
    <x v="0"/>
    <s v="Red Saleable"/>
    <x v="0"/>
    <s v="North"/>
    <s v="25-34"/>
    <n v="3690"/>
    <n v="3031"/>
    <n v="2763"/>
    <n v="124"/>
    <n v="62"/>
    <n v="1"/>
    <n v="392.37"/>
    <x v="87"/>
    <n v="0.91158033652259984"/>
    <n v="4.4878754976474845E-2"/>
    <n v="0.5"/>
    <n v="1.6129032258064516E-2"/>
    <n v="3.6192544335866811E-4"/>
    <n v="6.3285483870967747"/>
    <n v="3.1642741935483873"/>
    <n v="2.3657007416469145"/>
  </r>
  <r>
    <x v="15"/>
    <s v="CMP202601071"/>
    <s v="CUST100479"/>
    <x v="2"/>
    <s v="Amber"/>
    <x v="0"/>
    <s v="North"/>
    <s v="25-34"/>
    <n v="429"/>
    <n v="328"/>
    <n v="317"/>
    <n v="15"/>
    <n v="7"/>
    <n v="0"/>
    <n v="28.45"/>
    <x v="0"/>
    <n v="0.96646341463414631"/>
    <n v="4.7318611987381701E-2"/>
    <n v="0.46666666666666667"/>
    <n v="0"/>
    <n v="0"/>
    <n v="4.0642857142857141"/>
    <n v="1.8966666666666667"/>
    <n v="-1"/>
  </r>
  <r>
    <x v="16"/>
    <s v="CMP202601008"/>
    <s v="CUST101323"/>
    <x v="2"/>
    <s v="Red Saleable"/>
    <x v="0"/>
    <s v="West"/>
    <s v="45-54"/>
    <n v="2224"/>
    <n v="1919"/>
    <n v="1783"/>
    <n v="61"/>
    <n v="31"/>
    <n v="1"/>
    <n v="170.74"/>
    <x v="88"/>
    <n v="0.92912975508077122"/>
    <n v="3.4212002243409985E-2"/>
    <n v="0.50819672131147542"/>
    <n v="3.2258064516129031E-2"/>
    <n v="5.6085249579360629E-4"/>
    <n v="5.507741935483871"/>
    <n v="2.7990163934426233"/>
    <n v="3.7579946116902891"/>
  </r>
  <r>
    <x v="16"/>
    <s v="CMP202601033"/>
    <s v="CUST100510"/>
    <x v="0"/>
    <s v="Amber"/>
    <x v="0"/>
    <s v="South"/>
    <s v="45-54"/>
    <n v="2964"/>
    <n v="2736"/>
    <n v="2528"/>
    <n v="119"/>
    <n v="62"/>
    <n v="2"/>
    <n v="382.96"/>
    <x v="89"/>
    <n v="0.92397660818713445"/>
    <n v="4.7072784810126583E-2"/>
    <n v="0.52100840336134457"/>
    <n v="3.2258064516129031E-2"/>
    <n v="7.911392405063291E-4"/>
    <n v="6.1767741935483871"/>
    <n v="3.2181512605042015"/>
    <n v="3.7323219135157717"/>
  </r>
  <r>
    <x v="16"/>
    <s v="CMP202601034"/>
    <s v="CUST100364"/>
    <x v="2"/>
    <s v="Red Saleable"/>
    <x v="1"/>
    <s v="North"/>
    <s v="55+"/>
    <n v="4809"/>
    <n v="3837"/>
    <n v="3699"/>
    <n v="149"/>
    <n v="83"/>
    <n v="5"/>
    <n v="294.19"/>
    <x v="90"/>
    <n v="0.96403440187646594"/>
    <n v="4.0281157069478241E-2"/>
    <n v="0.55704697986577179"/>
    <n v="6.0240963855421686E-2"/>
    <n v="1.3517166801838335E-3"/>
    <n v="3.544457831325301"/>
    <n v="1.9744295302013424"/>
    <n v="24.702471192086747"/>
  </r>
  <r>
    <x v="16"/>
    <s v="CMP202601040"/>
    <s v="CUST100248"/>
    <x v="2"/>
    <s v="Red Saleable"/>
    <x v="1"/>
    <s v="North"/>
    <s v="55+"/>
    <n v="892"/>
    <n v="849"/>
    <n v="818"/>
    <n v="40"/>
    <n v="22"/>
    <n v="1"/>
    <n v="58.45"/>
    <x v="91"/>
    <n v="0.96348645465253235"/>
    <n v="4.8899755501222497E-2"/>
    <n v="0.55000000000000004"/>
    <n v="4.5454545454545456E-2"/>
    <n v="1.2224938875305623E-3"/>
    <n v="2.6568181818181817"/>
    <n v="1.4612500000000002"/>
    <n v="25.222925577416593"/>
  </r>
  <r>
    <x v="16"/>
    <s v="CMP202601042"/>
    <s v="CUST100351"/>
    <x v="0"/>
    <s v="Green"/>
    <x v="0"/>
    <s v="North"/>
    <s v="18-24"/>
    <n v="1318"/>
    <n v="1104"/>
    <n v="992"/>
    <n v="90"/>
    <n v="44"/>
    <n v="3"/>
    <n v="144.68"/>
    <x v="92"/>
    <n v="0.89855072463768115"/>
    <n v="9.0725806451612906E-2"/>
    <n v="0.48888888888888887"/>
    <n v="6.8181818181818177E-2"/>
    <n v="3.0241935483870967E-3"/>
    <n v="3.2881818181818185"/>
    <n v="1.6075555555555556"/>
    <n v="26.382430190765827"/>
  </r>
  <r>
    <x v="16"/>
    <s v="CMP202601044"/>
    <s v="CUST100259"/>
    <x v="3"/>
    <s v="Red Non-Saleable"/>
    <x v="0"/>
    <s v="West"/>
    <s v="35-44"/>
    <n v="1403"/>
    <n v="1283"/>
    <n v="1170"/>
    <n v="27"/>
    <n v="13"/>
    <n v="0"/>
    <n v="166.73"/>
    <x v="0"/>
    <n v="0.91192517537022599"/>
    <n v="2.3076923076923078E-2"/>
    <n v="0.48148148148148145"/>
    <n v="0"/>
    <n v="0"/>
    <n v="12.825384615384614"/>
    <n v="6.1751851851851844"/>
    <n v="-1"/>
  </r>
  <r>
    <x v="16"/>
    <s v="CMP202601045"/>
    <s v="CUST100286"/>
    <x v="2"/>
    <s v="Green"/>
    <x v="1"/>
    <s v="South"/>
    <s v="35-44"/>
    <n v="3065"/>
    <n v="2734"/>
    <n v="2537"/>
    <n v="283"/>
    <n v="149"/>
    <n v="9"/>
    <n v="217.68"/>
    <x v="93"/>
    <n v="0.92794440380395027"/>
    <n v="0.11154907370910525"/>
    <n v="0.52650176678445226"/>
    <n v="6.0402684563758392E-2"/>
    <n v="3.5474970437524636E-3"/>
    <n v="1.4609395973154362"/>
    <n v="0.76918727915194351"/>
    <n v="60.733324145534731"/>
  </r>
  <r>
    <x v="16"/>
    <s v="CMP202601045"/>
    <s v="CUST100433"/>
    <x v="3"/>
    <s v="Amber"/>
    <x v="1"/>
    <s v="East"/>
    <s v="35-44"/>
    <n v="4938"/>
    <n v="3917"/>
    <n v="3627"/>
    <n v="226"/>
    <n v="138"/>
    <n v="11"/>
    <n v="633.08000000000004"/>
    <x v="94"/>
    <n v="0.92596374776614754"/>
    <n v="6.2310449407223599E-2"/>
    <n v="0.61061946902654862"/>
    <n v="7.9710144927536225E-2"/>
    <n v="3.0328094844223876E-3"/>
    <n v="4.5875362318840587"/>
    <n v="2.8012389380530975"/>
    <n v="22.513315852656849"/>
  </r>
  <r>
    <x v="16"/>
    <s v="CMP202601049"/>
    <s v="CUST101130"/>
    <x v="1"/>
    <s v="Red Saleable"/>
    <x v="0"/>
    <s v="Central"/>
    <s v="45-54"/>
    <n v="1111"/>
    <n v="982"/>
    <n v="939"/>
    <n v="10"/>
    <n v="4"/>
    <n v="0"/>
    <n v="152.21"/>
    <x v="0"/>
    <n v="0.95621181262729127"/>
    <n v="1.0649627263045794E-2"/>
    <n v="0.4"/>
    <n v="0"/>
    <n v="0"/>
    <n v="38.052500000000002"/>
    <n v="15.221"/>
    <n v="-1"/>
  </r>
  <r>
    <x v="17"/>
    <s v="CMP202601020"/>
    <s v="CUST101116"/>
    <x v="2"/>
    <s v="Amber"/>
    <x v="0"/>
    <s v="West"/>
    <s v="18-24"/>
    <n v="4225"/>
    <n v="3416"/>
    <n v="3181"/>
    <n v="170"/>
    <n v="82"/>
    <n v="5"/>
    <n v="297.64"/>
    <x v="95"/>
    <n v="0.93120608899297419"/>
    <n v="5.3442313737818298E-2"/>
    <n v="0.4823529411764706"/>
    <n v="6.097560975609756E-2"/>
    <n v="1.5718327569946558E-3"/>
    <n v="3.6297560975609753"/>
    <n v="1.7508235294117647"/>
    <n v="16.390841284773551"/>
  </r>
  <r>
    <x v="17"/>
    <s v="CMP202601064"/>
    <s v="CUST100551"/>
    <x v="2"/>
    <s v="Amber"/>
    <x v="1"/>
    <s v="South"/>
    <s v="18-24"/>
    <n v="2294"/>
    <n v="1753"/>
    <n v="1662"/>
    <n v="105"/>
    <n v="61"/>
    <n v="4"/>
    <n v="137.83000000000001"/>
    <x v="96"/>
    <n v="0.94808899030233884"/>
    <n v="6.3176895306859202E-2"/>
    <n v="0.580952380952381"/>
    <n v="6.5573770491803282E-2"/>
    <n v="2.4067388688327317E-3"/>
    <n v="2.2595081967213115"/>
    <n v="1.3126666666666669"/>
    <n v="32.074366973808317"/>
  </r>
  <r>
    <x v="18"/>
    <s v="CMP202601016"/>
    <s v="CUST100142"/>
    <x v="3"/>
    <s v="Red Non-Saleable"/>
    <x v="0"/>
    <s v="South"/>
    <s v="55+"/>
    <n v="2310"/>
    <n v="1742"/>
    <n v="1596"/>
    <n v="43"/>
    <n v="18"/>
    <n v="0"/>
    <n v="284.92"/>
    <x v="0"/>
    <n v="0.91618828932261764"/>
    <n v="2.6942355889724309E-2"/>
    <n v="0.41860465116279072"/>
    <n v="0"/>
    <n v="0"/>
    <n v="15.828888888888891"/>
    <n v="6.6260465116279077"/>
    <n v="-1"/>
  </r>
  <r>
    <x v="18"/>
    <s v="CMP202601024"/>
    <s v="CUST101006"/>
    <x v="3"/>
    <s v="Green"/>
    <x v="0"/>
    <s v="West"/>
    <s v="18-24"/>
    <n v="1464"/>
    <n v="1340"/>
    <n v="1223"/>
    <n v="85"/>
    <n v="32"/>
    <n v="2"/>
    <n v="189.94"/>
    <x v="97"/>
    <n v="0.91268656716417906"/>
    <n v="6.9501226492232213E-2"/>
    <n v="0.37647058823529411"/>
    <n v="6.25E-2"/>
    <n v="1.6353229762878169E-3"/>
    <n v="5.9356249999999999"/>
    <n v="2.2345882352941175"/>
    <n v="12.758765926081921"/>
  </r>
  <r>
    <x v="18"/>
    <s v="CMP202601041"/>
    <s v="CUST100818"/>
    <x v="3"/>
    <s v="Red Saleable"/>
    <x v="1"/>
    <s v="Central"/>
    <s v="18-24"/>
    <n v="3977"/>
    <n v="3149"/>
    <n v="2925"/>
    <n v="178"/>
    <n v="95"/>
    <n v="5"/>
    <n v="510.38"/>
    <x v="98"/>
    <n v="0.92886630676405213"/>
    <n v="6.0854700854700856E-2"/>
    <n v="0.5337078651685393"/>
    <n v="5.2631578947368418E-2"/>
    <n v="1.7094017094017094E-3"/>
    <n v="5.3724210526315792"/>
    <n v="2.8673033707865168"/>
    <n v="14.133606332536543"/>
  </r>
  <r>
    <x v="18"/>
    <s v="CMP202601042"/>
    <s v="CUST100732"/>
    <x v="3"/>
    <s v="Red Non-Saleable"/>
    <x v="0"/>
    <s v="East"/>
    <s v="45-54"/>
    <n v="2707"/>
    <n v="2410"/>
    <n v="2215"/>
    <n v="7"/>
    <n v="4"/>
    <n v="0"/>
    <n v="336.38"/>
    <x v="0"/>
    <n v="0.91908713692946054"/>
    <n v="3.1602708803611739E-3"/>
    <n v="0.5714285714285714"/>
    <n v="0"/>
    <n v="0"/>
    <n v="84.094999999999999"/>
    <n v="48.054285714285712"/>
    <n v="-1"/>
  </r>
  <r>
    <x v="18"/>
    <s v="CMP202601048"/>
    <s v="CUST101040"/>
    <x v="3"/>
    <s v="Red Non-Saleable"/>
    <x v="1"/>
    <s v="South"/>
    <s v="45-54"/>
    <n v="1972"/>
    <n v="1533"/>
    <n v="1415"/>
    <n v="30"/>
    <n v="19"/>
    <n v="0"/>
    <n v="275.27999999999997"/>
    <x v="0"/>
    <n v="0.92302674494455317"/>
    <n v="2.1201413427561839E-2"/>
    <n v="0.6333333333333333"/>
    <n v="0"/>
    <n v="0"/>
    <n v="14.488421052631578"/>
    <n v="9.1759999999999984"/>
    <n v="-1"/>
  </r>
  <r>
    <x v="18"/>
    <s v="CMP202601053"/>
    <s v="CUST100723"/>
    <x v="0"/>
    <s v="Red Saleable"/>
    <x v="0"/>
    <s v="South"/>
    <s v="55+"/>
    <n v="4160"/>
    <n v="3922"/>
    <n v="3639"/>
    <n v="195"/>
    <n v="96"/>
    <n v="1"/>
    <n v="498.44"/>
    <x v="99"/>
    <n v="0.92784293727689959"/>
    <n v="5.3586150041220117E-2"/>
    <n v="0.49230769230769234"/>
    <n v="1.0416666666666666E-2"/>
    <n v="2.7480076944215443E-4"/>
    <n v="5.1920833333333336"/>
    <n v="2.5561025641025643"/>
    <n v="1.0623746087793917"/>
  </r>
  <r>
    <x v="19"/>
    <s v="CMP202601008"/>
    <s v="CUST100429"/>
    <x v="3"/>
    <s v="Red Saleable"/>
    <x v="0"/>
    <s v="Central"/>
    <s v="55+"/>
    <n v="2025"/>
    <n v="1576"/>
    <n v="1452"/>
    <n v="47"/>
    <n v="21"/>
    <n v="1"/>
    <n v="274.24"/>
    <x v="100"/>
    <n v="0.92131979695431476"/>
    <n v="3.2369146005509643E-2"/>
    <n v="0.44680851063829785"/>
    <n v="4.7619047619047616E-2"/>
    <n v="6.8870523415977963E-4"/>
    <n v="13.05904761904762"/>
    <n v="5.8348936170212768"/>
    <n v="3.6307613768961495"/>
  </r>
  <r>
    <x v="19"/>
    <s v="CMP202601034"/>
    <s v="CUST101432"/>
    <x v="1"/>
    <s v="Red Non-Saleable"/>
    <x v="0"/>
    <s v="East"/>
    <s v="55+"/>
    <n v="3892"/>
    <n v="3784"/>
    <n v="3699"/>
    <n v="17"/>
    <n v="8"/>
    <n v="0"/>
    <n v="626.92999999999995"/>
    <x v="0"/>
    <n v="0.97753699788583515"/>
    <n v="4.5958367126250335E-3"/>
    <n v="0.47058823529411764"/>
    <n v="0"/>
    <n v="0"/>
    <n v="78.366249999999994"/>
    <n v="36.878235294117644"/>
    <n v="-1"/>
  </r>
  <r>
    <x v="19"/>
    <s v="CMP202601066"/>
    <s v="CUST100205"/>
    <x v="2"/>
    <s v="Green"/>
    <x v="0"/>
    <s v="Central"/>
    <s v="25-34"/>
    <n v="2142"/>
    <n v="1880"/>
    <n v="1822"/>
    <n v="115"/>
    <n v="56"/>
    <n v="5"/>
    <n v="140.97"/>
    <x v="101"/>
    <n v="0.9691489361702128"/>
    <n v="6.3117453347969268E-2"/>
    <n v="0.48695652173913045"/>
    <n v="8.9285714285714288E-2"/>
    <n v="2.7442371020856204E-3"/>
    <n v="2.5173214285714285"/>
    <n v="1.2258260869565216"/>
    <n v="24.885223806483651"/>
  </r>
  <r>
    <x v="20"/>
    <s v="CMP202601004"/>
    <s v="CUST100524"/>
    <x v="0"/>
    <s v="Amber"/>
    <x v="0"/>
    <s v="North"/>
    <s v="35-44"/>
    <n v="4330"/>
    <n v="3999"/>
    <n v="3610"/>
    <n v="188"/>
    <n v="88"/>
    <n v="4"/>
    <n v="425.87"/>
    <x v="102"/>
    <n v="0.90272568142035514"/>
    <n v="5.2077562326869803E-2"/>
    <n v="0.46808510638297873"/>
    <n v="4.5454545454545456E-2"/>
    <n v="1.10803324099723E-3"/>
    <n v="4.8394318181818186"/>
    <n v="2.2652659574468084"/>
    <n v="10.511188860450373"/>
  </r>
  <r>
    <x v="20"/>
    <s v="CMP202601021"/>
    <s v="CUST100040"/>
    <x v="2"/>
    <s v="Green"/>
    <x v="0"/>
    <s v="South"/>
    <s v="55+"/>
    <n v="923"/>
    <n v="718"/>
    <n v="676"/>
    <n v="33"/>
    <n v="15"/>
    <n v="1"/>
    <n v="64.900000000000006"/>
    <x v="103"/>
    <n v="0.9415041782729805"/>
    <n v="4.8816568047337278E-2"/>
    <n v="0.45454545454545453"/>
    <n v="6.6666666666666666E-2"/>
    <n v="1.4792899408284023E-3"/>
    <n v="4.3266666666666671"/>
    <n v="1.9666666666666668"/>
    <n v="18.885978428351304"/>
  </r>
  <r>
    <x v="20"/>
    <s v="CMP202601028"/>
    <s v="CUST101342"/>
    <x v="1"/>
    <s v="Green"/>
    <x v="0"/>
    <s v="North"/>
    <s v="55+"/>
    <n v="3703"/>
    <n v="3329"/>
    <n v="3283"/>
    <n v="119"/>
    <n v="39"/>
    <n v="3"/>
    <n v="607.79"/>
    <x v="104"/>
    <n v="0.98618203664764192"/>
    <n v="3.6247334754797439E-2"/>
    <n v="0.32773109243697479"/>
    <n v="7.6923076923076927E-2"/>
    <n v="9.1379835516296074E-4"/>
    <n v="15.584358974358974"/>
    <n v="5.1074789915966381"/>
    <n v="5.6489906053077545"/>
  </r>
  <r>
    <x v="20"/>
    <s v="CMP202601039"/>
    <s v="CUST100305"/>
    <x v="0"/>
    <s v="Red Saleable"/>
    <x v="0"/>
    <s v="North"/>
    <s v="25-34"/>
    <n v="2440"/>
    <n v="1903"/>
    <n v="1711"/>
    <n v="46"/>
    <n v="26"/>
    <n v="1"/>
    <n v="257.94"/>
    <x v="105"/>
    <n v="0.89910667367314767"/>
    <n v="2.6884862653419054E-2"/>
    <n v="0.56521739130434778"/>
    <n v="3.8461538461538464E-2"/>
    <n v="5.8445353594389242E-4"/>
    <n v="9.9207692307692312"/>
    <n v="5.6073913043478258"/>
    <n v="4.4128867178413582"/>
  </r>
  <r>
    <x v="20"/>
    <s v="CMP202601047"/>
    <s v="CUST100621"/>
    <x v="0"/>
    <s v="Green"/>
    <x v="1"/>
    <s v="East"/>
    <s v="55+"/>
    <n v="558"/>
    <n v="478"/>
    <n v="425"/>
    <n v="45"/>
    <n v="29"/>
    <n v="3"/>
    <n v="61.47"/>
    <x v="106"/>
    <n v="0.88912133891213385"/>
    <n v="0.10588235294117647"/>
    <n v="0.64444444444444449"/>
    <n v="0.10344827586206896"/>
    <n v="7.058823529411765E-3"/>
    <n v="2.1196551724137929"/>
    <n v="1.3659999999999999"/>
    <n v="49.109484301285185"/>
  </r>
  <r>
    <x v="20"/>
    <s v="CMP202601048"/>
    <s v="CUST101052"/>
    <x v="2"/>
    <s v="Green"/>
    <x v="0"/>
    <s v="North"/>
    <s v="35-44"/>
    <n v="4757"/>
    <n v="3484"/>
    <n v="3339"/>
    <n v="284"/>
    <n v="147"/>
    <n v="9"/>
    <n v="276.10000000000002"/>
    <x v="107"/>
    <n v="0.95838117106773824"/>
    <n v="8.5055405810122789E-2"/>
    <n v="0.51760563380281688"/>
    <n v="6.1224489795918366E-2"/>
    <n v="2.6954177897574125E-3"/>
    <n v="1.878231292517007"/>
    <n v="0.97218309859154939"/>
    <n v="24.801521187975368"/>
  </r>
  <r>
    <x v="20"/>
    <s v="CMP202601050"/>
    <s v="CUST100942"/>
    <x v="3"/>
    <s v="Amber"/>
    <x v="1"/>
    <s v="East"/>
    <s v="55+"/>
    <n v="4962"/>
    <n v="4231"/>
    <n v="3966"/>
    <n v="305"/>
    <n v="181"/>
    <n v="12"/>
    <n v="716.87"/>
    <x v="108"/>
    <n v="0.93736705270621601"/>
    <n v="7.6903681290973275E-2"/>
    <n v="0.59344262295081962"/>
    <n v="6.6298342541436461E-2"/>
    <n v="3.0257186081694403E-3"/>
    <n v="3.9606077348066298"/>
    <n v="2.3503934426229507"/>
    <n v="13.797620210079929"/>
  </r>
  <r>
    <x v="20"/>
    <s v="CMP202601053"/>
    <s v="CUST101002"/>
    <x v="0"/>
    <s v="Red Saleable"/>
    <x v="1"/>
    <s v="West"/>
    <s v="45-54"/>
    <n v="833"/>
    <n v="717"/>
    <n v="657"/>
    <n v="38"/>
    <n v="24"/>
    <n v="1"/>
    <n v="96.51"/>
    <x v="109"/>
    <n v="0.91631799163179917"/>
    <n v="5.7838660578386603E-2"/>
    <n v="0.63157894736842102"/>
    <n v="4.1666666666666664E-2"/>
    <n v="1.5220700152207001E-3"/>
    <n v="4.0212500000000002"/>
    <n v="2.5397368421052633"/>
    <n v="10.138224018236452"/>
  </r>
  <r>
    <x v="20"/>
    <s v="CMP202601063"/>
    <s v="CUST101024"/>
    <x v="3"/>
    <s v="Red Saleable"/>
    <x v="1"/>
    <s v="East"/>
    <s v="45-54"/>
    <n v="3244"/>
    <n v="2395"/>
    <n v="2224"/>
    <n v="120"/>
    <n v="69"/>
    <n v="4"/>
    <n v="384.93"/>
    <x v="110"/>
    <n v="0.92860125260960336"/>
    <n v="5.3956834532374098E-2"/>
    <n v="0.57499999999999996"/>
    <n v="5.7971014492753624E-2"/>
    <n v="1.7985611510791368E-3"/>
    <n v="5.5786956521739128"/>
    <n v="3.2077499999999999"/>
    <n v="15.125763125763125"/>
  </r>
  <r>
    <x v="21"/>
    <s v="CMP202601006"/>
    <s v="CUST100870"/>
    <x v="3"/>
    <s v="Green"/>
    <x v="0"/>
    <s v="South"/>
    <s v="55+"/>
    <n v="3208"/>
    <n v="2357"/>
    <n v="2208"/>
    <n v="157"/>
    <n v="83"/>
    <n v="5"/>
    <n v="310.01"/>
    <x v="111"/>
    <n v="0.93678404751803135"/>
    <n v="7.1105072463768113E-2"/>
    <n v="0.5286624203821656"/>
    <n v="6.0240963855421686E-2"/>
    <n v="2.2644927536231885E-3"/>
    <n v="3.7350602409638554"/>
    <n v="1.9745859872611464"/>
    <n v="15.879455501435437"/>
  </r>
  <r>
    <x v="21"/>
    <s v="CMP202601015"/>
    <s v="CUST100773"/>
    <x v="3"/>
    <s v="Amber"/>
    <x v="1"/>
    <s v="East"/>
    <s v="25-34"/>
    <n v="3645"/>
    <n v="3593"/>
    <n v="3390"/>
    <n v="150"/>
    <n v="88"/>
    <n v="6"/>
    <n v="532.98"/>
    <x v="112"/>
    <n v="0.94350125243529082"/>
    <n v="4.4247787610619468E-2"/>
    <n v="0.58666666666666667"/>
    <n v="6.8181818181818177E-2"/>
    <n v="1.7699115044247787E-3"/>
    <n v="6.0565909090909091"/>
    <n v="3.5531999999999999"/>
    <n v="8.5961949791737027"/>
  </r>
  <r>
    <x v="21"/>
    <s v="CMP202601019"/>
    <s v="CUST101209"/>
    <x v="3"/>
    <s v="Red Non-Saleable"/>
    <x v="1"/>
    <s v="North"/>
    <s v="45-54"/>
    <n v="4148"/>
    <n v="4086"/>
    <n v="3657"/>
    <n v="80"/>
    <n v="48"/>
    <n v="0"/>
    <n v="721.44"/>
    <x v="0"/>
    <n v="0.89500734214390598"/>
    <n v="2.1875854525567406E-2"/>
    <n v="0.6"/>
    <n v="0"/>
    <n v="0"/>
    <n v="15.030000000000001"/>
    <n v="9.0180000000000007"/>
    <n v="-1"/>
  </r>
  <r>
    <x v="21"/>
    <s v="CMP202601044"/>
    <s v="CUST100583"/>
    <x v="2"/>
    <s v="Green"/>
    <x v="0"/>
    <s v="North"/>
    <s v="18-24"/>
    <n v="3355"/>
    <n v="2427"/>
    <n v="2260"/>
    <n v="149"/>
    <n v="66"/>
    <n v="5"/>
    <n v="196.26"/>
    <x v="113"/>
    <n v="0.93119077049855792"/>
    <n v="6.5929203539823011E-2"/>
    <n v="0.44295302013422821"/>
    <n v="7.575757575757576E-2"/>
    <n v="2.2123893805309734E-3"/>
    <n v="2.9736363636363636"/>
    <n v="1.3171812080536913"/>
    <n v="25.532813614592886"/>
  </r>
  <r>
    <x v="21"/>
    <s v="CMP202601044"/>
    <s v="CUST100851"/>
    <x v="1"/>
    <s v="Green"/>
    <x v="1"/>
    <s v="West"/>
    <s v="45-54"/>
    <n v="648"/>
    <n v="593"/>
    <n v="566"/>
    <n v="36"/>
    <n v="17"/>
    <n v="1"/>
    <n v="101.34"/>
    <x v="114"/>
    <n v="0.95446880269814505"/>
    <n v="6.3604240282685506E-2"/>
    <n v="0.47222222222222221"/>
    <n v="5.8823529411764705E-2"/>
    <n v="1.7667844522968198E-3"/>
    <n v="5.9611764705882351"/>
    <n v="2.8149999999999999"/>
    <n v="13.756956779159266"/>
  </r>
  <r>
    <x v="21"/>
    <s v="CMP202601077"/>
    <s v="CUST101318"/>
    <x v="0"/>
    <s v="Amber"/>
    <x v="0"/>
    <s v="East"/>
    <s v="45-54"/>
    <n v="1715"/>
    <n v="1246"/>
    <n v="1137"/>
    <n v="52"/>
    <n v="26"/>
    <n v="1"/>
    <n v="149.94"/>
    <x v="115"/>
    <n v="0.9125200642054575"/>
    <n v="4.5734388742304309E-2"/>
    <n v="0.5"/>
    <n v="3.8461538461538464E-2"/>
    <n v="8.7950747581354446E-4"/>
    <n v="5.766923076923077"/>
    <n v="2.8834615384615385"/>
    <n v="4.770574896625317"/>
  </r>
  <r>
    <x v="22"/>
    <s v="CMP202601018"/>
    <s v="CUST100296"/>
    <x v="3"/>
    <s v="Red Saleable"/>
    <x v="1"/>
    <s v="Central"/>
    <s v="35-44"/>
    <n v="2269"/>
    <n v="1815"/>
    <n v="1662"/>
    <n v="92"/>
    <n v="54"/>
    <n v="2"/>
    <n v="304.39999999999998"/>
    <x v="116"/>
    <n v="0.91570247933884297"/>
    <n v="5.5354993983152828E-2"/>
    <n v="0.58695652173913049"/>
    <n v="3.7037037037037035E-2"/>
    <n v="1.2033694344163659E-3"/>
    <n v="5.6370370370370368"/>
    <n v="3.3086956521739128"/>
    <n v="5.9607095926412619"/>
  </r>
  <r>
    <x v="22"/>
    <s v="CMP202601024"/>
    <s v="CUST101066"/>
    <x v="0"/>
    <s v="Red Non-Saleable"/>
    <x v="1"/>
    <s v="Central"/>
    <s v="55+"/>
    <n v="4851"/>
    <n v="4055"/>
    <n v="3580"/>
    <n v="105"/>
    <n v="67"/>
    <n v="1"/>
    <n v="497.69"/>
    <x v="117"/>
    <n v="0.88286066584463629"/>
    <n v="2.9329608938547486E-2"/>
    <n v="0.63809523809523805"/>
    <n v="1.4925373134328358E-2"/>
    <n v="2.7932960893854746E-4"/>
    <n v="7.4282089552238801"/>
    <n v="4.7399047619047616"/>
    <n v="0.46016596676646115"/>
  </r>
  <r>
    <x v="22"/>
    <s v="CMP202601027"/>
    <s v="CUST100485"/>
    <x v="2"/>
    <s v="Amber"/>
    <x v="0"/>
    <s v="West"/>
    <s v="55+"/>
    <n v="2691"/>
    <n v="1946"/>
    <n v="1842"/>
    <n v="92"/>
    <n v="48"/>
    <n v="1"/>
    <n v="185.07"/>
    <x v="118"/>
    <n v="0.94655704008221997"/>
    <n v="4.9945711183496201E-2"/>
    <n v="0.52173913043478259"/>
    <n v="2.0833333333333332E-2"/>
    <n v="5.428881650380022E-4"/>
    <n v="3.8556249999999999"/>
    <n v="2.0116304347826088"/>
    <n v="3.61528070459826"/>
  </r>
  <r>
    <x v="22"/>
    <s v="CMP202601030"/>
    <s v="CUST100171"/>
    <x v="0"/>
    <s v="Green"/>
    <x v="0"/>
    <s v="West"/>
    <s v="35-44"/>
    <n v="4055"/>
    <n v="3046"/>
    <n v="2685"/>
    <n v="213"/>
    <n v="107"/>
    <n v="6"/>
    <n v="412.34"/>
    <x v="119"/>
    <n v="0.88148391332895604"/>
    <n v="7.9329608938547486E-2"/>
    <n v="0.50234741784037562"/>
    <n v="5.6074766355140186E-2"/>
    <n v="2.2346368715083797E-3"/>
    <n v="3.8536448598130839"/>
    <n v="1.9358685446009389"/>
    <n v="18.812048309647381"/>
  </r>
  <r>
    <x v="22"/>
    <s v="CMP202601051"/>
    <s v="CUST100140"/>
    <x v="3"/>
    <s v="Amber"/>
    <x v="1"/>
    <s v="West"/>
    <s v="45-54"/>
    <n v="4057"/>
    <n v="3028"/>
    <n v="2874"/>
    <n v="197"/>
    <n v="109"/>
    <n v="6"/>
    <n v="488.24"/>
    <x v="120"/>
    <n v="0.94914134742404233"/>
    <n v="6.8545581071677103E-2"/>
    <n v="0.5532994923857868"/>
    <n v="5.5045871559633031E-2"/>
    <n v="2.0876826722338203E-3"/>
    <n v="4.4792660550458718"/>
    <n v="2.4783756345177665"/>
    <n v="9.7062919875471074"/>
  </r>
  <r>
    <x v="22"/>
    <s v="CMP202601051"/>
    <s v="CUST101121"/>
    <x v="2"/>
    <s v="Red Non-Saleable"/>
    <x v="0"/>
    <s v="South"/>
    <s v="55+"/>
    <n v="2021"/>
    <n v="1910"/>
    <n v="1800"/>
    <n v="8"/>
    <n v="4"/>
    <n v="0"/>
    <n v="160.06"/>
    <x v="0"/>
    <n v="0.94240837696335078"/>
    <n v="4.4444444444444444E-3"/>
    <n v="0.5"/>
    <n v="0"/>
    <n v="0"/>
    <n v="40.015000000000001"/>
    <n v="20.0075"/>
    <n v="-1"/>
  </r>
  <r>
    <x v="22"/>
    <s v="CMP202601057"/>
    <s v="CUST100705"/>
    <x v="2"/>
    <s v="Green"/>
    <x v="0"/>
    <s v="South"/>
    <s v="45-54"/>
    <n v="3175"/>
    <n v="2925"/>
    <n v="2763"/>
    <n v="205"/>
    <n v="92"/>
    <n v="6"/>
    <n v="265.07"/>
    <x v="121"/>
    <n v="0.94461538461538463"/>
    <n v="7.4194715888526969E-2"/>
    <n v="0.44878048780487806"/>
    <n v="6.5217391304347824E-2"/>
    <n v="2.1715526601520088E-3"/>
    <n v="2.881195652173913"/>
    <n v="1.2930243902439025"/>
    <n v="18.868336665786398"/>
  </r>
  <r>
    <x v="22"/>
    <s v="CMP202601058"/>
    <s v="CUST100666"/>
    <x v="3"/>
    <s v="Green"/>
    <x v="0"/>
    <s v="North"/>
    <s v="45-54"/>
    <n v="3211"/>
    <n v="2338"/>
    <n v="2115"/>
    <n v="146"/>
    <n v="70"/>
    <n v="6"/>
    <n v="373.47"/>
    <x v="122"/>
    <n v="0.90461933276304529"/>
    <n v="6.9030732860520097E-2"/>
    <n v="0.47945205479452052"/>
    <n v="8.5714285714285715E-2"/>
    <n v="2.8368794326241137E-3"/>
    <n v="5.3352857142857149"/>
    <n v="2.5580136986301372"/>
    <n v="18.352424558866844"/>
  </r>
  <r>
    <x v="22"/>
    <s v="CMP202601061"/>
    <s v="CUST100734"/>
    <x v="0"/>
    <s v="Red Saleable"/>
    <x v="1"/>
    <s v="East"/>
    <s v="35-44"/>
    <n v="2871"/>
    <n v="2690"/>
    <n v="2394"/>
    <n v="125"/>
    <n v="90"/>
    <n v="6"/>
    <n v="309.52"/>
    <x v="123"/>
    <n v="0.88996282527881043"/>
    <n v="5.2213868003341685E-2"/>
    <n v="0.72"/>
    <n v="6.6666666666666666E-2"/>
    <n v="2.5062656641604009E-3"/>
    <n v="3.439111111111111"/>
    <n v="2.4761599999999997"/>
    <n v="17.967885758593955"/>
  </r>
  <r>
    <x v="22"/>
    <s v="CMP202601071"/>
    <s v="CUST100468"/>
    <x v="3"/>
    <s v="Amber"/>
    <x v="0"/>
    <s v="East"/>
    <s v="25-34"/>
    <n v="957"/>
    <n v="844"/>
    <n v="797"/>
    <n v="45"/>
    <n v="19"/>
    <n v="1"/>
    <n v="124.4"/>
    <x v="124"/>
    <n v="0.94431279620853081"/>
    <n v="5.6461731493099125E-2"/>
    <n v="0.42222222222222222"/>
    <n v="5.2631578947368418E-2"/>
    <n v="1.2547051442910915E-3"/>
    <n v="6.5473684210526315"/>
    <n v="2.7644444444444445"/>
    <n v="6.4988745980707394"/>
  </r>
  <r>
    <x v="22"/>
    <s v="CMP202601073"/>
    <s v="CUST101388"/>
    <x v="0"/>
    <s v="Red Saleable"/>
    <x v="0"/>
    <s v="South"/>
    <s v="55+"/>
    <n v="2991"/>
    <n v="2170"/>
    <n v="2004"/>
    <n v="80"/>
    <n v="38"/>
    <n v="1"/>
    <n v="251.51"/>
    <x v="125"/>
    <n v="0.92350230414746548"/>
    <n v="3.9920159680638723E-2"/>
    <n v="0.47499999999999998"/>
    <n v="2.6315789473684209E-2"/>
    <n v="4.9900199600798399E-4"/>
    <n v="6.6186842105263155"/>
    <n v="3.143875"/>
    <n v="2.7165520257643831"/>
  </r>
  <r>
    <x v="22"/>
    <s v="CMP202601079"/>
    <s v="CUST100648"/>
    <x v="0"/>
    <s v="Red Non-Saleable"/>
    <x v="0"/>
    <s v="Central"/>
    <s v="25-34"/>
    <n v="3211"/>
    <n v="3137"/>
    <n v="2848"/>
    <n v="59"/>
    <n v="33"/>
    <n v="0"/>
    <n v="367.3"/>
    <x v="0"/>
    <n v="0.90787376474338544"/>
    <n v="2.0716292134831459E-2"/>
    <n v="0.55932203389830504"/>
    <n v="0"/>
    <n v="0"/>
    <n v="11.130303030303031"/>
    <n v="6.2254237288135599"/>
    <n v="-1"/>
  </r>
  <r>
    <x v="23"/>
    <s v="CMP202601038"/>
    <s v="CUST100698"/>
    <x v="0"/>
    <s v="Red Saleable"/>
    <x v="0"/>
    <s v="East"/>
    <s v="18-24"/>
    <n v="4999"/>
    <n v="4158"/>
    <n v="3710"/>
    <n v="195"/>
    <n v="101"/>
    <n v="5"/>
    <n v="431.45"/>
    <x v="126"/>
    <n v="0.8922558922558923"/>
    <n v="5.2560646900269542E-2"/>
    <n v="0.517948717948718"/>
    <n v="4.9504950495049507E-2"/>
    <n v="1.3477088948787063E-3"/>
    <n v="4.2717821782178218"/>
    <n v="2.2125641025641025"/>
    <n v="8.171468304554411"/>
  </r>
  <r>
    <x v="23"/>
    <s v="CMP202601042"/>
    <s v="CUST101429"/>
    <x v="0"/>
    <s v="Amber"/>
    <x v="0"/>
    <s v="East"/>
    <s v="18-24"/>
    <n v="2017"/>
    <n v="1762"/>
    <n v="1622"/>
    <n v="107"/>
    <n v="55"/>
    <n v="1"/>
    <n v="241.9"/>
    <x v="127"/>
    <n v="0.92054483541430188"/>
    <n v="6.5967940813810105E-2"/>
    <n v="0.51401869158878499"/>
    <n v="1.8181818181818181E-2"/>
    <n v="6.1652281134401974E-4"/>
    <n v="4.3981818181818184"/>
    <n v="2.2607476635514021"/>
    <n v="1.9126085159156674"/>
  </r>
  <r>
    <x v="23"/>
    <s v="CMP202601069"/>
    <s v="CUST100404"/>
    <x v="1"/>
    <s v="Amber"/>
    <x v="0"/>
    <s v="East"/>
    <s v="35-44"/>
    <n v="1423"/>
    <n v="1071"/>
    <n v="1047"/>
    <n v="36"/>
    <n v="13"/>
    <n v="1"/>
    <n v="176.8"/>
    <x v="128"/>
    <n v="0.97759103641456579"/>
    <n v="3.4383954154727794E-2"/>
    <n v="0.3611111111111111"/>
    <n v="7.6923076923076927E-2"/>
    <n v="9.5510983763132757E-4"/>
    <n v="13.600000000000001"/>
    <n v="4.9111111111111114"/>
    <n v="4.8237556561085979"/>
  </r>
  <r>
    <x v="23"/>
    <s v="CMP202601071"/>
    <s v="CUST100569"/>
    <x v="3"/>
    <s v="Red Saleable"/>
    <x v="1"/>
    <s v="Central"/>
    <s v="18-24"/>
    <n v="1885"/>
    <n v="1850"/>
    <n v="1709"/>
    <n v="97"/>
    <n v="54"/>
    <n v="1"/>
    <n v="249.4"/>
    <x v="129"/>
    <n v="0.92378378378378379"/>
    <n v="5.6758338209479231E-2"/>
    <n v="0.55670103092783507"/>
    <n v="1.8518518518518517E-2"/>
    <n v="5.8513750731421885E-4"/>
    <n v="4.6185185185185187"/>
    <n v="2.5711340206185569"/>
    <n v="1.8919005613472335"/>
  </r>
  <r>
    <x v="23"/>
    <s v="CMP202601074"/>
    <s v="CUST100946"/>
    <x v="0"/>
    <s v="Green"/>
    <x v="0"/>
    <s v="Central"/>
    <s v="35-44"/>
    <n v="693"/>
    <n v="505"/>
    <n v="451"/>
    <n v="40"/>
    <n v="18"/>
    <n v="2"/>
    <n v="65.8"/>
    <x v="130"/>
    <n v="0.89306930693069309"/>
    <n v="8.8691796008869186E-2"/>
    <n v="0.45"/>
    <n v="0.1111111111111111"/>
    <n v="4.434589800443459E-3"/>
    <n v="3.6555555555555554"/>
    <n v="1.645"/>
    <n v="40.987689969604858"/>
  </r>
  <r>
    <x v="23"/>
    <s v="CMP202601078"/>
    <s v="CUST100677"/>
    <x v="0"/>
    <s v="Green"/>
    <x v="0"/>
    <s v="South"/>
    <s v="25-34"/>
    <n v="4429"/>
    <n v="3470"/>
    <n v="3129"/>
    <n v="231"/>
    <n v="128"/>
    <n v="8"/>
    <n v="474.6"/>
    <x v="131"/>
    <n v="0.90172910662824213"/>
    <n v="7.3825503355704702E-2"/>
    <n v="0.55411255411255411"/>
    <n v="6.25E-2"/>
    <n v="2.556727388942154E-3"/>
    <n v="3.7078125000000002"/>
    <n v="2.0545454545454547"/>
    <n v="17.053265908133163"/>
  </r>
  <r>
    <x v="24"/>
    <s v="CMP202601020"/>
    <s v="CUST101485"/>
    <x v="0"/>
    <s v="Red Saleable"/>
    <x v="1"/>
    <s v="Central"/>
    <s v="25-34"/>
    <n v="4839"/>
    <n v="4173"/>
    <n v="3775"/>
    <n v="210"/>
    <n v="145"/>
    <n v="8"/>
    <n v="454.77"/>
    <x v="132"/>
    <n v="0.90462497004553077"/>
    <n v="5.562913907284768E-2"/>
    <n v="0.69047619047619047"/>
    <n v="5.5172413793103448E-2"/>
    <n v="2.119205298013245E-3"/>
    <n v="3.1363448275862069"/>
    <n v="2.1655714285714285"/>
    <n v="13.900719044791872"/>
  </r>
  <r>
    <x v="24"/>
    <s v="CMP202601024"/>
    <s v="CUST100563"/>
    <x v="0"/>
    <s v="Red Non-Saleable"/>
    <x v="1"/>
    <s v="West"/>
    <s v="35-44"/>
    <n v="3187"/>
    <n v="2451"/>
    <n v="2235"/>
    <n v="46"/>
    <n v="27"/>
    <n v="0"/>
    <n v="333.1"/>
    <x v="0"/>
    <n v="0.91187270501835982"/>
    <n v="2.058165548098434E-2"/>
    <n v="0.58695652173913049"/>
    <n v="0"/>
    <n v="0"/>
    <n v="12.337037037037037"/>
    <n v="7.2413043478260875"/>
    <n v="-1"/>
  </r>
  <r>
    <x v="24"/>
    <s v="CMP202601027"/>
    <s v="CUST100392"/>
    <x v="1"/>
    <s v="Amber"/>
    <x v="0"/>
    <s v="North"/>
    <s v="35-44"/>
    <n v="1101"/>
    <n v="955"/>
    <n v="926"/>
    <n v="27"/>
    <n v="10"/>
    <n v="1"/>
    <n v="198.94"/>
    <x v="133"/>
    <n v="0.96963350785340319"/>
    <n v="2.9157667386609073E-2"/>
    <n v="0.37037037037037035"/>
    <n v="0.1"/>
    <n v="1.0799136069114472E-3"/>
    <n v="19.893999999999998"/>
    <n v="7.3681481481481477"/>
    <n v="3.3498039609932646"/>
  </r>
  <r>
    <x v="24"/>
    <s v="CMP202601036"/>
    <s v="CUST100521"/>
    <x v="2"/>
    <s v="Green"/>
    <x v="1"/>
    <s v="South"/>
    <s v="45-54"/>
    <n v="4216"/>
    <n v="4085"/>
    <n v="4006"/>
    <n v="401"/>
    <n v="235"/>
    <n v="21"/>
    <n v="346.71"/>
    <x v="134"/>
    <n v="0.98066095471236225"/>
    <n v="0.100099850224663"/>
    <n v="0.58603491271820451"/>
    <n v="8.9361702127659579E-2"/>
    <n v="5.2421367948077887E-3"/>
    <n v="1.4753617021276595"/>
    <n v="0.86461346633416458"/>
    <n v="79.413861728822368"/>
  </r>
  <r>
    <x v="24"/>
    <s v="CMP202601047"/>
    <s v="CUST100196"/>
    <x v="2"/>
    <s v="Green"/>
    <x v="0"/>
    <s v="East"/>
    <s v="55+"/>
    <n v="709"/>
    <n v="628"/>
    <n v="585"/>
    <n v="41"/>
    <n v="22"/>
    <n v="2"/>
    <n v="45.65"/>
    <x v="135"/>
    <n v="0.93152866242038213"/>
    <n v="7.0085470085470086E-2"/>
    <n v="0.53658536585365857"/>
    <n v="9.0909090909090912E-2"/>
    <n v="3.4188034188034188E-3"/>
    <n v="2.0749999999999997"/>
    <n v="1.1134146341463413"/>
    <n v="61.538663745892656"/>
  </r>
  <r>
    <x v="24"/>
    <s v="CMP202601049"/>
    <s v="CUST100801"/>
    <x v="2"/>
    <s v="Green"/>
    <x v="1"/>
    <s v="North"/>
    <s v="35-44"/>
    <n v="4143"/>
    <n v="3073"/>
    <n v="2872"/>
    <n v="244"/>
    <n v="147"/>
    <n v="12"/>
    <n v="244.76"/>
    <x v="136"/>
    <n v="0.93459160429547672"/>
    <n v="8.495821727019498E-2"/>
    <n v="0.60245901639344257"/>
    <n v="8.1632653061224483E-2"/>
    <n v="4.178272980501393E-3"/>
    <n v="1.665034013605442"/>
    <n v="1.0031147540983607"/>
    <n v="41.980184670697824"/>
  </r>
  <r>
    <x v="24"/>
    <s v="CMP202601050"/>
    <s v="CUST100653"/>
    <x v="1"/>
    <s v="Red Saleable"/>
    <x v="0"/>
    <s v="Central"/>
    <s v="55+"/>
    <n v="4873"/>
    <n v="3968"/>
    <n v="3928"/>
    <n v="145"/>
    <n v="55"/>
    <n v="1"/>
    <n v="674.17"/>
    <x v="137"/>
    <n v="0.98991935483870963"/>
    <n v="3.6914460285132386E-2"/>
    <n v="0.37931034482758619"/>
    <n v="1.8181818181818181E-2"/>
    <n v="2.5458248472505089E-4"/>
    <n v="12.257636363636363"/>
    <n v="4.6494482758620688"/>
    <n v="0.96333269056766091"/>
  </r>
  <r>
    <x v="25"/>
    <s v="CMP202601005"/>
    <s v="CUST101174"/>
    <x v="1"/>
    <s v="Green"/>
    <x v="0"/>
    <s v="Central"/>
    <s v="25-34"/>
    <n v="4846"/>
    <n v="4023"/>
    <n v="3882"/>
    <n v="194"/>
    <n v="68"/>
    <n v="4"/>
    <n v="654.54"/>
    <x v="138"/>
    <n v="0.96495152870991796"/>
    <n v="4.9974240082431738E-2"/>
    <n v="0.35051546391752575"/>
    <n v="5.8823529411764705E-2"/>
    <n v="1.0303967027305513E-3"/>
    <n v="9.6255882352941171"/>
    <n v="3.3739175257731957"/>
    <n v="7.2310477587313233"/>
  </r>
  <r>
    <x v="25"/>
    <s v="CMP202601013"/>
    <s v="CUST100081"/>
    <x v="2"/>
    <s v="Amber"/>
    <x v="1"/>
    <s v="South"/>
    <s v="55+"/>
    <n v="2604"/>
    <n v="2092"/>
    <n v="1981"/>
    <n v="145"/>
    <n v="80"/>
    <n v="5"/>
    <n v="193.1"/>
    <x v="139"/>
    <n v="0.94694072657743789"/>
    <n v="7.3195355880868243E-2"/>
    <n v="0.55172413793103448"/>
    <n v="6.25E-2"/>
    <n v="2.5239777889954568E-3"/>
    <n v="2.4137499999999998"/>
    <n v="1.3317241379310345"/>
    <n v="38.72646297255308"/>
  </r>
  <r>
    <x v="25"/>
    <s v="CMP202601023"/>
    <s v="CUST100068"/>
    <x v="2"/>
    <s v="Red Saleable"/>
    <x v="1"/>
    <s v="North"/>
    <s v="55+"/>
    <n v="3557"/>
    <n v="3473"/>
    <n v="3288"/>
    <n v="151"/>
    <n v="95"/>
    <n v="4"/>
    <n v="318.29000000000002"/>
    <x v="140"/>
    <n v="0.94673193204722139"/>
    <n v="4.5924574209245742E-2"/>
    <n v="0.62913907284768211"/>
    <n v="4.2105263157894736E-2"/>
    <n v="1.2165450121654502E-3"/>
    <n v="3.350421052631579"/>
    <n v="2.1078807947019871"/>
    <n v="11.286939583398787"/>
  </r>
  <r>
    <x v="25"/>
    <s v="CMP202601029"/>
    <s v="CUST100438"/>
    <x v="2"/>
    <s v="Green"/>
    <x v="0"/>
    <s v="West"/>
    <s v="25-34"/>
    <n v="2771"/>
    <n v="2141"/>
    <n v="2011"/>
    <n v="108"/>
    <n v="49"/>
    <n v="3"/>
    <n v="175.73"/>
    <x v="141"/>
    <n v="0.93928070994862212"/>
    <n v="5.370462456489309E-2"/>
    <n v="0.45370370370370372"/>
    <n v="6.1224489795918366E-2"/>
    <n v="1.4917951268025858E-3"/>
    <n v="3.5863265306122445"/>
    <n v="1.6271296296296296"/>
    <n v="13.6375120924145"/>
  </r>
  <r>
    <x v="25"/>
    <s v="CMP202601030"/>
    <s v="CUST100741"/>
    <x v="1"/>
    <s v="Red Saleable"/>
    <x v="1"/>
    <s v="East"/>
    <s v="45-54"/>
    <n v="2171"/>
    <n v="2034"/>
    <n v="2006"/>
    <n v="79"/>
    <n v="40"/>
    <n v="2"/>
    <n v="358.41"/>
    <x v="142"/>
    <n v="0.98623402163225171"/>
    <n v="3.9381854436689928E-2"/>
    <n v="0.50632911392405067"/>
    <n v="0.05"/>
    <n v="9.9700897308075765E-4"/>
    <n v="8.9602500000000003"/>
    <n v="4.5368354430379751"/>
    <n v="6.3550124159482158"/>
  </r>
  <r>
    <x v="25"/>
    <s v="CMP202601031"/>
    <s v="CUST100342"/>
    <x v="0"/>
    <s v="Red Saleable"/>
    <x v="0"/>
    <s v="South"/>
    <s v="55+"/>
    <n v="2676"/>
    <n v="1957"/>
    <n v="1845"/>
    <n v="52"/>
    <n v="21"/>
    <n v="1"/>
    <n v="225.55"/>
    <x v="143"/>
    <n v="0.94276954522227896"/>
    <n v="2.8184281842818428E-2"/>
    <n v="0.40384615384615385"/>
    <n v="4.7619047619047616E-2"/>
    <n v="5.4200542005420054E-4"/>
    <n v="10.740476190476191"/>
    <n v="4.3375000000000004"/>
    <n v="2.2600310352471733"/>
  </r>
  <r>
    <x v="25"/>
    <s v="CMP202601046"/>
    <s v="CUST101333"/>
    <x v="1"/>
    <s v="Red Non-Saleable"/>
    <x v="1"/>
    <s v="North"/>
    <s v="25-34"/>
    <n v="4437"/>
    <n v="4410"/>
    <n v="4217"/>
    <n v="111"/>
    <n v="45"/>
    <n v="1"/>
    <n v="720.03"/>
    <x v="144"/>
    <n v="0.95623582766439907"/>
    <n v="2.6322029879060942E-2"/>
    <n v="0.40540540540540543"/>
    <n v="2.2222222222222223E-2"/>
    <n v="2.3713540431586437E-4"/>
    <n v="16.000666666666667"/>
    <n v="6.4867567567567566"/>
    <n v="0.36702637390108744"/>
  </r>
  <r>
    <x v="25"/>
    <s v="CMP202601057"/>
    <s v="CUST101194"/>
    <x v="3"/>
    <s v="Amber"/>
    <x v="0"/>
    <s v="South"/>
    <s v="55+"/>
    <n v="3547"/>
    <n v="3409"/>
    <n v="3161"/>
    <n v="127"/>
    <n v="51"/>
    <n v="2"/>
    <n v="585.39"/>
    <x v="145"/>
    <n v="0.9272513933704899"/>
    <n v="4.017715912685859E-2"/>
    <n v="0.40157480314960631"/>
    <n v="3.9215686274509803E-2"/>
    <n v="6.3271116735210374E-4"/>
    <n v="11.478235294117647"/>
    <n v="4.6093700787401577"/>
    <n v="3.2608688224944058"/>
  </r>
  <r>
    <x v="25"/>
    <s v="CMP202601058"/>
    <s v="CUST100690"/>
    <x v="0"/>
    <s v="Green"/>
    <x v="0"/>
    <s v="South"/>
    <s v="25-34"/>
    <n v="3548"/>
    <n v="3539"/>
    <n v="3178"/>
    <n v="260"/>
    <n v="133"/>
    <n v="9"/>
    <n v="369.8"/>
    <x v="146"/>
    <n v="0.89799378355467652"/>
    <n v="8.1812460667086223E-2"/>
    <n v="0.5115384615384615"/>
    <n v="6.7669172932330823E-2"/>
    <n v="2.8319697923222154E-3"/>
    <n v="2.780451127819549"/>
    <n v="1.4223076923076923"/>
    <n v="31.056868577609517"/>
  </r>
  <r>
    <x v="25"/>
    <s v="CMP202601068"/>
    <s v="CUST100333"/>
    <x v="2"/>
    <s v="Amber"/>
    <x v="0"/>
    <s v="Central"/>
    <s v="25-34"/>
    <n v="2906"/>
    <n v="2591"/>
    <n v="2412"/>
    <n v="137"/>
    <n v="62"/>
    <n v="3"/>
    <n v="221.04"/>
    <x v="147"/>
    <n v="0.93091470474720184"/>
    <n v="5.6799336650082917E-2"/>
    <n v="0.45255474452554745"/>
    <n v="4.8387096774193547E-2"/>
    <n v="1.2437810945273632E-3"/>
    <n v="3.5651612903225804"/>
    <n v="1.6134306569343064"/>
    <n v="15.212495475931959"/>
  </r>
  <r>
    <x v="26"/>
    <s v="CMP202601001"/>
    <s v="CUST100035"/>
    <x v="0"/>
    <s v="Green"/>
    <x v="0"/>
    <s v="Central"/>
    <s v="45-54"/>
    <n v="2400"/>
    <n v="2087"/>
    <n v="1909"/>
    <n v="151"/>
    <n v="88"/>
    <n v="7"/>
    <n v="279.24"/>
    <x v="148"/>
    <n v="0.91471011020603732"/>
    <n v="7.9099004714510215E-2"/>
    <n v="0.58278145695364236"/>
    <n v="7.9545454545454544E-2"/>
    <n v="3.6668412781561029E-3"/>
    <n v="3.1731818181818183"/>
    <n v="1.8492715231788079"/>
    <n v="25.736427445924654"/>
  </r>
  <r>
    <x v="26"/>
    <s v="CMP202601003"/>
    <s v="CUST100314"/>
    <x v="1"/>
    <s v="Red Saleable"/>
    <x v="0"/>
    <s v="Central"/>
    <s v="18-24"/>
    <n v="1383"/>
    <n v="1374"/>
    <n v="1317"/>
    <n v="34"/>
    <n v="11"/>
    <n v="0"/>
    <n v="224.72"/>
    <x v="0"/>
    <n v="0.95851528384279472"/>
    <n v="2.5816249050873197E-2"/>
    <n v="0.3235294117647059"/>
    <n v="0"/>
    <n v="0"/>
    <n v="20.42909090909091"/>
    <n v="6.6094117647058823"/>
    <n v="-1"/>
  </r>
  <r>
    <x v="26"/>
    <s v="CMP202601033"/>
    <s v="CUST101324"/>
    <x v="2"/>
    <s v="Green"/>
    <x v="0"/>
    <s v="South"/>
    <s v="35-44"/>
    <n v="3475"/>
    <n v="2847"/>
    <n v="2681"/>
    <n v="208"/>
    <n v="96"/>
    <n v="6"/>
    <n v="228.45"/>
    <x v="149"/>
    <n v="0.94169301018616092"/>
    <n v="7.7582991421111525E-2"/>
    <n v="0.46153846153846156"/>
    <n v="6.25E-2"/>
    <n v="2.237970906378217E-3"/>
    <n v="2.3796874999999997"/>
    <n v="1.0983173076923076"/>
    <n v="23.987218209673891"/>
  </r>
  <r>
    <x v="26"/>
    <s v="CMP202601047"/>
    <s v="CUST100816"/>
    <x v="2"/>
    <s v="Amber"/>
    <x v="0"/>
    <s v="North"/>
    <s v="25-34"/>
    <n v="530"/>
    <n v="418"/>
    <n v="396"/>
    <n v="24"/>
    <n v="9"/>
    <n v="0"/>
    <n v="29.65"/>
    <x v="0"/>
    <n v="0.94736842105263153"/>
    <n v="6.0606060606060608E-2"/>
    <n v="0.375"/>
    <n v="0"/>
    <n v="0"/>
    <n v="3.2944444444444443"/>
    <n v="1.2354166666666666"/>
    <n v="-1"/>
  </r>
  <r>
    <x v="26"/>
    <s v="CMP202601053"/>
    <s v="CUST100083"/>
    <x v="3"/>
    <s v="Green"/>
    <x v="1"/>
    <s v="West"/>
    <s v="25-34"/>
    <n v="4844"/>
    <n v="3666"/>
    <n v="3478"/>
    <n v="366"/>
    <n v="200"/>
    <n v="18"/>
    <n v="491.51"/>
    <x v="150"/>
    <n v="0.94871794871794868"/>
    <n v="0.10523289246693503"/>
    <n v="0.54644808743169404"/>
    <n v="0.09"/>
    <n v="5.1753881541115581E-3"/>
    <n v="2.4575499999999999"/>
    <n v="1.3429234972677595"/>
    <n v="52.088767268214283"/>
  </r>
  <r>
    <x v="27"/>
    <s v="CMP202601007"/>
    <s v="CUST101475"/>
    <x v="2"/>
    <s v="Red Non-Saleable"/>
    <x v="0"/>
    <s v="Central"/>
    <s v="45-54"/>
    <n v="4130"/>
    <n v="3325"/>
    <n v="3110"/>
    <n v="60"/>
    <n v="24"/>
    <n v="0"/>
    <n v="267.64999999999998"/>
    <x v="0"/>
    <n v="0.93533834586466169"/>
    <n v="1.9292604501607719E-2"/>
    <n v="0.4"/>
    <n v="0"/>
    <n v="0"/>
    <n v="11.152083333333332"/>
    <n v="4.4608333333333325"/>
    <n v="-1"/>
  </r>
  <r>
    <x v="27"/>
    <s v="CMP202601047"/>
    <s v="CUST100899"/>
    <x v="0"/>
    <s v="Amber"/>
    <x v="0"/>
    <s v="South"/>
    <s v="45-54"/>
    <n v="2626"/>
    <n v="2509"/>
    <n v="2273"/>
    <n v="123"/>
    <n v="61"/>
    <n v="4"/>
    <n v="264.10000000000002"/>
    <x v="151"/>
    <n v="0.90593862096452771"/>
    <n v="5.411350637923449E-2"/>
    <n v="0.49593495934959347"/>
    <n v="6.5573770491803282E-2"/>
    <n v="1.7597888253409592E-3"/>
    <n v="4.3295081967213118"/>
    <n v="2.1471544715447157"/>
    <n v="20.47341915940931"/>
  </r>
  <r>
    <x v="27"/>
    <s v="CMP202601048"/>
    <s v="CUST100907"/>
    <x v="2"/>
    <s v="Amber"/>
    <x v="0"/>
    <s v="North"/>
    <s v="55+"/>
    <n v="4918"/>
    <n v="4727"/>
    <n v="4406"/>
    <n v="246"/>
    <n v="100"/>
    <n v="5"/>
    <n v="442.58"/>
    <x v="152"/>
    <n v="0.9320922360905437"/>
    <n v="5.5832955061280075E-2"/>
    <n v="0.4065040650406504"/>
    <n v="0.05"/>
    <n v="1.1348161597821154E-3"/>
    <n v="4.4257999999999997"/>
    <n v="1.7991056910569105"/>
    <n v="9.9969948935785631"/>
  </r>
  <r>
    <x v="27"/>
    <s v="CMP202601055"/>
    <s v="CUST100300"/>
    <x v="1"/>
    <s v="Amber"/>
    <x v="0"/>
    <s v="Central"/>
    <s v="25-34"/>
    <n v="2167"/>
    <n v="1638"/>
    <n v="1529"/>
    <n v="41"/>
    <n v="18"/>
    <n v="1"/>
    <n v="322.92"/>
    <x v="153"/>
    <n v="0.93345543345543347"/>
    <n v="2.6814911706998037E-2"/>
    <n v="0.43902439024390244"/>
    <n v="5.5555555555555552E-2"/>
    <n v="6.5402223675604975E-4"/>
    <n v="17.940000000000001"/>
    <n v="7.8760975609756105"/>
    <n v="2.4721293199554069"/>
  </r>
  <r>
    <x v="28"/>
    <s v="CMP202601005"/>
    <s v="CUST101285"/>
    <x v="0"/>
    <s v="Red Non-Saleable"/>
    <x v="0"/>
    <s v="South"/>
    <s v="18-24"/>
    <n v="4513"/>
    <n v="3762"/>
    <n v="3417"/>
    <n v="53"/>
    <n v="28"/>
    <n v="1"/>
    <n v="418.63"/>
    <x v="154"/>
    <n v="0.90829346092503982"/>
    <n v="1.5510681884694176E-2"/>
    <n v="0.52830188679245282"/>
    <n v="3.5714285714285712E-2"/>
    <n v="2.9265437518290899E-4"/>
    <n v="14.951071428571428"/>
    <n v="7.8986792452830183"/>
    <n v="1.0609846403745551"/>
  </r>
  <r>
    <x v="28"/>
    <s v="CMP202601057"/>
    <s v="CUST100578"/>
    <x v="2"/>
    <s v="Green"/>
    <x v="1"/>
    <s v="West"/>
    <s v="35-44"/>
    <n v="3011"/>
    <n v="2871"/>
    <n v="2674"/>
    <n v="275"/>
    <n v="152"/>
    <n v="11"/>
    <n v="232.79"/>
    <x v="155"/>
    <n v="0.93138279345175901"/>
    <n v="0.10284218399401646"/>
    <n v="0.55272727272727273"/>
    <n v="7.2368421052631582E-2"/>
    <n v="4.1136873597606583E-3"/>
    <n v="1.5315131578947367"/>
    <n v="0.84650909090909088"/>
    <n v="47.130160230250432"/>
  </r>
  <r>
    <x v="28"/>
    <s v="CMP202601062"/>
    <s v="CUST101214"/>
    <x v="0"/>
    <s v="Red Saleable"/>
    <x v="0"/>
    <s v="West"/>
    <s v="55+"/>
    <n v="3494"/>
    <n v="2814"/>
    <n v="2576"/>
    <n v="116"/>
    <n v="67"/>
    <n v="2"/>
    <n v="374.66"/>
    <x v="156"/>
    <n v="0.91542288557213936"/>
    <n v="4.503105590062112E-2"/>
    <n v="0.57758620689655171"/>
    <n v="2.9850746268656716E-2"/>
    <n v="7.7639751552795026E-4"/>
    <n v="5.5919402985074633"/>
    <n v="3.2298275862068966"/>
    <n v="2.6409010836491746"/>
  </r>
  <r>
    <x v="28"/>
    <s v="CMP202601065"/>
    <s v="CUST101250"/>
    <x v="1"/>
    <s v="Red Non-Saleable"/>
    <x v="0"/>
    <s v="West"/>
    <s v="35-44"/>
    <n v="2045"/>
    <n v="1912"/>
    <n v="1791"/>
    <n v="26"/>
    <n v="10"/>
    <n v="0"/>
    <n v="374.28"/>
    <x v="0"/>
    <n v="0.93671548117154813"/>
    <n v="1.4517029592406477E-2"/>
    <n v="0.38461538461538464"/>
    <n v="0"/>
    <n v="0"/>
    <n v="37.427999999999997"/>
    <n v="14.395384615384614"/>
    <n v="-1"/>
  </r>
  <r>
    <x v="28"/>
    <s v="CMP202601068"/>
    <s v="CUST100768"/>
    <x v="0"/>
    <s v="Green"/>
    <x v="0"/>
    <s v="Central"/>
    <s v="55+"/>
    <n v="4067"/>
    <n v="3849"/>
    <n v="3551"/>
    <n v="284"/>
    <n v="117"/>
    <n v="7"/>
    <n v="538.21"/>
    <x v="157"/>
    <n v="0.92257729280332557"/>
    <n v="7.9977471134891578E-2"/>
    <n v="0.4119718309859155"/>
    <n v="5.9829059829059832E-2"/>
    <n v="1.9712756969867645E-3"/>
    <n v="4.6000854700854701"/>
    <n v="1.8951056338028169"/>
    <n v="9.6206313520744686"/>
  </r>
  <r>
    <x v="29"/>
    <s v="CMP202601001"/>
    <s v="CUST101293"/>
    <x v="2"/>
    <s v="Amber"/>
    <x v="1"/>
    <s v="South"/>
    <s v="35-44"/>
    <n v="3711"/>
    <n v="3303"/>
    <n v="3099"/>
    <n v="227"/>
    <n v="132"/>
    <n v="7"/>
    <n v="251.03"/>
    <x v="158"/>
    <n v="0.93823796548592187"/>
    <n v="7.3249435301710228E-2"/>
    <n v="0.58149779735682816"/>
    <n v="5.3030303030303032E-2"/>
    <n v="2.2587931590835751E-3"/>
    <n v="1.9017424242424243"/>
    <n v="1.1058590308370044"/>
    <n v="23.749990041030951"/>
  </r>
  <r>
    <x v="29"/>
    <s v="CMP202601025"/>
    <s v="CUST100265"/>
    <x v="1"/>
    <s v="Green"/>
    <x v="0"/>
    <s v="North"/>
    <s v="25-34"/>
    <n v="1416"/>
    <n v="1293"/>
    <n v="1262"/>
    <n v="56"/>
    <n v="20"/>
    <n v="1"/>
    <n v="216.97"/>
    <x v="159"/>
    <n v="0.97602474864655842"/>
    <n v="4.4374009508716325E-2"/>
    <n v="0.35714285714285715"/>
    <n v="0.05"/>
    <n v="7.9239302694136295E-4"/>
    <n v="10.8485"/>
    <n v="3.8744642857142857"/>
    <n v="5.7835184587731021"/>
  </r>
  <r>
    <x v="29"/>
    <s v="CMP202601045"/>
    <s v="CUST100712"/>
    <x v="1"/>
    <s v="Green"/>
    <x v="0"/>
    <s v="North"/>
    <s v="25-34"/>
    <n v="4376"/>
    <n v="3961"/>
    <n v="3791"/>
    <n v="209"/>
    <n v="87"/>
    <n v="5"/>
    <n v="823.43"/>
    <x v="160"/>
    <n v="0.9570815450643777"/>
    <n v="5.5130572408335535E-2"/>
    <n v="0.41626794258373206"/>
    <n v="5.7471264367816091E-2"/>
    <n v="1.3189132155104195E-3"/>
    <n v="9.4647126436781601"/>
    <n v="3.9398564593301435"/>
    <n v="7.4918815199834841"/>
  </r>
  <r>
    <x v="29"/>
    <s v="CMP202601060"/>
    <s v="CUST100525"/>
    <x v="0"/>
    <s v="Red Non-Saleable"/>
    <x v="0"/>
    <s v="North"/>
    <s v="18-24"/>
    <n v="4712"/>
    <n v="3696"/>
    <n v="3270"/>
    <n v="64"/>
    <n v="26"/>
    <n v="1"/>
    <n v="436.16"/>
    <x v="161"/>
    <n v="0.88474025974025972"/>
    <n v="1.9571865443425075E-2"/>
    <n v="0.40625"/>
    <n v="3.8461538461538464E-2"/>
    <n v="3.058103975535168E-4"/>
    <n v="16.775384615384617"/>
    <n v="6.8150000000000004"/>
    <n v="0.97620139398385919"/>
  </r>
  <r>
    <x v="29"/>
    <s v="CMP202601068"/>
    <s v="CUST100389"/>
    <x v="2"/>
    <s v="Amber"/>
    <x v="0"/>
    <s v="South"/>
    <s v="35-44"/>
    <n v="1564"/>
    <n v="1523"/>
    <n v="1460"/>
    <n v="83"/>
    <n v="35"/>
    <n v="2"/>
    <n v="116.61"/>
    <x v="162"/>
    <n v="0.95863427445830596"/>
    <n v="5.6849315068493153E-2"/>
    <n v="0.42168674698795183"/>
    <n v="5.7142857142857141E-2"/>
    <n v="1.3698630136986301E-3"/>
    <n v="3.3317142857142859"/>
    <n v="1.4049397590361445"/>
    <n v="16.777377583397652"/>
  </r>
  <r>
    <x v="29"/>
    <s v="CMP202601074"/>
    <s v="CUST100452"/>
    <x v="0"/>
    <s v="Green"/>
    <x v="0"/>
    <s v="East"/>
    <s v="55+"/>
    <n v="3091"/>
    <n v="2839"/>
    <n v="2536"/>
    <n v="193"/>
    <n v="104"/>
    <n v="8"/>
    <n v="365.81"/>
    <x v="163"/>
    <n v="0.89327227897146888"/>
    <n v="7.6104100946372238E-2"/>
    <n v="0.53886010362694303"/>
    <n v="7.6923076923076927E-2"/>
    <n v="3.1545741324921135E-3"/>
    <n v="3.5174038461538464"/>
    <n v="1.8953886010362695"/>
    <n v="31.644378229135341"/>
  </r>
  <r>
    <x v="30"/>
    <s v="CMP202601001"/>
    <s v="CUST100715"/>
    <x v="1"/>
    <s v="Green"/>
    <x v="0"/>
    <s v="South"/>
    <s v="25-34"/>
    <n v="1189"/>
    <n v="1153"/>
    <n v="1115"/>
    <n v="56"/>
    <n v="23"/>
    <n v="2"/>
    <n v="217.75"/>
    <x v="164"/>
    <n v="0.96704249783174323"/>
    <n v="5.0224215246636769E-2"/>
    <n v="0.4107142857142857"/>
    <n v="8.6956521739130432E-2"/>
    <n v="1.7937219730941704E-3"/>
    <n v="9.4673913043478262"/>
    <n v="3.8883928571428572"/>
    <n v="8.8332950631458083"/>
  </r>
  <r>
    <x v="30"/>
    <s v="CMP202601001"/>
    <s v="CUST101185"/>
    <x v="0"/>
    <s v="Green"/>
    <x v="0"/>
    <s v="Central"/>
    <s v="25-34"/>
    <n v="1046"/>
    <n v="968"/>
    <n v="882"/>
    <n v="76"/>
    <n v="35"/>
    <n v="2"/>
    <n v="112.68"/>
    <x v="165"/>
    <n v="0.91115702479338845"/>
    <n v="8.6167800453514742E-2"/>
    <n v="0.46052631578947367"/>
    <n v="5.7142857142857141E-2"/>
    <n v="2.2675736961451248E-3"/>
    <n v="3.2194285714285718"/>
    <n v="1.4826315789473685"/>
    <n v="17.116879659211925"/>
  </r>
  <r>
    <x v="30"/>
    <s v="CMP202601024"/>
    <s v="CUST101062"/>
    <x v="2"/>
    <s v="Green"/>
    <x v="1"/>
    <s v="Central"/>
    <s v="45-54"/>
    <n v="3949"/>
    <n v="3390"/>
    <n v="3109"/>
    <n v="305"/>
    <n v="163"/>
    <n v="15"/>
    <n v="306.45"/>
    <x v="166"/>
    <n v="0.91710914454277281"/>
    <n v="9.8102283692505635E-2"/>
    <n v="0.53442622950819674"/>
    <n v="9.202453987730061E-2"/>
    <n v="4.8247024766806049E-3"/>
    <n v="1.8800613496932514"/>
    <n v="1.0047540983606558"/>
    <n v="81.313330070158258"/>
  </r>
  <r>
    <x v="30"/>
    <s v="CMP202601030"/>
    <s v="CUST100463"/>
    <x v="1"/>
    <s v="Green"/>
    <x v="0"/>
    <s v="South"/>
    <s v="55+"/>
    <n v="418"/>
    <n v="401"/>
    <n v="393"/>
    <n v="21"/>
    <n v="7"/>
    <n v="1"/>
    <n v="68.28"/>
    <x v="167"/>
    <n v="0.98004987531172072"/>
    <n v="5.3435114503816793E-2"/>
    <n v="0.33333333333333331"/>
    <n v="0.14285714285714285"/>
    <n v="2.5445292620865142E-3"/>
    <n v="9.7542857142857144"/>
    <n v="3.2514285714285713"/>
    <n v="20.175161101347392"/>
  </r>
  <r>
    <x v="30"/>
    <s v="CMP202601044"/>
    <s v="CUST100749"/>
    <x v="3"/>
    <s v="Green"/>
    <x v="0"/>
    <s v="North"/>
    <s v="35-44"/>
    <n v="4463"/>
    <n v="3601"/>
    <n v="3417"/>
    <n v="282"/>
    <n v="120"/>
    <n v="6"/>
    <n v="616.95000000000005"/>
    <x v="168"/>
    <n v="0.94890308247708965"/>
    <n v="8.2528533801580331E-2"/>
    <n v="0.42553191489361702"/>
    <n v="0.05"/>
    <n v="1.7559262510974539E-3"/>
    <n v="5.1412500000000003"/>
    <n v="2.1877659574468087"/>
    <n v="12.718242969446468"/>
  </r>
  <r>
    <x v="30"/>
    <s v="CMP202601049"/>
    <s v="CUST100302"/>
    <x v="2"/>
    <s v="Amber"/>
    <x v="0"/>
    <s v="East"/>
    <s v="55+"/>
    <n v="4229"/>
    <n v="3541"/>
    <n v="3347"/>
    <n v="233"/>
    <n v="83"/>
    <n v="4"/>
    <n v="313.62"/>
    <x v="169"/>
    <n v="0.94521321660547863"/>
    <n v="6.9614580221093514E-2"/>
    <n v="0.35622317596566522"/>
    <n v="4.8192771084337352E-2"/>
    <n v="1.1951000896325067E-3"/>
    <n v="3.77855421686747"/>
    <n v="1.3460085836909872"/>
    <n v="7.5346278936292332"/>
  </r>
  <r>
    <x v="30"/>
    <s v="CMP202601062"/>
    <s v="CUST100550"/>
    <x v="3"/>
    <s v="Amber"/>
    <x v="0"/>
    <s v="North"/>
    <s v="18-24"/>
    <n v="3333"/>
    <n v="2695"/>
    <n v="2459"/>
    <n v="151"/>
    <n v="65"/>
    <n v="3"/>
    <n v="370.68"/>
    <x v="170"/>
    <n v="0.91243042671614105"/>
    <n v="6.1407076047173645E-2"/>
    <n v="0.43046357615894038"/>
    <n v="4.6153846153846156E-2"/>
    <n v="1.2200081333875558E-3"/>
    <n v="5.7027692307692313"/>
    <n v="2.4548344370860926"/>
    <n v="6.898375957699364"/>
  </r>
  <r>
    <x v="31"/>
    <s v="CMP202602014"/>
    <s v="CUST100110"/>
    <x v="2"/>
    <s v="Red Non-Saleable"/>
    <x v="1"/>
    <s v="East"/>
    <s v="18-24"/>
    <n v="2001"/>
    <n v="1654"/>
    <n v="1524"/>
    <n v="26"/>
    <n v="17"/>
    <n v="0"/>
    <n v="125.43"/>
    <x v="0"/>
    <n v="0.92140266021765416"/>
    <n v="1.7060367454068241E-2"/>
    <n v="0.65384615384615385"/>
    <n v="0"/>
    <n v="0"/>
    <n v="7.3782352941176477"/>
    <n v="4.8242307692307698"/>
    <n v="-1"/>
  </r>
  <r>
    <x v="31"/>
    <s v="CMP202602039"/>
    <s v="CUST101386"/>
    <x v="3"/>
    <s v="Amber"/>
    <x v="1"/>
    <s v="Central"/>
    <s v="35-44"/>
    <n v="1957"/>
    <n v="1887"/>
    <n v="1732"/>
    <n v="139"/>
    <n v="83"/>
    <n v="6"/>
    <n v="334.81"/>
    <x v="171"/>
    <n v="0.91785903550609438"/>
    <n v="8.0254041570438805E-2"/>
    <n v="0.59712230215827333"/>
    <n v="7.2289156626506021E-2"/>
    <n v="3.4642032332563512E-3"/>
    <n v="4.0338554216867468"/>
    <n v="2.4087050359712232"/>
    <n v="19.399838714494784"/>
  </r>
  <r>
    <x v="31"/>
    <s v="CMP202602046"/>
    <s v="CUST100920"/>
    <x v="3"/>
    <s v="Amber"/>
    <x v="0"/>
    <s v="Central"/>
    <s v="18-24"/>
    <n v="487"/>
    <n v="477"/>
    <n v="432"/>
    <n v="24"/>
    <n v="11"/>
    <n v="1"/>
    <n v="71.45"/>
    <x v="172"/>
    <n v="0.90566037735849059"/>
    <n v="5.5555555555555552E-2"/>
    <n v="0.45833333333333331"/>
    <n v="9.0909090909090912E-2"/>
    <n v="2.3148148148148147E-3"/>
    <n v="6.495454545454546"/>
    <n v="2.9770833333333333"/>
    <n v="9.6148355493351971"/>
  </r>
  <r>
    <x v="31"/>
    <s v="CMP202602055"/>
    <s v="CUST100594"/>
    <x v="2"/>
    <s v="Red Non-Saleable"/>
    <x v="0"/>
    <s v="South"/>
    <s v="18-24"/>
    <n v="4411"/>
    <n v="3720"/>
    <n v="3449"/>
    <n v="62"/>
    <n v="23"/>
    <n v="0"/>
    <n v="339.99"/>
    <x v="0"/>
    <n v="0.92715053763440858"/>
    <n v="1.7976224992751522E-2"/>
    <n v="0.37096774193548387"/>
    <n v="0"/>
    <n v="0"/>
    <n v="14.782173913043479"/>
    <n v="5.4837096774193546"/>
    <n v="-1"/>
  </r>
  <r>
    <x v="31"/>
    <s v="CMP202602061"/>
    <s v="CUST101070"/>
    <x v="3"/>
    <s v="Amber"/>
    <x v="0"/>
    <s v="South"/>
    <s v="55+"/>
    <n v="815"/>
    <n v="662"/>
    <n v="618"/>
    <n v="41"/>
    <n v="16"/>
    <n v="1"/>
    <n v="117.94"/>
    <x v="173"/>
    <n v="0.93353474320241692"/>
    <n v="6.6343042071197414E-2"/>
    <n v="0.3902439024390244"/>
    <n v="6.25E-2"/>
    <n v="1.6181229773462784E-3"/>
    <n v="7.3712499999999999"/>
    <n v="2.8765853658536584"/>
    <n v="8.3890961505850417"/>
  </r>
  <r>
    <x v="32"/>
    <s v="CMP202602016"/>
    <s v="CUST101467"/>
    <x v="3"/>
    <s v="Red Saleable"/>
    <x v="1"/>
    <s v="South"/>
    <s v="25-34"/>
    <n v="1385"/>
    <n v="1064"/>
    <n v="992"/>
    <n v="41"/>
    <n v="25"/>
    <n v="1"/>
    <n v="159.22999999999999"/>
    <x v="174"/>
    <n v="0.93233082706766912"/>
    <n v="4.1330645161290321E-2"/>
    <n v="0.6097560975609756"/>
    <n v="0.04"/>
    <n v="1.0080645161290322E-3"/>
    <n v="6.3691999999999993"/>
    <n v="3.8836585365853655"/>
    <n v="7.5593795139106961"/>
  </r>
  <r>
    <x v="32"/>
    <s v="CMP202602033"/>
    <s v="CUST101031"/>
    <x v="0"/>
    <s v="Red Saleable"/>
    <x v="0"/>
    <s v="North"/>
    <s v="25-34"/>
    <n v="1039"/>
    <n v="903"/>
    <n v="810"/>
    <n v="30"/>
    <n v="15"/>
    <n v="0"/>
    <n v="92.89"/>
    <x v="0"/>
    <n v="0.89700996677740863"/>
    <n v="3.7037037037037035E-2"/>
    <n v="0.5"/>
    <n v="0"/>
    <n v="0"/>
    <n v="6.1926666666666668"/>
    <n v="3.0963333333333334"/>
    <n v="-1"/>
  </r>
  <r>
    <x v="32"/>
    <s v="CMP202602051"/>
    <s v="CUST100085"/>
    <x v="3"/>
    <s v="Red Non-Saleable"/>
    <x v="1"/>
    <s v="South"/>
    <s v="18-24"/>
    <n v="3336"/>
    <n v="2935"/>
    <n v="2729"/>
    <n v="58"/>
    <n v="33"/>
    <n v="0"/>
    <n v="493.75"/>
    <x v="0"/>
    <n v="0.92981260647359454"/>
    <n v="2.1253206302674972E-2"/>
    <n v="0.56896551724137934"/>
    <n v="0"/>
    <n v="0"/>
    <n v="14.962121212121213"/>
    <n v="8.512931034482758"/>
    <n v="-1"/>
  </r>
  <r>
    <x v="32"/>
    <s v="CMP202602059"/>
    <s v="CUST100077"/>
    <x v="3"/>
    <s v="Red Saleable"/>
    <x v="0"/>
    <s v="West"/>
    <s v="18-24"/>
    <n v="762"/>
    <n v="600"/>
    <n v="550"/>
    <n v="23"/>
    <n v="12"/>
    <n v="0"/>
    <n v="76.66"/>
    <x v="0"/>
    <n v="0.91666666666666663"/>
    <n v="4.1818181818181817E-2"/>
    <n v="0.52173913043478259"/>
    <n v="0"/>
    <n v="0"/>
    <n v="6.3883333333333328"/>
    <n v="3.3330434782608696"/>
    <n v="-1"/>
  </r>
  <r>
    <x v="32"/>
    <s v="CMP202602069"/>
    <s v="CUST100023"/>
    <x v="0"/>
    <s v="Red Saleable"/>
    <x v="0"/>
    <s v="East"/>
    <s v="25-34"/>
    <n v="3651"/>
    <n v="3012"/>
    <n v="2744"/>
    <n v="159"/>
    <n v="83"/>
    <n v="4"/>
    <n v="327.84"/>
    <x v="175"/>
    <n v="0.91102257636122175"/>
    <n v="5.7944606413994168E-2"/>
    <n v="0.5220125786163522"/>
    <n v="4.8192771084337352E-2"/>
    <n v="1.4577259475218659E-3"/>
    <n v="3.9498795180722888"/>
    <n v="2.0618867924528299"/>
    <n v="7.619509516837482"/>
  </r>
  <r>
    <x v="33"/>
    <s v="CMP202602005"/>
    <s v="CUST100791"/>
    <x v="2"/>
    <s v="Red Non-Saleable"/>
    <x v="0"/>
    <s v="East"/>
    <s v="55+"/>
    <n v="3494"/>
    <n v="2805"/>
    <n v="2709"/>
    <n v="55"/>
    <n v="27"/>
    <n v="1"/>
    <n v="259.13"/>
    <x v="176"/>
    <n v="0.96577540106951876"/>
    <n v="2.0302694721299374E-2"/>
    <n v="0.49090909090909091"/>
    <n v="3.7037037037037035E-2"/>
    <n v="3.6913990402362494E-4"/>
    <n v="9.5974074074074078"/>
    <n v="4.7114545454545453"/>
    <n v="3.5712576698954193"/>
  </r>
  <r>
    <x v="33"/>
    <s v="CMP202602006"/>
    <s v="CUST101394"/>
    <x v="0"/>
    <s v="Green"/>
    <x v="1"/>
    <s v="North"/>
    <s v="55+"/>
    <n v="1998"/>
    <n v="1892"/>
    <n v="1727"/>
    <n v="165"/>
    <n v="100"/>
    <n v="8"/>
    <n v="241.53"/>
    <x v="177"/>
    <n v="0.91279069767441856"/>
    <n v="9.5541401273885357E-2"/>
    <n v="0.60606060606060608"/>
    <n v="0.08"/>
    <n v="4.6323103647944409E-3"/>
    <n v="2.4153000000000002"/>
    <n v="1.4638181818181819"/>
    <n v="26.350763880263322"/>
  </r>
  <r>
    <x v="33"/>
    <s v="CMP202602017"/>
    <s v="CUST100675"/>
    <x v="0"/>
    <s v="Green"/>
    <x v="1"/>
    <s v="Central"/>
    <s v="18-24"/>
    <n v="4235"/>
    <n v="3193"/>
    <n v="2980"/>
    <n v="341"/>
    <n v="193"/>
    <n v="17"/>
    <n v="443.35"/>
    <x v="178"/>
    <n v="0.9332915753210147"/>
    <n v="0.11442953020134228"/>
    <n v="0.56598240469208216"/>
    <n v="8.8082901554404139E-2"/>
    <n v="5.704697986577181E-3"/>
    <n v="2.2971502590673576"/>
    <n v="1.3001466275659825"/>
    <n v="56.713634825758433"/>
  </r>
  <r>
    <x v="33"/>
    <s v="CMP202602046"/>
    <s v="CUST100600"/>
    <x v="1"/>
    <s v="Red Non-Saleable"/>
    <x v="0"/>
    <s v="Central"/>
    <s v="35-44"/>
    <n v="2021"/>
    <n v="1922"/>
    <n v="1846"/>
    <n v="26"/>
    <n v="9"/>
    <n v="0"/>
    <n v="314.67"/>
    <x v="0"/>
    <n v="0.96045785639958381"/>
    <n v="1.4084507042253521E-2"/>
    <n v="0.34615384615384615"/>
    <n v="0"/>
    <n v="0"/>
    <n v="34.963333333333338"/>
    <n v="12.102692307692308"/>
    <n v="-1"/>
  </r>
  <r>
    <x v="33"/>
    <s v="CMP202602061"/>
    <s v="CUST100447"/>
    <x v="0"/>
    <s v="Red Non-Saleable"/>
    <x v="0"/>
    <s v="Central"/>
    <s v="45-54"/>
    <n v="1189"/>
    <n v="987"/>
    <n v="888"/>
    <n v="23"/>
    <n v="13"/>
    <n v="0"/>
    <n v="102.4"/>
    <x v="0"/>
    <n v="0.89969604863221886"/>
    <n v="2.59009009009009E-2"/>
    <n v="0.56521739130434778"/>
    <n v="0"/>
    <n v="0"/>
    <n v="7.8769230769230774"/>
    <n v="4.4521739130434783"/>
    <n v="-1"/>
  </r>
  <r>
    <x v="33"/>
    <s v="CMP202602061"/>
    <s v="CUST100456"/>
    <x v="1"/>
    <s v="Red Non-Saleable"/>
    <x v="0"/>
    <s v="North"/>
    <s v="45-54"/>
    <n v="4828"/>
    <n v="3905"/>
    <n v="3643"/>
    <n v="34"/>
    <n v="13"/>
    <n v="0"/>
    <n v="621.59"/>
    <x v="0"/>
    <n v="0.93290653008962865"/>
    <n v="9.3329673346143286E-3"/>
    <n v="0.38235294117647056"/>
    <n v="0"/>
    <n v="0"/>
    <n v="47.814615384615387"/>
    <n v="18.282058823529411"/>
    <n v="-1"/>
  </r>
  <r>
    <x v="33"/>
    <s v="CMP202602073"/>
    <s v="CUST100251"/>
    <x v="2"/>
    <s v="Green"/>
    <x v="0"/>
    <s v="North"/>
    <s v="45-54"/>
    <n v="3481"/>
    <n v="2679"/>
    <n v="2492"/>
    <n v="161"/>
    <n v="81"/>
    <n v="5"/>
    <n v="200.88"/>
    <x v="179"/>
    <n v="0.93019783501306452"/>
    <n v="6.4606741573033713E-2"/>
    <n v="0.50310559006211175"/>
    <n v="6.1728395061728392E-2"/>
    <n v="2.0064205457463883E-3"/>
    <n v="2.48"/>
    <n v="1.2477018633540373"/>
    <n v="33.113401035444042"/>
  </r>
  <r>
    <x v="34"/>
    <s v="CMP202602002"/>
    <s v="CUST100003"/>
    <x v="3"/>
    <s v="Green"/>
    <x v="0"/>
    <s v="North"/>
    <s v="45-54"/>
    <n v="1900"/>
    <n v="1884"/>
    <n v="1758"/>
    <n v="141"/>
    <n v="59"/>
    <n v="3"/>
    <n v="267.05"/>
    <x v="180"/>
    <n v="0.93312101910828027"/>
    <n v="8.0204778156996587E-2"/>
    <n v="0.41843971631205673"/>
    <n v="5.0847457627118647E-2"/>
    <n v="1.7064846416382253E-3"/>
    <n v="4.5262711864406784"/>
    <n v="1.8939716312056738"/>
    <n v="15.519940086126191"/>
  </r>
  <r>
    <x v="34"/>
    <s v="CMP202602015"/>
    <s v="CUST101011"/>
    <x v="2"/>
    <s v="Red Saleable"/>
    <x v="0"/>
    <s v="West"/>
    <s v="45-54"/>
    <n v="1423"/>
    <n v="1366"/>
    <n v="1292"/>
    <n v="40"/>
    <n v="18"/>
    <n v="0"/>
    <n v="97.78"/>
    <x v="0"/>
    <n v="0.94582723279648606"/>
    <n v="3.0959752321981424E-2"/>
    <n v="0.45"/>
    <n v="0"/>
    <n v="0"/>
    <n v="5.4322222222222223"/>
    <n v="2.4445000000000001"/>
    <n v="-1"/>
  </r>
  <r>
    <x v="34"/>
    <s v="CMP202602030"/>
    <s v="CUST101134"/>
    <x v="2"/>
    <s v="Red Non-Saleable"/>
    <x v="1"/>
    <s v="East"/>
    <s v="35-44"/>
    <n v="1404"/>
    <n v="1099"/>
    <n v="1051"/>
    <n v="15"/>
    <n v="9"/>
    <n v="0"/>
    <n v="92.88"/>
    <x v="0"/>
    <n v="0.9563239308462238"/>
    <n v="1.4272121788772598E-2"/>
    <n v="0.6"/>
    <n v="0"/>
    <n v="0"/>
    <n v="10.32"/>
    <n v="6.1919999999999993"/>
    <n v="-1"/>
  </r>
  <r>
    <x v="34"/>
    <s v="CMP202602046"/>
    <s v="CUST101422"/>
    <x v="2"/>
    <s v="Red Saleable"/>
    <x v="1"/>
    <s v="East"/>
    <s v="55+"/>
    <n v="922"/>
    <n v="904"/>
    <n v="846"/>
    <n v="47"/>
    <n v="26"/>
    <n v="1"/>
    <n v="79.510000000000005"/>
    <x v="181"/>
    <n v="0.93584070796460173"/>
    <n v="5.5555555555555552E-2"/>
    <n v="0.55319148936170215"/>
    <n v="3.8461538461538464E-2"/>
    <n v="1.1820330969267139E-3"/>
    <n v="3.0580769230769231"/>
    <n v="1.6917021276595745"/>
    <n v="18.400704313922777"/>
  </r>
  <r>
    <x v="34"/>
    <s v="CMP202602051"/>
    <s v="CUST100095"/>
    <x v="0"/>
    <s v="Red Non-Saleable"/>
    <x v="0"/>
    <s v="East"/>
    <s v="25-34"/>
    <n v="675"/>
    <n v="672"/>
    <n v="613"/>
    <n v="14"/>
    <n v="7"/>
    <n v="0"/>
    <n v="83.1"/>
    <x v="0"/>
    <n v="0.91220238095238093"/>
    <n v="2.2838499184339316E-2"/>
    <n v="0.5"/>
    <n v="0"/>
    <n v="0"/>
    <n v="11.87142857142857"/>
    <n v="5.9357142857142851"/>
    <n v="-1"/>
  </r>
  <r>
    <x v="35"/>
    <s v="CMP202602006"/>
    <s v="CUST101026"/>
    <x v="0"/>
    <s v="Green"/>
    <x v="1"/>
    <s v="East"/>
    <s v="18-24"/>
    <n v="4123"/>
    <n v="4096"/>
    <n v="3684"/>
    <n v="397"/>
    <n v="258"/>
    <n v="25"/>
    <n v="538.08000000000004"/>
    <x v="182"/>
    <n v="0.8994140625"/>
    <n v="0.10776330076004344"/>
    <n v="0.64987405541561716"/>
    <n v="9.6899224806201556E-2"/>
    <n v="6.7861020629750276E-3"/>
    <n v="2.0855813953488376"/>
    <n v="1.3553652392947104"/>
    <n v="59.141707552780247"/>
  </r>
  <r>
    <x v="35"/>
    <s v="CMP202602028"/>
    <s v="CUST100007"/>
    <x v="3"/>
    <s v="Red Saleable"/>
    <x v="1"/>
    <s v="North"/>
    <s v="25-34"/>
    <n v="1997"/>
    <n v="1792"/>
    <n v="1673"/>
    <n v="90"/>
    <n v="60"/>
    <n v="3"/>
    <n v="312.77999999999997"/>
    <x v="183"/>
    <n v="0.93359375"/>
    <n v="5.379557680812911E-2"/>
    <n v="0.66666666666666663"/>
    <n v="0.05"/>
    <n v="1.7931858936043037E-3"/>
    <n v="5.2129999999999992"/>
    <n v="3.4753333333333329"/>
    <n v="8.3684698510134918"/>
  </r>
  <r>
    <x v="35"/>
    <s v="CMP202602043"/>
    <s v="CUST100234"/>
    <x v="2"/>
    <s v="Red Saleable"/>
    <x v="0"/>
    <s v="East"/>
    <s v="55+"/>
    <n v="4791"/>
    <n v="3759"/>
    <n v="3545"/>
    <n v="142"/>
    <n v="70"/>
    <n v="2"/>
    <n v="318.42"/>
    <x v="184"/>
    <n v="0.94306996541633414"/>
    <n v="4.0056417489421722E-2"/>
    <n v="0.49295774647887325"/>
    <n v="2.8571428571428571E-2"/>
    <n v="5.641748942172073E-4"/>
    <n v="4.5488571428571429"/>
    <n v="2.2423943661971832"/>
    <n v="5.6029771999246272"/>
  </r>
  <r>
    <x v="35"/>
    <s v="CMP202602049"/>
    <s v="CUST100470"/>
    <x v="0"/>
    <s v="Red Saleable"/>
    <x v="1"/>
    <s v="South"/>
    <s v="35-44"/>
    <n v="2048"/>
    <n v="1686"/>
    <n v="1511"/>
    <n v="101"/>
    <n v="70"/>
    <n v="3"/>
    <n v="179.14"/>
    <x v="185"/>
    <n v="0.89620403321470932"/>
    <n v="6.6843150231634674E-2"/>
    <n v="0.69306930693069302"/>
    <n v="4.2857142857142858E-2"/>
    <n v="1.9854401058901389E-3"/>
    <n v="2.5591428571428572"/>
    <n v="1.7736633663366335"/>
    <n v="20.535726247627554"/>
  </r>
  <r>
    <x v="36"/>
    <s v="CMP202602019"/>
    <s v="CUST100013"/>
    <x v="3"/>
    <s v="Green"/>
    <x v="0"/>
    <s v="West"/>
    <s v="45-54"/>
    <n v="3591"/>
    <n v="3478"/>
    <n v="3269"/>
    <n v="267"/>
    <n v="100"/>
    <n v="8"/>
    <n v="615.11"/>
    <x v="186"/>
    <n v="0.93990799309948247"/>
    <n v="8.1676353624961756E-2"/>
    <n v="0.37453183520599254"/>
    <n v="0.08"/>
    <n v="2.4472315692872439E-3"/>
    <n v="6.1511000000000005"/>
    <n v="2.3037827715355808"/>
    <n v="19.814520979987318"/>
  </r>
  <r>
    <x v="36"/>
    <s v="CMP202602028"/>
    <s v="CUST100554"/>
    <x v="1"/>
    <s v="Green"/>
    <x v="0"/>
    <s v="East"/>
    <s v="25-34"/>
    <n v="3407"/>
    <n v="3273"/>
    <n v="3204"/>
    <n v="168"/>
    <n v="55"/>
    <n v="5"/>
    <n v="626.86"/>
    <x v="187"/>
    <n v="0.97891842346471125"/>
    <n v="5.2434456928838954E-2"/>
    <n v="0.32738095238095238"/>
    <n v="9.0909090909090912E-2"/>
    <n v="1.560549313358302E-3"/>
    <n v="11.397454545454545"/>
    <n v="3.7313095238095237"/>
    <n v="9.7810675429920568"/>
  </r>
  <r>
    <x v="36"/>
    <s v="CMP202602031"/>
    <s v="CUST101302"/>
    <x v="2"/>
    <s v="Red Non-Saleable"/>
    <x v="0"/>
    <s v="South"/>
    <s v="55+"/>
    <n v="4724"/>
    <n v="4461"/>
    <n v="4146"/>
    <n v="100"/>
    <n v="52"/>
    <n v="2"/>
    <n v="428.01"/>
    <x v="188"/>
    <n v="0.92938802958977806"/>
    <n v="2.4119633381572601E-2"/>
    <n v="0.52"/>
    <n v="3.8461538461538464E-2"/>
    <n v="4.8239266763145202E-4"/>
    <n v="8.2309615384615391"/>
    <n v="4.2801"/>
    <n v="2.1292259526646573"/>
  </r>
  <r>
    <x v="36"/>
    <s v="CMP202602033"/>
    <s v="CUST101268"/>
    <x v="2"/>
    <s v="Green"/>
    <x v="0"/>
    <s v="West"/>
    <s v="45-54"/>
    <n v="2344"/>
    <n v="1848"/>
    <n v="1746"/>
    <n v="115"/>
    <n v="64"/>
    <n v="4"/>
    <n v="140.19999999999999"/>
    <x v="189"/>
    <n v="0.94480519480519476"/>
    <n v="6.5864833906071021E-2"/>
    <n v="0.55652173913043479"/>
    <n v="6.25E-2"/>
    <n v="2.2909507445589921E-3"/>
    <n v="2.1906249999999998"/>
    <n v="1.2191304347826086"/>
    <n v="33.138873038516415"/>
  </r>
  <r>
    <x v="36"/>
    <s v="CMP202602052"/>
    <s v="CUST100478"/>
    <x v="3"/>
    <s v="Amber"/>
    <x v="0"/>
    <s v="Central"/>
    <s v="45-54"/>
    <n v="2174"/>
    <n v="1605"/>
    <n v="1509"/>
    <n v="102"/>
    <n v="53"/>
    <n v="3"/>
    <n v="239.19"/>
    <x v="190"/>
    <n v="0.94018691588785042"/>
    <n v="6.7594433399602388E-2"/>
    <n v="0.51960784313725494"/>
    <n v="5.6603773584905662E-2"/>
    <n v="1.9880715705765406E-3"/>
    <n v="4.5130188679245284"/>
    <n v="2.3450000000000002"/>
    <n v="11.988795518207283"/>
  </r>
  <r>
    <x v="36"/>
    <s v="CMP202602061"/>
    <s v="CUST101000"/>
    <x v="2"/>
    <s v="Green"/>
    <x v="0"/>
    <s v="North"/>
    <s v="45-54"/>
    <n v="4453"/>
    <n v="3932"/>
    <n v="3683"/>
    <n v="272"/>
    <n v="125"/>
    <n v="9"/>
    <n v="367.86"/>
    <x v="191"/>
    <n v="0.93667344862665314"/>
    <n v="7.3852837360847134E-2"/>
    <n v="0.45955882352941174"/>
    <n v="7.1999999999999995E-2"/>
    <n v="2.4436600597339125E-3"/>
    <n v="2.9428800000000002"/>
    <n v="1.3524264705882354"/>
    <n v="35.081987712716796"/>
  </r>
  <r>
    <x v="36"/>
    <s v="CMP202602061"/>
    <s v="CUST101142"/>
    <x v="3"/>
    <s v="Amber"/>
    <x v="0"/>
    <s v="North"/>
    <s v="55+"/>
    <n v="2751"/>
    <n v="2419"/>
    <n v="2274"/>
    <n v="133"/>
    <n v="64"/>
    <n v="2"/>
    <n v="430.4"/>
    <x v="192"/>
    <n v="0.9400578751550227"/>
    <n v="5.8487247141600703E-2"/>
    <n v="0.48120300751879697"/>
    <n v="3.125E-2"/>
    <n v="8.7950747581354446E-4"/>
    <n v="6.7249999999999996"/>
    <n v="3.2360902255639097"/>
    <n v="2.3536710037174724"/>
  </r>
  <r>
    <x v="36"/>
    <s v="CMP202602062"/>
    <s v="CUST100354"/>
    <x v="3"/>
    <s v="Amber"/>
    <x v="0"/>
    <s v="East"/>
    <s v="45-54"/>
    <n v="418"/>
    <n v="356"/>
    <n v="328"/>
    <n v="16"/>
    <n v="8"/>
    <n v="0"/>
    <n v="51.8"/>
    <x v="0"/>
    <n v="0.9213483146067416"/>
    <n v="4.878048780487805E-2"/>
    <n v="0.5"/>
    <n v="0"/>
    <n v="0"/>
    <n v="6.4749999999999996"/>
    <n v="3.2374999999999998"/>
    <n v="-1"/>
  </r>
  <r>
    <x v="37"/>
    <s v="CMP202602037"/>
    <s v="CUST101374"/>
    <x v="0"/>
    <s v="Amber"/>
    <x v="0"/>
    <s v="West"/>
    <s v="55+"/>
    <n v="3077"/>
    <n v="2531"/>
    <n v="2271"/>
    <n v="160"/>
    <n v="84"/>
    <n v="4"/>
    <n v="284.51"/>
    <x v="193"/>
    <n v="0.89727380482022912"/>
    <n v="7.0453544693967418E-2"/>
    <n v="0.52500000000000002"/>
    <n v="4.7619047619047616E-2"/>
    <n v="1.7613386173491853E-3"/>
    <n v="3.3870238095238094"/>
    <n v="1.7781875"/>
    <n v="10.904572774243437"/>
  </r>
  <r>
    <x v="37"/>
    <s v="CMP202602046"/>
    <s v="CUST100892"/>
    <x v="0"/>
    <s v="Red Non-Saleable"/>
    <x v="0"/>
    <s v="East"/>
    <s v="45-54"/>
    <n v="2385"/>
    <n v="2027"/>
    <n v="1879"/>
    <n v="47"/>
    <n v="23"/>
    <n v="0"/>
    <n v="215.17"/>
    <x v="0"/>
    <n v="0.92698569314257528"/>
    <n v="2.5013304949441192E-2"/>
    <n v="0.48936170212765956"/>
    <n v="0"/>
    <n v="0"/>
    <n v="9.3552173913043468"/>
    <n v="4.5780851063829786"/>
    <n v="-1"/>
  </r>
  <r>
    <x v="37"/>
    <s v="CMP202602064"/>
    <s v="CUST100934"/>
    <x v="2"/>
    <s v="Red Non-Saleable"/>
    <x v="0"/>
    <s v="South"/>
    <s v="45-54"/>
    <n v="2591"/>
    <n v="2531"/>
    <n v="2352"/>
    <n v="53"/>
    <n v="23"/>
    <n v="1"/>
    <n v="218.3"/>
    <x v="194"/>
    <n v="0.92927696562623474"/>
    <n v="2.2534013605442178E-2"/>
    <n v="0.43396226415094341"/>
    <n v="4.3478260869565216E-2"/>
    <n v="4.2517006802721087E-4"/>
    <n v="9.4913043478260875"/>
    <n v="4.1188679245283017"/>
    <n v="4.0158955565735228"/>
  </r>
  <r>
    <x v="38"/>
    <s v="CMP202602060"/>
    <s v="CUST100385"/>
    <x v="2"/>
    <s v="Green"/>
    <x v="0"/>
    <s v="West"/>
    <s v="18-24"/>
    <n v="500"/>
    <n v="386"/>
    <n v="363"/>
    <n v="24"/>
    <n v="10"/>
    <n v="1"/>
    <n v="27.67"/>
    <x v="195"/>
    <n v="0.94041450777202074"/>
    <n v="6.6115702479338845E-2"/>
    <n v="0.41666666666666669"/>
    <n v="0.1"/>
    <n v="2.7548209366391185E-3"/>
    <n v="2.7670000000000003"/>
    <n v="1.1529166666666668"/>
    <n v="54.033971810625218"/>
  </r>
  <r>
    <x v="39"/>
    <s v="CMP202602010"/>
    <s v="CUST101114"/>
    <x v="3"/>
    <s v="Red Non-Saleable"/>
    <x v="0"/>
    <s v="South"/>
    <s v="45-54"/>
    <n v="2490"/>
    <n v="1943"/>
    <n v="1771"/>
    <n v="40"/>
    <n v="20"/>
    <n v="0"/>
    <n v="339.62"/>
    <x v="0"/>
    <n v="0.91147709727225934"/>
    <n v="2.258610954263128E-2"/>
    <n v="0.5"/>
    <n v="0"/>
    <n v="0"/>
    <n v="16.981000000000002"/>
    <n v="8.4905000000000008"/>
    <n v="-1"/>
  </r>
  <r>
    <x v="39"/>
    <s v="CMP202602019"/>
    <s v="CUST100517"/>
    <x v="3"/>
    <s v="Green"/>
    <x v="1"/>
    <s v="West"/>
    <s v="45-54"/>
    <n v="4638"/>
    <n v="3504"/>
    <n v="3322"/>
    <n v="333"/>
    <n v="194"/>
    <n v="19"/>
    <n v="577.6"/>
    <x v="196"/>
    <n v="0.9480593607305936"/>
    <n v="0.10024081878386513"/>
    <n v="0.58258258258258255"/>
    <n v="9.7938144329896906E-2"/>
    <n v="5.7194461167971106E-3"/>
    <n v="2.9773195876288661"/>
    <n v="1.7345345345345347"/>
    <n v="28.045844875346262"/>
  </r>
  <r>
    <x v="39"/>
    <s v="CMP202602024"/>
    <s v="CUST101145"/>
    <x v="0"/>
    <s v="Green"/>
    <x v="1"/>
    <s v="North"/>
    <s v="35-44"/>
    <n v="2699"/>
    <n v="2187"/>
    <n v="2013"/>
    <n v="187"/>
    <n v="117"/>
    <n v="12"/>
    <n v="228.69"/>
    <x v="197"/>
    <n v="0.92043895747599447"/>
    <n v="9.2896174863387984E-2"/>
    <n v="0.62566844919786091"/>
    <n v="0.10256410256410256"/>
    <n v="5.9612518628912071E-3"/>
    <n v="1.9546153846153846"/>
    <n v="1.2229411764705882"/>
    <n v="59.268048449866633"/>
  </r>
  <r>
    <x v="39"/>
    <s v="CMP202602034"/>
    <s v="CUST100335"/>
    <x v="1"/>
    <s v="Red Non-Saleable"/>
    <x v="0"/>
    <s v="East"/>
    <s v="55+"/>
    <n v="637"/>
    <n v="471"/>
    <n v="459"/>
    <n v="3"/>
    <n v="1"/>
    <n v="0"/>
    <n v="86.11"/>
    <x v="0"/>
    <n v="0.97452229299363058"/>
    <n v="6.5359477124183009E-3"/>
    <n v="0.33333333333333331"/>
    <n v="0"/>
    <n v="0"/>
    <n v="86.11"/>
    <n v="28.703333333333333"/>
    <n v="-1"/>
  </r>
  <r>
    <x v="39"/>
    <s v="CMP202602053"/>
    <s v="CUST101435"/>
    <x v="2"/>
    <s v="Red Non-Saleable"/>
    <x v="1"/>
    <s v="West"/>
    <s v="35-44"/>
    <n v="1728"/>
    <n v="1490"/>
    <n v="1415"/>
    <n v="28"/>
    <n v="18"/>
    <n v="0"/>
    <n v="111.63"/>
    <x v="0"/>
    <n v="0.94966442953020136"/>
    <n v="1.9787985865724382E-2"/>
    <n v="0.6428571428571429"/>
    <n v="0"/>
    <n v="0"/>
    <n v="6.2016666666666662"/>
    <n v="3.9867857142857139"/>
    <n v="-1"/>
  </r>
  <r>
    <x v="40"/>
    <s v="CMP202602002"/>
    <s v="CUST100092"/>
    <x v="2"/>
    <s v="Red Non-Saleable"/>
    <x v="0"/>
    <s v="South"/>
    <s v="35-44"/>
    <n v="4328"/>
    <n v="4291"/>
    <n v="4086"/>
    <n v="25"/>
    <n v="13"/>
    <n v="0"/>
    <n v="307.51"/>
    <x v="0"/>
    <n v="0.95222558844092287"/>
    <n v="6.1184532550171318E-3"/>
    <n v="0.52"/>
    <n v="0"/>
    <n v="0"/>
    <n v="23.654615384615383"/>
    <n v="12.3004"/>
    <n v="-1"/>
  </r>
  <r>
    <x v="40"/>
    <s v="CMP202602013"/>
    <s v="CUST100895"/>
    <x v="1"/>
    <s v="Red Non-Saleable"/>
    <x v="1"/>
    <s v="West"/>
    <s v="25-34"/>
    <n v="2287"/>
    <n v="1773"/>
    <n v="1740"/>
    <n v="12"/>
    <n v="6"/>
    <n v="0"/>
    <n v="366.68"/>
    <x v="0"/>
    <n v="0.9813874788494078"/>
    <n v="6.8965517241379309E-3"/>
    <n v="0.5"/>
    <n v="0"/>
    <n v="0"/>
    <n v="61.113333333333337"/>
    <n v="30.556666666666668"/>
    <n v="-1"/>
  </r>
  <r>
    <x v="40"/>
    <s v="CMP202602031"/>
    <s v="CUST101355"/>
    <x v="2"/>
    <s v="Red Non-Saleable"/>
    <x v="0"/>
    <s v="North"/>
    <s v="25-34"/>
    <n v="4590"/>
    <n v="4112"/>
    <n v="3879"/>
    <n v="93"/>
    <n v="44"/>
    <n v="0"/>
    <n v="289.56"/>
    <x v="0"/>
    <n v="0.94333657587548636"/>
    <n v="2.3975251353441609E-2"/>
    <n v="0.4731182795698925"/>
    <n v="0"/>
    <n v="0"/>
    <n v="6.580909090909091"/>
    <n v="3.1135483870967744"/>
    <n v="-1"/>
  </r>
  <r>
    <x v="40"/>
    <s v="CMP202602033"/>
    <s v="CUST100005"/>
    <x v="3"/>
    <s v="Red Non-Saleable"/>
    <x v="0"/>
    <s v="Central"/>
    <s v="35-44"/>
    <n v="3131"/>
    <n v="2813"/>
    <n v="2613"/>
    <n v="67"/>
    <n v="33"/>
    <n v="0"/>
    <n v="471.01"/>
    <x v="0"/>
    <n v="0.92890152861713471"/>
    <n v="2.564102564102564E-2"/>
    <n v="0.4925373134328358"/>
    <n v="0"/>
    <n v="0"/>
    <n v="14.273030303030303"/>
    <n v="7.03"/>
    <n v="-1"/>
  </r>
  <r>
    <x v="40"/>
    <s v="CMP202602044"/>
    <s v="CUST101112"/>
    <x v="0"/>
    <s v="Red Saleable"/>
    <x v="0"/>
    <s v="South"/>
    <s v="25-34"/>
    <n v="1965"/>
    <n v="1684"/>
    <n v="1527"/>
    <n v="50"/>
    <n v="28"/>
    <n v="1"/>
    <n v="177.15"/>
    <x v="198"/>
    <n v="0.90676959619952491"/>
    <n v="3.274394237066143E-2"/>
    <n v="0.56000000000000005"/>
    <n v="3.5714285714285712E-2"/>
    <n v="6.5487884741322858E-4"/>
    <n v="6.3267857142857142"/>
    <n v="3.5430000000000001"/>
    <n v="4.2430143945808636"/>
  </r>
  <r>
    <x v="40"/>
    <s v="CMP202602062"/>
    <s v="CUST100929"/>
    <x v="3"/>
    <s v="Green"/>
    <x v="1"/>
    <s v="East"/>
    <s v="35-44"/>
    <n v="2132"/>
    <n v="1712"/>
    <n v="1610"/>
    <n v="159"/>
    <n v="102"/>
    <n v="11"/>
    <n v="290.07"/>
    <x v="199"/>
    <n v="0.94042056074766356"/>
    <n v="9.8757763975155274E-2"/>
    <n v="0.64150943396226412"/>
    <n v="0.10784313725490197"/>
    <n v="6.8322981366459624E-3"/>
    <n v="2.8438235294117646"/>
    <n v="1.8243396226415094"/>
    <n v="38.250836005102215"/>
  </r>
  <r>
    <x v="41"/>
    <s v="CMP202602005"/>
    <s v="CUST101412"/>
    <x v="3"/>
    <s v="Amber"/>
    <x v="0"/>
    <s v="South"/>
    <s v="45-54"/>
    <n v="692"/>
    <n v="692"/>
    <n v="631"/>
    <n v="35"/>
    <n v="18"/>
    <n v="1"/>
    <n v="93.23"/>
    <x v="200"/>
    <n v="0.91184971098265899"/>
    <n v="5.5467511885895403E-2"/>
    <n v="0.51428571428571423"/>
    <n v="5.5555555555555552E-2"/>
    <n v="1.5847860538827259E-3"/>
    <n v="5.179444444444445"/>
    <n v="2.6637142857142857"/>
    <n v="6.2918588437198331"/>
  </r>
  <r>
    <x v="41"/>
    <s v="CMP202602010"/>
    <s v="CUST100355"/>
    <x v="0"/>
    <s v="Green"/>
    <x v="0"/>
    <s v="West"/>
    <s v="45-54"/>
    <n v="3138"/>
    <n v="2718"/>
    <n v="2526"/>
    <n v="209"/>
    <n v="112"/>
    <n v="7"/>
    <n v="329.41"/>
    <x v="201"/>
    <n v="0.92935982339955847"/>
    <n v="8.2739509105304823E-2"/>
    <n v="0.53588516746411485"/>
    <n v="6.25E-2"/>
    <n v="2.7711797307996833E-3"/>
    <n v="2.9411607142857146"/>
    <n v="1.5761244019138758"/>
    <n v="19.996569624480127"/>
  </r>
  <r>
    <x v="41"/>
    <s v="CMP202602032"/>
    <s v="CUST100398"/>
    <x v="3"/>
    <s v="Amber"/>
    <x v="0"/>
    <s v="West"/>
    <s v="25-34"/>
    <n v="4135"/>
    <n v="2985"/>
    <n v="2819"/>
    <n v="163"/>
    <n v="75"/>
    <n v="4"/>
    <n v="504.4"/>
    <x v="202"/>
    <n v="0.94438860971524285"/>
    <n v="5.782192266761263E-2"/>
    <n v="0.46012269938650308"/>
    <n v="5.3333333333333337E-2"/>
    <n v="1.4189428875487761E-3"/>
    <n v="6.7253333333333334"/>
    <n v="3.0944785276073619"/>
    <n v="8.0644924662965902"/>
  </r>
  <r>
    <x v="41"/>
    <s v="CMP202602074"/>
    <s v="CUST100307"/>
    <x v="3"/>
    <s v="Amber"/>
    <x v="0"/>
    <s v="East"/>
    <s v="18-24"/>
    <n v="598"/>
    <n v="483"/>
    <n v="439"/>
    <n v="22"/>
    <n v="10"/>
    <n v="1"/>
    <n v="85.28"/>
    <x v="203"/>
    <n v="0.90890269151138714"/>
    <n v="5.011389521640091E-2"/>
    <n v="0.45454545454545453"/>
    <n v="0.1"/>
    <n v="2.2779043280182231E-3"/>
    <n v="8.5280000000000005"/>
    <n v="3.8763636363636365"/>
    <n v="9.4679878048780495"/>
  </r>
  <r>
    <x v="42"/>
    <s v="CMP202602008"/>
    <s v="CUST100268"/>
    <x v="1"/>
    <s v="Green"/>
    <x v="0"/>
    <s v="Central"/>
    <s v="25-34"/>
    <n v="3251"/>
    <n v="2750"/>
    <n v="2675"/>
    <n v="122"/>
    <n v="29"/>
    <n v="2"/>
    <n v="478.69"/>
    <x v="204"/>
    <n v="0.97272727272727277"/>
    <n v="4.5607476635514017E-2"/>
    <n v="0.23770491803278687"/>
    <n v="6.8965517241379309E-2"/>
    <n v="7.4766355140186912E-4"/>
    <n v="16.506551724137932"/>
    <n v="3.923688524590164"/>
    <n v="3.518728195700767"/>
  </r>
  <r>
    <x v="42"/>
    <s v="CMP202602017"/>
    <s v="CUST100120"/>
    <x v="1"/>
    <s v="Red Non-Saleable"/>
    <x v="0"/>
    <s v="Central"/>
    <s v="45-54"/>
    <n v="4727"/>
    <n v="3871"/>
    <n v="3659"/>
    <n v="11"/>
    <n v="5"/>
    <n v="0"/>
    <n v="637.42999999999995"/>
    <x v="0"/>
    <n v="0.94523378971841898"/>
    <n v="3.0062858704564088E-3"/>
    <n v="0.45454545454545453"/>
    <n v="0"/>
    <n v="0"/>
    <n v="127.48599999999999"/>
    <n v="57.948181818181816"/>
    <n v="-1"/>
  </r>
  <r>
    <x v="42"/>
    <s v="CMP202602043"/>
    <s v="CUST100101"/>
    <x v="1"/>
    <s v="Red Non-Saleable"/>
    <x v="1"/>
    <s v="Central"/>
    <s v="55+"/>
    <n v="806"/>
    <n v="678"/>
    <n v="652"/>
    <n v="13"/>
    <n v="6"/>
    <n v="0"/>
    <n v="124.2"/>
    <x v="0"/>
    <n v="0.96165191740412981"/>
    <n v="1.9938650306748466E-2"/>
    <n v="0.46153846153846156"/>
    <n v="0"/>
    <n v="0"/>
    <n v="20.7"/>
    <n v="9.5538461538461537"/>
    <n v="-1"/>
  </r>
  <r>
    <x v="43"/>
    <s v="CMP202602010"/>
    <s v="CUST101161"/>
    <x v="0"/>
    <s v="Red Saleable"/>
    <x v="0"/>
    <s v="East"/>
    <s v="25-34"/>
    <n v="1204"/>
    <n v="1019"/>
    <n v="899"/>
    <n v="18"/>
    <n v="9"/>
    <n v="0"/>
    <n v="130.88"/>
    <x v="0"/>
    <n v="0.88223748773307165"/>
    <n v="2.0022246941045607E-2"/>
    <n v="0.5"/>
    <n v="0"/>
    <n v="0"/>
    <n v="14.542222222222222"/>
    <n v="7.2711111111111109"/>
    <n v="-1"/>
  </r>
  <r>
    <x v="43"/>
    <s v="CMP202602011"/>
    <s v="CUST100985"/>
    <x v="2"/>
    <s v="Amber"/>
    <x v="0"/>
    <s v="Central"/>
    <s v="25-34"/>
    <n v="3121"/>
    <n v="3111"/>
    <n v="2891"/>
    <n v="141"/>
    <n v="65"/>
    <n v="3"/>
    <n v="241.65"/>
    <x v="205"/>
    <n v="0.92928318868531024"/>
    <n v="4.8772051193358701E-2"/>
    <n v="0.46099290780141844"/>
    <n v="4.6153846153846156E-2"/>
    <n v="1.0377032168799724E-3"/>
    <n v="3.7176923076923076"/>
    <n v="1.7138297872340427"/>
    <n v="10.765321746327333"/>
  </r>
  <r>
    <x v="43"/>
    <s v="CMP202602035"/>
    <s v="CUST100025"/>
    <x v="2"/>
    <s v="Green"/>
    <x v="0"/>
    <s v="South"/>
    <s v="25-34"/>
    <n v="1175"/>
    <n v="973"/>
    <n v="898"/>
    <n v="70"/>
    <n v="31"/>
    <n v="1"/>
    <n v="85.04"/>
    <x v="206"/>
    <n v="0.92291880781089419"/>
    <n v="7.7951002227171495E-2"/>
    <n v="0.44285714285714284"/>
    <n v="3.2258064516129031E-2"/>
    <n v="1.1135857461024498E-3"/>
    <n v="2.7432258064516133"/>
    <n v="1.2148571428571429"/>
    <n v="11.230832549388522"/>
  </r>
  <r>
    <x v="43"/>
    <s v="CMP202602067"/>
    <s v="CUST100592"/>
    <x v="2"/>
    <s v="Red Saleable"/>
    <x v="0"/>
    <s v="Central"/>
    <s v="25-34"/>
    <n v="1247"/>
    <n v="1125"/>
    <n v="1040"/>
    <n v="22"/>
    <n v="9"/>
    <n v="0"/>
    <n v="89.44"/>
    <x v="0"/>
    <n v="0.9244444444444444"/>
    <n v="2.1153846153846155E-2"/>
    <n v="0.40909090909090912"/>
    <n v="0"/>
    <n v="0"/>
    <n v="9.9377777777777769"/>
    <n v="4.0654545454545454"/>
    <n v="-1"/>
  </r>
  <r>
    <x v="44"/>
    <s v="CMP202602001"/>
    <s v="CUST101311"/>
    <x v="1"/>
    <s v="Amber"/>
    <x v="0"/>
    <s v="Central"/>
    <s v="35-44"/>
    <n v="2739"/>
    <n v="2096"/>
    <n v="2003"/>
    <n v="63"/>
    <n v="26"/>
    <n v="1"/>
    <n v="360.19"/>
    <x v="207"/>
    <n v="0.95562977099236646"/>
    <n v="3.1452820768846729E-2"/>
    <n v="0.41269841269841268"/>
    <n v="3.8461538461538464E-2"/>
    <n v="4.992511233150275E-4"/>
    <n v="13.853461538461538"/>
    <n v="5.7173015873015869"/>
    <n v="1.4828840334268023"/>
  </r>
  <r>
    <x v="44"/>
    <s v="CMP202602013"/>
    <s v="CUST101177"/>
    <x v="3"/>
    <s v="Green"/>
    <x v="1"/>
    <s v="South"/>
    <s v="18-24"/>
    <n v="1820"/>
    <n v="1564"/>
    <n v="1481"/>
    <n v="154"/>
    <n v="91"/>
    <n v="8"/>
    <n v="266.39"/>
    <x v="208"/>
    <n v="0.94693094629156005"/>
    <n v="0.10398379473328832"/>
    <n v="0.59090909090909094"/>
    <n v="8.7912087912087919E-2"/>
    <n v="5.4017555705604325E-3"/>
    <n v="2.9273626373626374"/>
    <n v="1.7298051948051947"/>
    <n v="46.265663125492708"/>
  </r>
  <r>
    <x v="44"/>
    <s v="CMP202602022"/>
    <s v="CUST100270"/>
    <x v="0"/>
    <s v="Red Non-Saleable"/>
    <x v="0"/>
    <s v="East"/>
    <s v="45-54"/>
    <n v="1331"/>
    <n v="1004"/>
    <n v="918"/>
    <n v="11"/>
    <n v="6"/>
    <n v="0"/>
    <n v="108.36"/>
    <x v="0"/>
    <n v="0.91434262948207168"/>
    <n v="1.1982570806100218E-2"/>
    <n v="0.54545454545454541"/>
    <n v="0"/>
    <n v="0"/>
    <n v="18.059999999999999"/>
    <n v="9.8509090909090915"/>
    <n v="-1"/>
  </r>
  <r>
    <x v="44"/>
    <s v="CMP202602029"/>
    <s v="CUST100183"/>
    <x v="0"/>
    <s v="Amber"/>
    <x v="0"/>
    <s v="North"/>
    <s v="25-34"/>
    <n v="3676"/>
    <n v="3416"/>
    <n v="3073"/>
    <n v="174"/>
    <n v="92"/>
    <n v="5"/>
    <n v="359.28"/>
    <x v="209"/>
    <n v="0.89959016393442626"/>
    <n v="5.6622193296452974E-2"/>
    <n v="0.52873563218390807"/>
    <n v="5.434782608695652E-2"/>
    <n v="1.6270745200130166E-3"/>
    <n v="3.9052173913043475"/>
    <n v="2.0648275862068965"/>
    <n v="12.117123135159209"/>
  </r>
  <r>
    <x v="44"/>
    <s v="CMP202602063"/>
    <s v="CUST100689"/>
    <x v="3"/>
    <s v="Red Non-Saleable"/>
    <x v="0"/>
    <s v="Central"/>
    <s v="18-24"/>
    <n v="1897"/>
    <n v="1531"/>
    <n v="1374"/>
    <n v="14"/>
    <n v="7"/>
    <n v="0"/>
    <n v="202.33"/>
    <x v="0"/>
    <n v="0.89745264532984981"/>
    <n v="1.0189228529839884E-2"/>
    <n v="0.5"/>
    <n v="0"/>
    <n v="0"/>
    <n v="28.904285714285717"/>
    <n v="14.452142857142858"/>
    <n v="-1"/>
  </r>
  <r>
    <x v="45"/>
    <s v="CMP202602004"/>
    <s v="CUST101426"/>
    <x v="2"/>
    <s v="Red Saleable"/>
    <x v="0"/>
    <s v="West"/>
    <s v="55+"/>
    <n v="2676"/>
    <n v="2273"/>
    <n v="2173"/>
    <n v="83"/>
    <n v="36"/>
    <n v="1"/>
    <n v="199.68"/>
    <x v="210"/>
    <n v="0.95600527936647606"/>
    <n v="3.8196042337781871E-2"/>
    <n v="0.43373493975903615"/>
    <n v="2.7777777777777776E-2"/>
    <n v="4.6019328117809482E-4"/>
    <n v="5.5466666666666669"/>
    <n v="2.4057831325301207"/>
    <n v="6.0859875801282053"/>
  </r>
  <r>
    <x v="45"/>
    <s v="CMP202602028"/>
    <s v="CUST100595"/>
    <x v="1"/>
    <s v="Red Non-Saleable"/>
    <x v="0"/>
    <s v="Central"/>
    <s v="55+"/>
    <n v="2337"/>
    <n v="2283"/>
    <n v="2205"/>
    <n v="11"/>
    <n v="4"/>
    <n v="0"/>
    <n v="380.12"/>
    <x v="0"/>
    <n v="0.9658344283837057"/>
    <n v="4.9886621315192742E-3"/>
    <n v="0.36363636363636365"/>
    <n v="0"/>
    <n v="0"/>
    <n v="95.03"/>
    <n v="34.556363636363635"/>
    <n v="-1"/>
  </r>
  <r>
    <x v="45"/>
    <s v="CMP202602051"/>
    <s v="CUST100064"/>
    <x v="2"/>
    <s v="Green"/>
    <x v="1"/>
    <s v="Central"/>
    <s v="45-54"/>
    <n v="4524"/>
    <n v="3750"/>
    <n v="3473"/>
    <n v="288"/>
    <n v="152"/>
    <n v="16"/>
    <n v="314.47000000000003"/>
    <x v="211"/>
    <n v="0.92613333333333336"/>
    <n v="8.2925424704866108E-2"/>
    <n v="0.52777777777777779"/>
    <n v="0.10526315789473684"/>
    <n v="4.6069680391592283E-3"/>
    <n v="2.0688815789473685"/>
    <n v="1.0919097222222223"/>
    <n v="62.441568353102042"/>
  </r>
  <r>
    <x v="45"/>
    <s v="CMP202602060"/>
    <s v="CUST101123"/>
    <x v="1"/>
    <s v="Green"/>
    <x v="0"/>
    <s v="East"/>
    <s v="45-54"/>
    <n v="2343"/>
    <n v="2150"/>
    <n v="2035"/>
    <n v="92"/>
    <n v="35"/>
    <n v="2"/>
    <n v="335.12"/>
    <x v="212"/>
    <n v="0.94651162790697674"/>
    <n v="4.5208845208845209E-2"/>
    <n v="0.38043478260869568"/>
    <n v="5.7142857142857141E-2"/>
    <n v="9.8280098280098278E-4"/>
    <n v="9.5748571428571427"/>
    <n v="3.6426086956521742"/>
    <n v="8.1688350441632842"/>
  </r>
  <r>
    <x v="45"/>
    <s v="CMP202602069"/>
    <s v="CUST100034"/>
    <x v="2"/>
    <s v="Red Non-Saleable"/>
    <x v="0"/>
    <s v="South"/>
    <s v="25-34"/>
    <n v="409"/>
    <n v="401"/>
    <n v="376"/>
    <n v="5"/>
    <n v="2"/>
    <n v="0"/>
    <n v="31.54"/>
    <x v="0"/>
    <n v="0.93765586034912718"/>
    <n v="1.3297872340425532E-2"/>
    <n v="0.4"/>
    <n v="0"/>
    <n v="0"/>
    <n v="15.77"/>
    <n v="6.3079999999999998"/>
    <n v="-1"/>
  </r>
  <r>
    <x v="45"/>
    <s v="CMP202602078"/>
    <s v="CUST101262"/>
    <x v="0"/>
    <s v="Green"/>
    <x v="1"/>
    <s v="North"/>
    <s v="55+"/>
    <n v="3976"/>
    <n v="3161"/>
    <n v="2845"/>
    <n v="304"/>
    <n v="196"/>
    <n v="20"/>
    <n v="400.5"/>
    <x v="213"/>
    <n v="0.90003163555836763"/>
    <n v="0.10685413005272408"/>
    <n v="0.64473684210526316"/>
    <n v="0.10204081632653061"/>
    <n v="7.0298769771528994E-3"/>
    <n v="2.0433673469387754"/>
    <n v="1.3174342105263157"/>
    <n v="56.204794007490641"/>
  </r>
  <r>
    <x v="46"/>
    <s v="CMP202602022"/>
    <s v="CUST101290"/>
    <x v="1"/>
    <s v="Green"/>
    <x v="1"/>
    <s v="Central"/>
    <s v="18-24"/>
    <n v="1069"/>
    <n v="1010"/>
    <n v="969"/>
    <n v="56"/>
    <n v="23"/>
    <n v="2"/>
    <n v="207.94"/>
    <x v="214"/>
    <n v="0.95940594059405937"/>
    <n v="5.7791537667698657E-2"/>
    <n v="0.4107142857142857"/>
    <n v="8.6956521739130432E-2"/>
    <n v="2.0639834881320948E-3"/>
    <n v="9.0408695652173918"/>
    <n v="3.7132142857142858"/>
    <n v="13.658266807733"/>
  </r>
  <r>
    <x v="46"/>
    <s v="CMP202602029"/>
    <s v="CUST101129"/>
    <x v="3"/>
    <s v="Red Non-Saleable"/>
    <x v="1"/>
    <s v="West"/>
    <s v="18-24"/>
    <n v="4370"/>
    <n v="3481"/>
    <n v="3286"/>
    <n v="46"/>
    <n v="30"/>
    <n v="0"/>
    <n v="599.45000000000005"/>
    <x v="0"/>
    <n v="0.94398161447859807"/>
    <n v="1.399878271454656E-2"/>
    <n v="0.65217391304347827"/>
    <n v="0"/>
    <n v="0"/>
    <n v="19.981666666666669"/>
    <n v="13.031521739130437"/>
    <n v="-1"/>
  </r>
  <r>
    <x v="46"/>
    <s v="CMP202602063"/>
    <s v="CUST101061"/>
    <x v="3"/>
    <s v="Red Saleable"/>
    <x v="1"/>
    <s v="East"/>
    <s v="55+"/>
    <n v="4870"/>
    <n v="3913"/>
    <n v="3653"/>
    <n v="135"/>
    <n v="79"/>
    <n v="7"/>
    <n v="583.11"/>
    <x v="215"/>
    <n v="0.93355481727574752"/>
    <n v="3.6955926635641935E-2"/>
    <n v="0.58518518518518514"/>
    <n v="8.8607594936708861E-2"/>
    <n v="1.9162332329592116E-3"/>
    <n v="7.3811392405063296"/>
    <n v="4.3193333333333337"/>
    <n v="10.04398826979472"/>
  </r>
  <r>
    <x v="46"/>
    <s v="CMP202602074"/>
    <s v="CUST100093"/>
    <x v="2"/>
    <s v="Red Non-Saleable"/>
    <x v="0"/>
    <s v="Central"/>
    <s v="25-34"/>
    <n v="3291"/>
    <n v="3133"/>
    <n v="2872"/>
    <n v="37"/>
    <n v="19"/>
    <n v="1"/>
    <n v="227.7"/>
    <x v="216"/>
    <n v="0.91669326524098305"/>
    <n v="1.2883008356545961E-2"/>
    <n v="0.51351351351351349"/>
    <n v="5.2631578947368418E-2"/>
    <n v="3.4818941504178273E-4"/>
    <n v="11.984210526315788"/>
    <n v="6.154054054054054"/>
    <n v="2.0303030303030303"/>
  </r>
  <r>
    <x v="46"/>
    <s v="CMP202602075"/>
    <s v="CUST100131"/>
    <x v="2"/>
    <s v="Amber"/>
    <x v="1"/>
    <s v="South"/>
    <s v="25-34"/>
    <n v="3871"/>
    <n v="3007"/>
    <n v="2843"/>
    <n v="197"/>
    <n v="118"/>
    <n v="7"/>
    <n v="253.8"/>
    <x v="217"/>
    <n v="0.94546059195211174"/>
    <n v="6.9293000351741116E-2"/>
    <n v="0.59898477157360408"/>
    <n v="5.9322033898305086E-2"/>
    <n v="2.4621878297572987E-3"/>
    <n v="2.1508474576271186"/>
    <n v="1.2883248730964467"/>
    <n v="32.337391646966118"/>
  </r>
  <r>
    <x v="47"/>
    <s v="CMP202602017"/>
    <s v="CUST100016"/>
    <x v="2"/>
    <s v="Green"/>
    <x v="0"/>
    <s v="East"/>
    <s v="45-54"/>
    <n v="2605"/>
    <n v="2571"/>
    <n v="2408"/>
    <n v="176"/>
    <n v="83"/>
    <n v="6"/>
    <n v="244.2"/>
    <x v="218"/>
    <n v="0.93660054453520036"/>
    <n v="7.3089700996677748E-2"/>
    <n v="0.47159090909090912"/>
    <n v="7.2289156626506021E-2"/>
    <n v="2.4916943521594683E-3"/>
    <n v="2.9421686746987952"/>
    <n v="1.3875"/>
    <n v="35.665765765765769"/>
  </r>
  <r>
    <x v="47"/>
    <s v="CMP202602034"/>
    <s v="CUST100548"/>
    <x v="2"/>
    <s v="Red Saleable"/>
    <x v="0"/>
    <s v="East"/>
    <s v="35-44"/>
    <n v="1789"/>
    <n v="1680"/>
    <n v="1563"/>
    <n v="21"/>
    <n v="8"/>
    <n v="0"/>
    <n v="116.7"/>
    <x v="0"/>
    <n v="0.93035714285714288"/>
    <n v="1.3435700575815739E-2"/>
    <n v="0.38095238095238093"/>
    <n v="0"/>
    <n v="0"/>
    <n v="14.5875"/>
    <n v="5.5571428571428569"/>
    <n v="-1"/>
  </r>
  <r>
    <x v="47"/>
    <s v="CMP202602043"/>
    <s v="CUST101242"/>
    <x v="3"/>
    <s v="Red Saleable"/>
    <x v="1"/>
    <s v="South"/>
    <s v="55+"/>
    <n v="2923"/>
    <n v="2590"/>
    <n v="2511"/>
    <n v="130"/>
    <n v="87"/>
    <n v="5"/>
    <n v="419.46"/>
    <x v="219"/>
    <n v="0.96949806949806949"/>
    <n v="5.1772202309836715E-2"/>
    <n v="0.66923076923076918"/>
    <n v="5.7471264367816091E-2"/>
    <n v="1.9912385503783351E-3"/>
    <n v="4.8213793103448275"/>
    <n v="3.2266153846153847"/>
    <n v="16.107352310113004"/>
  </r>
  <r>
    <x v="47"/>
    <s v="CMP202602046"/>
    <s v="CUST100974"/>
    <x v="3"/>
    <s v="Amber"/>
    <x v="0"/>
    <s v="West"/>
    <s v="35-44"/>
    <n v="3475"/>
    <n v="3390"/>
    <n v="3156"/>
    <n v="174"/>
    <n v="82"/>
    <n v="4"/>
    <n v="511"/>
    <x v="220"/>
    <n v="0.93097345132743359"/>
    <n v="5.5133079847908745E-2"/>
    <n v="0.47126436781609193"/>
    <n v="4.878048780487805E-2"/>
    <n v="1.2674271229404308E-3"/>
    <n v="6.2317073170731705"/>
    <n v="2.9367816091954024"/>
    <n v="7.5422309197651662"/>
  </r>
  <r>
    <x v="47"/>
    <s v="CMP202602057"/>
    <s v="CUST100221"/>
    <x v="2"/>
    <s v="Green"/>
    <x v="0"/>
    <s v="East"/>
    <s v="45-54"/>
    <n v="3272"/>
    <n v="3255"/>
    <n v="3098"/>
    <n v="137"/>
    <n v="57"/>
    <n v="4"/>
    <n v="287.8"/>
    <x v="221"/>
    <n v="0.95176651305683568"/>
    <n v="4.4222078760490641E-2"/>
    <n v="0.41605839416058393"/>
    <n v="7.0175438596491224E-2"/>
    <n v="1.2911555842479018E-3"/>
    <n v="5.049122807017544"/>
    <n v="2.1007299270072992"/>
    <n v="16.69471855455177"/>
  </r>
  <r>
    <x v="47"/>
    <s v="CMP202602062"/>
    <s v="CUST100241"/>
    <x v="0"/>
    <s v="Amber"/>
    <x v="0"/>
    <s v="Central"/>
    <s v="55+"/>
    <n v="1248"/>
    <n v="1184"/>
    <n v="1108"/>
    <n v="64"/>
    <n v="36"/>
    <n v="2"/>
    <n v="140.80000000000001"/>
    <x v="222"/>
    <n v="0.93581081081081086"/>
    <n v="5.7761732851985562E-2"/>
    <n v="0.5625"/>
    <n v="5.5555555555555552E-2"/>
    <n v="1.8050541516245488E-3"/>
    <n v="3.9111111111111114"/>
    <n v="2.2000000000000002"/>
    <n v="19.258380681818181"/>
  </r>
  <r>
    <x v="47"/>
    <s v="CMP202602077"/>
    <s v="CUST101033"/>
    <x v="0"/>
    <s v="Green"/>
    <x v="1"/>
    <s v="South"/>
    <s v="55+"/>
    <n v="2007"/>
    <n v="1479"/>
    <n v="1344"/>
    <n v="146"/>
    <n v="112"/>
    <n v="11"/>
    <n v="179.28"/>
    <x v="223"/>
    <n v="0.90872210953346855"/>
    <n v="0.10863095238095238"/>
    <n v="0.76712328767123283"/>
    <n v="9.8214285714285712E-2"/>
    <n v="8.1845238095238099E-3"/>
    <n v="1.6007142857142858"/>
    <n v="1.227945205479452"/>
    <n v="67.473282016956702"/>
  </r>
  <r>
    <x v="48"/>
    <s v="CMP202602035"/>
    <s v="CUST101125"/>
    <x v="0"/>
    <s v="Amber"/>
    <x v="0"/>
    <s v="South"/>
    <s v="55+"/>
    <n v="2699"/>
    <n v="2461"/>
    <n v="2236"/>
    <n v="138"/>
    <n v="68"/>
    <n v="4"/>
    <n v="343.93"/>
    <x v="224"/>
    <n v="0.90857375050792366"/>
    <n v="6.1717352415026835E-2"/>
    <n v="0.49275362318840582"/>
    <n v="5.8823529411764705E-2"/>
    <n v="1.7889087656529517E-3"/>
    <n v="5.0577941176470587"/>
    <n v="2.4922463768115941"/>
    <n v="13.756549297822231"/>
  </r>
  <r>
    <x v="48"/>
    <s v="CMP202602041"/>
    <s v="CUST100454"/>
    <x v="0"/>
    <s v="Red Saleable"/>
    <x v="0"/>
    <s v="Central"/>
    <s v="25-34"/>
    <n v="4509"/>
    <n v="3903"/>
    <n v="3466"/>
    <n v="155"/>
    <n v="79"/>
    <n v="1"/>
    <n v="530.34"/>
    <x v="225"/>
    <n v="0.88803484499103258"/>
    <n v="4.4720138488170802E-2"/>
    <n v="0.50967741935483868"/>
    <n v="1.2658227848101266E-2"/>
    <n v="2.8851702250432774E-4"/>
    <n v="6.7131645569620257"/>
    <n v="3.4215483870967742"/>
    <n v="0.30084474110947684"/>
  </r>
  <r>
    <x v="48"/>
    <s v="CMP202602045"/>
    <s v="CUST100285"/>
    <x v="1"/>
    <s v="Amber"/>
    <x v="0"/>
    <s v="North"/>
    <s v="45-54"/>
    <n v="1146"/>
    <n v="1136"/>
    <n v="1080"/>
    <n v="37"/>
    <n v="14"/>
    <n v="0"/>
    <n v="185.4"/>
    <x v="0"/>
    <n v="0.95070422535211263"/>
    <n v="3.425925925925926E-2"/>
    <n v="0.3783783783783784"/>
    <n v="0"/>
    <n v="0"/>
    <n v="13.242857142857144"/>
    <n v="5.0108108108108107"/>
    <n v="-1"/>
  </r>
  <r>
    <x v="48"/>
    <s v="CMP202602072"/>
    <s v="CUST100310"/>
    <x v="2"/>
    <s v="Amber"/>
    <x v="0"/>
    <s v="North"/>
    <s v="45-54"/>
    <n v="1977"/>
    <n v="1726"/>
    <n v="1604"/>
    <n v="91"/>
    <n v="39"/>
    <n v="2"/>
    <n v="119.97"/>
    <x v="226"/>
    <n v="0.92931633835457705"/>
    <n v="5.6733167082294263E-2"/>
    <n v="0.42857142857142855"/>
    <n v="5.128205128205128E-2"/>
    <n v="1.2468827930174563E-3"/>
    <n v="3.0761538461538462"/>
    <n v="1.3183516483516484"/>
    <n v="18.763024089355671"/>
  </r>
  <r>
    <x v="48"/>
    <s v="CMP202602072"/>
    <s v="CUST100996"/>
    <x v="0"/>
    <s v="Green"/>
    <x v="0"/>
    <s v="South"/>
    <s v="55+"/>
    <n v="3753"/>
    <n v="3106"/>
    <n v="2866"/>
    <n v="239"/>
    <n v="117"/>
    <n v="8"/>
    <n v="438.27"/>
    <x v="227"/>
    <n v="0.92273019961365099"/>
    <n v="8.339148639218423E-2"/>
    <n v="0.4895397489539749"/>
    <n v="6.8376068376068383E-2"/>
    <n v="2.7913468248429866E-3"/>
    <n v="3.7458974358974357"/>
    <n v="1.8337656903765689"/>
    <n v="23.512104410523193"/>
  </r>
  <r>
    <x v="49"/>
    <s v="CMP202602009"/>
    <s v="CUST100340"/>
    <x v="2"/>
    <s v="Red Non-Saleable"/>
    <x v="0"/>
    <s v="South"/>
    <s v="25-34"/>
    <n v="1669"/>
    <n v="1605"/>
    <n v="1529"/>
    <n v="19"/>
    <n v="8"/>
    <n v="0"/>
    <n v="123.73"/>
    <x v="0"/>
    <n v="0.95264797507788157"/>
    <n v="1.2426422498364944E-2"/>
    <n v="0.42105263157894735"/>
    <n v="0"/>
    <n v="0"/>
    <n v="15.46625"/>
    <n v="6.5121052631578946"/>
    <n v="-1"/>
  </r>
  <r>
    <x v="49"/>
    <s v="CMP202602014"/>
    <s v="CUST101054"/>
    <x v="1"/>
    <s v="Red Non-Saleable"/>
    <x v="0"/>
    <s v="North"/>
    <s v="45-54"/>
    <n v="3582"/>
    <n v="3248"/>
    <n v="3192"/>
    <n v="33"/>
    <n v="12"/>
    <n v="0"/>
    <n v="516.52"/>
    <x v="0"/>
    <n v="0.98275862068965514"/>
    <n v="1.0338345864661654E-2"/>
    <n v="0.36363636363636365"/>
    <n v="0"/>
    <n v="0"/>
    <n v="43.043333333333329"/>
    <n v="15.652121212121212"/>
    <n v="-1"/>
  </r>
  <r>
    <x v="49"/>
    <s v="CMP202602037"/>
    <s v="CUST100271"/>
    <x v="0"/>
    <s v="Green"/>
    <x v="1"/>
    <s v="North"/>
    <s v="45-54"/>
    <n v="3436"/>
    <n v="3426"/>
    <n v="3115"/>
    <n v="324"/>
    <n v="192"/>
    <n v="17"/>
    <n v="373.78"/>
    <x v="228"/>
    <n v="0.90922358435493289"/>
    <n v="0.10401284109149278"/>
    <n v="0.59259259259259256"/>
    <n v="8.8541666666666671E-2"/>
    <n v="5.4574638844301767E-3"/>
    <n v="1.9467708333333331"/>
    <n v="1.153641975308642"/>
    <n v="50.242629354165565"/>
  </r>
  <r>
    <x v="49"/>
    <s v="CMP202602043"/>
    <s v="CUST100356"/>
    <x v="2"/>
    <s v="Red Saleable"/>
    <x v="1"/>
    <s v="South"/>
    <s v="45-54"/>
    <n v="3737"/>
    <n v="3224"/>
    <n v="3034"/>
    <n v="146"/>
    <n v="89"/>
    <n v="4"/>
    <n v="224.4"/>
    <x v="229"/>
    <n v="0.94106699751861045"/>
    <n v="4.8121292023731048E-2"/>
    <n v="0.6095890410958904"/>
    <n v="4.49438202247191E-2"/>
    <n v="1.3183915622940012E-3"/>
    <n v="2.5213483146067417"/>
    <n v="1.536986301369863"/>
    <n v="25.851737967914438"/>
  </r>
  <r>
    <x v="49"/>
    <s v="CMP202602057"/>
    <s v="CUST101107"/>
    <x v="2"/>
    <s v="Green"/>
    <x v="0"/>
    <s v="North"/>
    <s v="55+"/>
    <n v="4628"/>
    <n v="4273"/>
    <n v="4006"/>
    <n v="247"/>
    <n v="111"/>
    <n v="7"/>
    <n v="313.68"/>
    <x v="230"/>
    <n v="0.93751462672595365"/>
    <n v="6.1657513729405894E-2"/>
    <n v="0.44939271255060731"/>
    <n v="6.3063063063063057E-2"/>
    <n v="1.747378931602596E-3"/>
    <n v="2.8259459459459459"/>
    <n v="1.2699595141700406"/>
    <n v="32.60437388421321"/>
  </r>
  <r>
    <x v="49"/>
    <s v="CMP202602061"/>
    <s v="CUST100729"/>
    <x v="1"/>
    <s v="Red Non-Saleable"/>
    <x v="1"/>
    <s v="South"/>
    <s v="55+"/>
    <n v="3191"/>
    <n v="2699"/>
    <n v="2568"/>
    <n v="35"/>
    <n v="17"/>
    <n v="1"/>
    <n v="507.62"/>
    <x v="231"/>
    <n v="0.95146350500185251"/>
    <n v="1.3629283489096573E-2"/>
    <n v="0.48571428571428571"/>
    <n v="5.8823529411764705E-2"/>
    <n v="3.8940809968847351E-4"/>
    <n v="29.86"/>
    <n v="14.503428571428572"/>
    <n v="0.8329656041921123"/>
  </r>
  <r>
    <x v="49"/>
    <s v="CMP202602072"/>
    <s v="CUST100413"/>
    <x v="1"/>
    <s v="Red Non-Saleable"/>
    <x v="0"/>
    <s v="South"/>
    <s v="18-24"/>
    <n v="4866"/>
    <n v="4275"/>
    <n v="4018"/>
    <n v="79"/>
    <n v="24"/>
    <n v="0"/>
    <n v="753.56"/>
    <x v="0"/>
    <n v="0.93988304093567254"/>
    <n v="1.9661523145843702E-2"/>
    <n v="0.30379746835443039"/>
    <n v="0"/>
    <n v="0"/>
    <n v="31.39833333333333"/>
    <n v="9.5387341772151899"/>
    <n v="-1"/>
  </r>
  <r>
    <x v="49"/>
    <s v="CMP202602075"/>
    <s v="CUST101341"/>
    <x v="2"/>
    <s v="Green"/>
    <x v="1"/>
    <s v="East"/>
    <s v="55+"/>
    <n v="2134"/>
    <n v="1994"/>
    <n v="1821"/>
    <n v="196"/>
    <n v="108"/>
    <n v="9"/>
    <n v="186.56"/>
    <x v="232"/>
    <n v="0.91323971915747237"/>
    <n v="0.10763316858868753"/>
    <n v="0.55102040816326525"/>
    <n v="8.3333333333333329E-2"/>
    <n v="4.9423393739703456E-3"/>
    <n v="1.7274074074074075"/>
    <n v="0.95183673469387753"/>
    <n v="68.158179674099486"/>
  </r>
  <r>
    <x v="50"/>
    <s v="CMP202602002"/>
    <s v="CUST101149"/>
    <x v="2"/>
    <s v="Red Saleable"/>
    <x v="1"/>
    <s v="West"/>
    <s v="25-34"/>
    <n v="981"/>
    <n v="833"/>
    <n v="770"/>
    <n v="32"/>
    <n v="18"/>
    <n v="1"/>
    <n v="79.78"/>
    <x v="233"/>
    <n v="0.92436974789915971"/>
    <n v="4.1558441558441558E-2"/>
    <n v="0.5625"/>
    <n v="5.5555555555555552E-2"/>
    <n v="1.2987012987012987E-3"/>
    <n v="4.4322222222222223"/>
    <n v="2.493125"/>
    <n v="7.8084733015793439"/>
  </r>
  <r>
    <x v="50"/>
    <s v="CMP202602012"/>
    <s v="CUST101417"/>
    <x v="2"/>
    <s v="Red Non-Saleable"/>
    <x v="0"/>
    <s v="West"/>
    <s v="55+"/>
    <n v="3287"/>
    <n v="2652"/>
    <n v="2476"/>
    <n v="7"/>
    <n v="4"/>
    <n v="0"/>
    <n v="194.47"/>
    <x v="0"/>
    <n v="0.93363499245852188"/>
    <n v="2.8271405492730209E-3"/>
    <n v="0.5714285714285714"/>
    <n v="0"/>
    <n v="0"/>
    <n v="48.6175"/>
    <n v="27.78142857142857"/>
    <n v="-1"/>
  </r>
  <r>
    <x v="50"/>
    <s v="CMP202602032"/>
    <s v="CUST100758"/>
    <x v="1"/>
    <s v="Red Non-Saleable"/>
    <x v="0"/>
    <s v="North"/>
    <s v="25-34"/>
    <n v="4387"/>
    <n v="3579"/>
    <n v="3530"/>
    <n v="27"/>
    <n v="8"/>
    <n v="0"/>
    <n v="672.46"/>
    <x v="0"/>
    <n v="0.98630902486728134"/>
    <n v="7.6487252124645896E-3"/>
    <n v="0.29629629629629628"/>
    <n v="0"/>
    <n v="0"/>
    <n v="84.057500000000005"/>
    <n v="24.905925925925928"/>
    <n v="-1"/>
  </r>
  <r>
    <x v="50"/>
    <s v="CMP202602034"/>
    <s v="CUST101308"/>
    <x v="1"/>
    <s v="Amber"/>
    <x v="0"/>
    <s v="North"/>
    <s v="55+"/>
    <n v="1343"/>
    <n v="1090"/>
    <n v="1042"/>
    <n v="44"/>
    <n v="16"/>
    <n v="1"/>
    <n v="207.36"/>
    <x v="234"/>
    <n v="0.95596330275229358"/>
    <n v="4.2226487523992322E-2"/>
    <n v="0.36363636363636365"/>
    <n v="6.25E-2"/>
    <n v="9.5969289827255275E-4"/>
    <n v="12.96"/>
    <n v="4.7127272727272729"/>
    <n v="3.9937789351851847"/>
  </r>
  <r>
    <x v="50"/>
    <s v="CMP202602051"/>
    <s v="CUST100002"/>
    <x v="0"/>
    <s v="Red Non-Saleable"/>
    <x v="0"/>
    <s v="Central"/>
    <s v="18-24"/>
    <n v="2835"/>
    <n v="2789"/>
    <n v="2453"/>
    <n v="68"/>
    <n v="37"/>
    <n v="0"/>
    <n v="355.93"/>
    <x v="0"/>
    <n v="0.87952671208318389"/>
    <n v="2.7721157766000815E-2"/>
    <n v="0.54411764705882348"/>
    <n v="0"/>
    <n v="0"/>
    <n v="9.6197297297297304"/>
    <n v="5.234264705882353"/>
    <n v="-1"/>
  </r>
  <r>
    <x v="50"/>
    <s v="CMP202602070"/>
    <s v="CUST100158"/>
    <x v="3"/>
    <s v="Red Saleable"/>
    <x v="1"/>
    <s v="West"/>
    <s v="55+"/>
    <n v="3985"/>
    <n v="3461"/>
    <n v="3248"/>
    <n v="190"/>
    <n v="90"/>
    <n v="6"/>
    <n v="456.61"/>
    <x v="235"/>
    <n v="0.93845709332562843"/>
    <n v="5.8497536945812806E-2"/>
    <n v="0.47368421052631576"/>
    <n v="6.6666666666666666E-2"/>
    <n v="1.8472906403940886E-3"/>
    <n v="5.0734444444444442"/>
    <n v="2.4032105263157897"/>
    <n v="12.758634283086222"/>
  </r>
  <r>
    <x v="51"/>
    <s v="CMP202602013"/>
    <s v="CUST101418"/>
    <x v="0"/>
    <s v="Green"/>
    <x v="0"/>
    <s v="West"/>
    <s v="18-24"/>
    <n v="4348"/>
    <n v="3338"/>
    <n v="3033"/>
    <n v="223"/>
    <n v="118"/>
    <n v="8"/>
    <n v="354.15"/>
    <x v="236"/>
    <n v="0.90862792091072497"/>
    <n v="7.3524563138806467E-2"/>
    <n v="0.52914798206278024"/>
    <n v="6.7796610169491525E-2"/>
    <n v="2.6376524892845368E-3"/>
    <n v="3.0012711864406776"/>
    <n v="1.5881165919282509"/>
    <n v="26.064435973457581"/>
  </r>
  <r>
    <x v="51"/>
    <s v="CMP202602027"/>
    <s v="CUST101442"/>
    <x v="3"/>
    <s v="Green"/>
    <x v="0"/>
    <s v="South"/>
    <s v="18-24"/>
    <n v="3598"/>
    <n v="2840"/>
    <n v="2687"/>
    <n v="174"/>
    <n v="80"/>
    <n v="5"/>
    <n v="502.51"/>
    <x v="237"/>
    <n v="0.9461267605633803"/>
    <n v="6.4756233717900999E-2"/>
    <n v="0.45977011494252873"/>
    <n v="6.25E-2"/>
    <n v="1.8608113137327876E-3"/>
    <n v="6.2813749999999997"/>
    <n v="2.8879885057471264"/>
    <n v="9.7827306919265293"/>
  </r>
  <r>
    <x v="51"/>
    <s v="CMP202602028"/>
    <s v="CUST100867"/>
    <x v="1"/>
    <s v="Amber"/>
    <x v="1"/>
    <s v="North"/>
    <s v="35-44"/>
    <n v="2347"/>
    <n v="2161"/>
    <n v="2053"/>
    <n v="103"/>
    <n v="48"/>
    <n v="3"/>
    <n v="369.11"/>
    <x v="238"/>
    <n v="0.95002313743637201"/>
    <n v="5.0170482221139796E-2"/>
    <n v="0.46601941747572817"/>
    <n v="6.25E-2"/>
    <n v="1.4612761811982464E-3"/>
    <n v="7.6897916666666672"/>
    <n v="3.5835922330097087"/>
    <n v="9.4345858958034192"/>
  </r>
  <r>
    <x v="51"/>
    <s v="CMP202602030"/>
    <s v="CUST100038"/>
    <x v="0"/>
    <s v="Amber"/>
    <x v="1"/>
    <s v="North"/>
    <s v="35-44"/>
    <n v="2528"/>
    <n v="2492"/>
    <n v="2204"/>
    <n v="173"/>
    <n v="115"/>
    <n v="8"/>
    <n v="305.74"/>
    <x v="239"/>
    <n v="0.884430176565008"/>
    <n v="7.8493647912885656E-2"/>
    <n v="0.66473988439306353"/>
    <n v="6.9565217391304349E-2"/>
    <n v="3.629764065335753E-3"/>
    <n v="2.6586086956521742"/>
    <n v="1.7672832369942197"/>
    <n v="24.800778439196701"/>
  </r>
  <r>
    <x v="51"/>
    <s v="CMP202602061"/>
    <s v="CUST100284"/>
    <x v="1"/>
    <s v="Amber"/>
    <x v="0"/>
    <s v="East"/>
    <s v="18-24"/>
    <n v="2293"/>
    <n v="2008"/>
    <n v="1949"/>
    <n v="66"/>
    <n v="22"/>
    <n v="1"/>
    <n v="392.7"/>
    <x v="240"/>
    <n v="0.97061752988047811"/>
    <n v="3.3863519753719859E-2"/>
    <n v="0.33333333333333331"/>
    <n v="4.5454545454545456E-2"/>
    <n v="5.1308363263211901E-4"/>
    <n v="17.849999999999998"/>
    <n v="5.95"/>
    <n v="1.4618029029793735"/>
  </r>
  <r>
    <x v="52"/>
    <s v="CMP202602003"/>
    <s v="CUST100219"/>
    <x v="1"/>
    <s v="Red Saleable"/>
    <x v="1"/>
    <s v="Central"/>
    <s v="55+"/>
    <n v="2863"/>
    <n v="2634"/>
    <n v="2542"/>
    <n v="99"/>
    <n v="54"/>
    <n v="3"/>
    <n v="480.17"/>
    <x v="241"/>
    <n v="0.96507213363705391"/>
    <n v="3.8945712037765541E-2"/>
    <n v="0.54545454545454541"/>
    <n v="5.5555555555555552E-2"/>
    <n v="1.1801730920535012E-3"/>
    <n v="8.8920370370370367"/>
    <n v="4.85020202020202"/>
    <n v="8.1047962180061237"/>
  </r>
  <r>
    <x v="52"/>
    <s v="CMP202602006"/>
    <s v="CUST100020"/>
    <x v="2"/>
    <s v="Red Non-Saleable"/>
    <x v="0"/>
    <s v="Central"/>
    <s v="45-54"/>
    <n v="4542"/>
    <n v="4160"/>
    <n v="3904"/>
    <n v="48"/>
    <n v="25"/>
    <n v="0"/>
    <n v="312.10000000000002"/>
    <x v="0"/>
    <n v="0.93846153846153846"/>
    <n v="1.2295081967213115E-2"/>
    <n v="0.52083333333333337"/>
    <n v="0"/>
    <n v="0"/>
    <n v="12.484000000000002"/>
    <n v="6.5020833333333341"/>
    <n v="-1"/>
  </r>
  <r>
    <x v="52"/>
    <s v="CMP202602008"/>
    <s v="CUST100629"/>
    <x v="1"/>
    <s v="Red Non-Saleable"/>
    <x v="0"/>
    <s v="North"/>
    <s v="18-24"/>
    <n v="4281"/>
    <n v="3706"/>
    <n v="3541"/>
    <n v="75"/>
    <n v="27"/>
    <n v="0"/>
    <n v="684.96"/>
    <x v="0"/>
    <n v="0.95547760388559089"/>
    <n v="2.1180457497881954E-2"/>
    <n v="0.36"/>
    <n v="0"/>
    <n v="0"/>
    <n v="25.36888888888889"/>
    <n v="9.1328000000000014"/>
    <n v="-1"/>
  </r>
  <r>
    <x v="52"/>
    <s v="CMP202602014"/>
    <s v="CUST101187"/>
    <x v="0"/>
    <s v="Green"/>
    <x v="0"/>
    <s v="Central"/>
    <s v="45-54"/>
    <n v="1093"/>
    <n v="1004"/>
    <n v="934"/>
    <n v="75"/>
    <n v="42"/>
    <n v="3"/>
    <n v="131.79"/>
    <x v="242"/>
    <n v="0.93027888446215135"/>
    <n v="8.0299785867237683E-2"/>
    <n v="0.56000000000000005"/>
    <n v="7.1428571428571425E-2"/>
    <n v="3.2119914346895075E-3"/>
    <n v="3.1378571428571425"/>
    <n v="1.7571999999999999"/>
    <n v="19.510736778207757"/>
  </r>
  <r>
    <x v="52"/>
    <s v="CMP202602015"/>
    <s v="CUST101001"/>
    <x v="0"/>
    <s v="Red Saleable"/>
    <x v="0"/>
    <s v="South"/>
    <s v="45-54"/>
    <n v="4047"/>
    <n v="3955"/>
    <n v="3736"/>
    <n v="153"/>
    <n v="64"/>
    <n v="1"/>
    <n v="409.79"/>
    <x v="243"/>
    <n v="0.94462705436156769"/>
    <n v="4.0952890792291217E-2"/>
    <n v="0.41830065359477125"/>
    <n v="1.5625E-2"/>
    <n v="2.6766595289079231E-4"/>
    <n v="6.4029687500000003"/>
    <n v="2.6783660130718956"/>
    <n v="1.4330998804265598"/>
  </r>
  <r>
    <x v="52"/>
    <s v="CMP202602062"/>
    <s v="CUST100616"/>
    <x v="2"/>
    <s v="Amber"/>
    <x v="0"/>
    <s v="West"/>
    <s v="18-24"/>
    <n v="2676"/>
    <n v="2377"/>
    <n v="2315"/>
    <n v="136"/>
    <n v="59"/>
    <n v="3"/>
    <n v="206.36"/>
    <x v="244"/>
    <n v="0.97391670172486322"/>
    <n v="5.874730021598272E-2"/>
    <n v="0.43382352941176472"/>
    <n v="5.0847457627118647E-2"/>
    <n v="1.2958963282937365E-3"/>
    <n v="3.4976271186440679"/>
    <n v="1.5173529411764708"/>
    <n v="13.793370808296181"/>
  </r>
  <r>
    <x v="52"/>
    <s v="CMP202602063"/>
    <s v="CUST100804"/>
    <x v="1"/>
    <s v="Green"/>
    <x v="0"/>
    <s v="South"/>
    <s v="45-54"/>
    <n v="4674"/>
    <n v="3572"/>
    <n v="3420"/>
    <n v="197"/>
    <n v="76"/>
    <n v="6"/>
    <n v="608.41"/>
    <x v="245"/>
    <n v="0.95744680851063835"/>
    <n v="5.7602339181286551E-2"/>
    <n v="0.38578680203045684"/>
    <n v="7.8947368421052627E-2"/>
    <n v="1.7543859649122807E-3"/>
    <n v="8.0053947368421046"/>
    <n v="3.0883756345177664"/>
    <n v="7.4325865781298806"/>
  </r>
  <r>
    <x v="52"/>
    <s v="CMP202602066"/>
    <s v="CUST101245"/>
    <x v="1"/>
    <s v="Green"/>
    <x v="1"/>
    <s v="East"/>
    <s v="55+"/>
    <n v="2111"/>
    <n v="1779"/>
    <n v="1723"/>
    <n v="116"/>
    <n v="54"/>
    <n v="5"/>
    <n v="295.95999999999998"/>
    <x v="246"/>
    <n v="0.96852164137155705"/>
    <n v="6.7324434126523502E-2"/>
    <n v="0.46551724137931033"/>
    <n v="9.2592592592592587E-2"/>
    <n v="2.901915264074289E-3"/>
    <n v="5.4807407407407407"/>
    <n v="2.5513793103448275"/>
    <n v="28.231754291120428"/>
  </r>
  <r>
    <x v="53"/>
    <s v="CMP202602008"/>
    <s v="CUST100344"/>
    <x v="2"/>
    <s v="Green"/>
    <x v="0"/>
    <s v="North"/>
    <s v="18-24"/>
    <n v="404"/>
    <n v="309"/>
    <n v="290"/>
    <n v="19"/>
    <n v="9"/>
    <n v="0"/>
    <n v="21.9"/>
    <x v="0"/>
    <n v="0.93851132686084138"/>
    <n v="6.5517241379310351E-2"/>
    <n v="0.47368421052631576"/>
    <n v="0"/>
    <n v="0"/>
    <n v="2.4333333333333331"/>
    <n v="1.1526315789473685"/>
    <n v="-1"/>
  </r>
  <r>
    <x v="53"/>
    <s v="CMP202602009"/>
    <s v="CUST100557"/>
    <x v="2"/>
    <s v="Red Non-Saleable"/>
    <x v="1"/>
    <s v="Central"/>
    <s v="45-54"/>
    <n v="4283"/>
    <n v="4000"/>
    <n v="3790"/>
    <n v="123"/>
    <n v="70"/>
    <n v="2"/>
    <n v="280.81"/>
    <x v="247"/>
    <n v="0.94750000000000001"/>
    <n v="3.245382585751979E-2"/>
    <n v="0.56910569105691056"/>
    <n v="2.8571428571428571E-2"/>
    <n v="5.2770448548812663E-4"/>
    <n v="4.011571428571429"/>
    <n v="2.283008130081301"/>
    <n v="4.3305793953206804"/>
  </r>
  <r>
    <x v="53"/>
    <s v="CMP202602038"/>
    <s v="CUST100195"/>
    <x v="0"/>
    <s v="Red Saleable"/>
    <x v="0"/>
    <s v="Central"/>
    <s v="55+"/>
    <n v="4707"/>
    <n v="3693"/>
    <n v="3428"/>
    <n v="157"/>
    <n v="77"/>
    <n v="4"/>
    <n v="423.67"/>
    <x v="248"/>
    <n v="0.92824262117519629"/>
    <n v="4.5799299883313889E-2"/>
    <n v="0.49044585987261147"/>
    <n v="5.1948051948051951E-2"/>
    <n v="1.1668611435239206E-3"/>
    <n v="5.5022077922077921"/>
    <n v="2.6985350318471339"/>
    <n v="7.5938112209974742"/>
  </r>
  <r>
    <x v="53"/>
    <s v="CMP202602053"/>
    <s v="CUST100753"/>
    <x v="2"/>
    <s v="Red Saleable"/>
    <x v="0"/>
    <s v="Central"/>
    <s v="35-44"/>
    <n v="4256"/>
    <n v="3127"/>
    <n v="2973"/>
    <n v="99"/>
    <n v="42"/>
    <n v="1"/>
    <n v="221.56"/>
    <x v="249"/>
    <n v="0.95075151902782218"/>
    <n v="3.3299697275479316E-2"/>
    <n v="0.42424242424242425"/>
    <n v="2.3809523809523808E-2"/>
    <n v="3.3636057854019509E-4"/>
    <n v="5.2752380952380955"/>
    <n v="2.237979797979798"/>
    <n v="3.715923451886622"/>
  </r>
  <r>
    <x v="53"/>
    <s v="CMP202602061"/>
    <s v="CUST101381"/>
    <x v="1"/>
    <s v="Amber"/>
    <x v="0"/>
    <s v="Central"/>
    <s v="18-24"/>
    <n v="3011"/>
    <n v="2831"/>
    <n v="2702"/>
    <n v="96"/>
    <n v="40"/>
    <n v="2"/>
    <n v="567.47"/>
    <x v="250"/>
    <n v="0.95443306252207705"/>
    <n v="3.552923760177646E-2"/>
    <n v="0.41666666666666669"/>
    <n v="0.05"/>
    <n v="7.4019245003700959E-4"/>
    <n v="14.18675"/>
    <n v="5.9111458333333333"/>
    <n v="4.0323012670273313"/>
  </r>
  <r>
    <x v="54"/>
    <s v="CMP202602016"/>
    <s v="CUST100182"/>
    <x v="0"/>
    <s v="Amber"/>
    <x v="0"/>
    <s v="West"/>
    <s v="55+"/>
    <n v="4979"/>
    <n v="4349"/>
    <n v="3981"/>
    <n v="251"/>
    <n v="142"/>
    <n v="7"/>
    <n v="554.32000000000005"/>
    <x v="251"/>
    <n v="0.91538284663140956"/>
    <n v="6.3049485054006538E-2"/>
    <n v="0.56573705179282874"/>
    <n v="4.9295774647887321E-2"/>
    <n v="1.7583521728208992E-3"/>
    <n v="3.9036619718309864"/>
    <n v="2.2084462151394426"/>
    <n v="10.149534564872276"/>
  </r>
  <r>
    <x v="54"/>
    <s v="CMP202602023"/>
    <s v="CUST100613"/>
    <x v="3"/>
    <s v="Green"/>
    <x v="1"/>
    <s v="East"/>
    <s v="25-34"/>
    <n v="2859"/>
    <n v="2501"/>
    <n v="2278"/>
    <n v="252"/>
    <n v="181"/>
    <n v="15"/>
    <n v="372.04"/>
    <x v="252"/>
    <n v="0.91083566573370656"/>
    <n v="0.1106233538191396"/>
    <n v="0.71825396825396826"/>
    <n v="8.2872928176795577E-2"/>
    <n v="6.5847234416154523E-3"/>
    <n v="2.0554696132596688"/>
    <n v="1.4763492063492065"/>
    <n v="38.439361358993651"/>
  </r>
  <r>
    <x v="54"/>
    <s v="CMP202602026"/>
    <s v="CUST100448"/>
    <x v="3"/>
    <s v="Red Saleable"/>
    <x v="0"/>
    <s v="North"/>
    <s v="18-24"/>
    <n v="3968"/>
    <n v="3693"/>
    <n v="3435"/>
    <n v="117"/>
    <n v="41"/>
    <n v="2"/>
    <n v="528.52"/>
    <x v="253"/>
    <n v="0.93013809910641754"/>
    <n v="3.4061135371179038E-2"/>
    <n v="0.3504273504273504"/>
    <n v="4.878048780487805E-2"/>
    <n v="5.8224163027656482E-4"/>
    <n v="12.890731707317073"/>
    <n v="4.517264957264957"/>
    <n v="3.5234995837432836"/>
  </r>
  <r>
    <x v="54"/>
    <s v="CMP202602038"/>
    <s v="CUST101310"/>
    <x v="0"/>
    <s v="Green"/>
    <x v="1"/>
    <s v="Central"/>
    <s v="45-54"/>
    <n v="4913"/>
    <n v="3752"/>
    <n v="3398"/>
    <n v="312"/>
    <n v="216"/>
    <n v="22"/>
    <n v="414.93"/>
    <x v="254"/>
    <n v="0.90565031982942434"/>
    <n v="9.1818716892289584E-2"/>
    <n v="0.69230769230769229"/>
    <n v="0.10185185185185185"/>
    <n v="6.4743967039434958E-3"/>
    <n v="1.9209722222222223"/>
    <n v="1.3299038461538462"/>
    <n v="43.689080085797606"/>
  </r>
  <r>
    <x v="54"/>
    <s v="CMP202602055"/>
    <s v="CUST101137"/>
    <x v="0"/>
    <s v="Red Saleable"/>
    <x v="0"/>
    <s v="East"/>
    <s v="45-54"/>
    <n v="2419"/>
    <n v="2039"/>
    <n v="1875"/>
    <n v="71"/>
    <n v="37"/>
    <n v="1"/>
    <n v="276.23"/>
    <x v="255"/>
    <n v="0.91956841589014227"/>
    <n v="3.7866666666666667E-2"/>
    <n v="0.52112676056338025"/>
    <n v="2.7027027027027029E-2"/>
    <n v="5.3333333333333336E-4"/>
    <n v="7.4656756756756764"/>
    <n v="3.8905633802816904"/>
    <n v="3.1177279803062663"/>
  </r>
  <r>
    <x v="55"/>
    <s v="CMP202602018"/>
    <s v="CUST100730"/>
    <x v="0"/>
    <s v="Green"/>
    <x v="0"/>
    <s v="Central"/>
    <s v="25-34"/>
    <n v="2505"/>
    <n v="2313"/>
    <n v="2135"/>
    <n v="181"/>
    <n v="97"/>
    <n v="6"/>
    <n v="275.27999999999997"/>
    <x v="256"/>
    <n v="0.92304366623432776"/>
    <n v="8.4777517564402813E-2"/>
    <n v="0.53591160220994472"/>
    <n v="6.1855670103092786E-2"/>
    <n v="2.8103044496487119E-3"/>
    <n v="2.8379381443298968"/>
    <n v="1.5208839779005523"/>
    <n v="33.65446091252543"/>
  </r>
  <r>
    <x v="55"/>
    <s v="CMP202602023"/>
    <s v="CUST100513"/>
    <x v="0"/>
    <s v="Red Non-Saleable"/>
    <x v="0"/>
    <s v="North"/>
    <s v="55+"/>
    <n v="1989"/>
    <n v="1930"/>
    <n v="1722"/>
    <n v="24"/>
    <n v="13"/>
    <n v="0"/>
    <n v="206.58"/>
    <x v="0"/>
    <n v="0.89222797927461139"/>
    <n v="1.3937282229965157E-2"/>
    <n v="0.54166666666666663"/>
    <n v="0"/>
    <n v="0"/>
    <n v="15.890769230769232"/>
    <n v="8.6074999999999999"/>
    <n v="-1"/>
  </r>
  <r>
    <x v="55"/>
    <s v="CMP202602028"/>
    <s v="CUST100327"/>
    <x v="0"/>
    <s v="Amber"/>
    <x v="1"/>
    <s v="South"/>
    <s v="35-44"/>
    <n v="4993"/>
    <n v="4256"/>
    <n v="3894"/>
    <n v="235"/>
    <n v="136"/>
    <n v="8"/>
    <n v="507.82"/>
    <x v="257"/>
    <n v="0.91494360902255634"/>
    <n v="6.0349255264509502E-2"/>
    <n v="0.5787234042553191"/>
    <n v="5.8823529411764705E-2"/>
    <n v="2.0544427324088342E-3"/>
    <n v="3.733970588235294"/>
    <n v="2.1609361702127661"/>
    <n v="11.042810444645742"/>
  </r>
  <r>
    <x v="55"/>
    <s v="CMP202602041"/>
    <s v="CUST100722"/>
    <x v="0"/>
    <s v="Red Saleable"/>
    <x v="1"/>
    <s v="Central"/>
    <s v="18-24"/>
    <n v="3429"/>
    <n v="3163"/>
    <n v="2934"/>
    <n v="138"/>
    <n v="96"/>
    <n v="4"/>
    <n v="326.69"/>
    <x v="258"/>
    <n v="0.92760037938665829"/>
    <n v="4.7034764826175871E-2"/>
    <n v="0.69565217391304346"/>
    <n v="4.1666666666666664E-2"/>
    <n v="1.3633265167007499E-3"/>
    <n v="3.4030208333333332"/>
    <n v="2.3673188405797103"/>
    <n v="10.592396461477241"/>
  </r>
  <r>
    <x v="55"/>
    <s v="CMP202602049"/>
    <s v="CUST100993"/>
    <x v="0"/>
    <s v="Red Non-Saleable"/>
    <x v="0"/>
    <s v="North"/>
    <s v="25-34"/>
    <n v="2756"/>
    <n v="2610"/>
    <n v="2443"/>
    <n v="33"/>
    <n v="13"/>
    <n v="0"/>
    <n v="349.55"/>
    <x v="0"/>
    <n v="0.93601532567049806"/>
    <n v="1.3507981989357348E-2"/>
    <n v="0.39393939393939392"/>
    <n v="0"/>
    <n v="0"/>
    <n v="26.888461538461538"/>
    <n v="10.592424242424244"/>
    <n v="-1"/>
  </r>
  <r>
    <x v="55"/>
    <s v="CMP202602071"/>
    <s v="CUST100228"/>
    <x v="2"/>
    <s v="Amber"/>
    <x v="1"/>
    <s v="Central"/>
    <s v="25-34"/>
    <n v="2778"/>
    <n v="2632"/>
    <n v="2571"/>
    <n v="153"/>
    <n v="80"/>
    <n v="4"/>
    <n v="249.81"/>
    <x v="259"/>
    <n v="0.97682370820668696"/>
    <n v="5.9509918319719954E-2"/>
    <n v="0.52287581699346408"/>
    <n v="0.05"/>
    <n v="1.5558148580318942E-3"/>
    <n v="3.1226250000000002"/>
    <n v="1.6327450980392157"/>
    <n v="22.5769184580281"/>
  </r>
  <r>
    <x v="56"/>
    <s v="CMP202602015"/>
    <s v="CUST101430"/>
    <x v="2"/>
    <s v="Red Non-Saleable"/>
    <x v="0"/>
    <s v="East"/>
    <s v="25-34"/>
    <n v="4574"/>
    <n v="4285"/>
    <n v="4097"/>
    <n v="74"/>
    <n v="30"/>
    <n v="1"/>
    <n v="360.3"/>
    <x v="260"/>
    <n v="0.95612602100350064"/>
    <n v="1.806199658286551E-2"/>
    <n v="0.40540540540540543"/>
    <n v="3.3333333333333333E-2"/>
    <n v="2.4408103490358799E-4"/>
    <n v="12.01"/>
    <n v="4.8689189189189195"/>
    <n v="0.61310019428254237"/>
  </r>
  <r>
    <x v="56"/>
    <s v="CMP202602019"/>
    <s v="CUST101055"/>
    <x v="0"/>
    <s v="Red Saleable"/>
    <x v="0"/>
    <s v="South"/>
    <s v="35-44"/>
    <n v="2867"/>
    <n v="2598"/>
    <n v="2342"/>
    <n v="86"/>
    <n v="45"/>
    <n v="1"/>
    <n v="271.98"/>
    <x v="261"/>
    <n v="0.90146266358737492"/>
    <n v="3.6720751494449186E-2"/>
    <n v="0.52325581395348841"/>
    <n v="2.2222222222222223E-2"/>
    <n v="4.2698548249359521E-4"/>
    <n v="6.0440000000000005"/>
    <n v="3.1625581395348838"/>
    <n v="1.7905728362379585"/>
  </r>
  <r>
    <x v="56"/>
    <s v="CMP202602021"/>
    <s v="CUST100747"/>
    <x v="0"/>
    <s v="Red Saleable"/>
    <x v="0"/>
    <s v="East"/>
    <s v="35-44"/>
    <n v="4004"/>
    <n v="3594"/>
    <n v="3252"/>
    <n v="158"/>
    <n v="89"/>
    <n v="3"/>
    <n v="483.67"/>
    <x v="262"/>
    <n v="0.90484140233722876"/>
    <n v="4.858548585485855E-2"/>
    <n v="0.56329113924050633"/>
    <n v="3.3707865168539325E-2"/>
    <n v="9.225092250922509E-4"/>
    <n v="5.4344943820224723"/>
    <n v="3.0612025316455695"/>
    <n v="4.4614923398184709"/>
  </r>
  <r>
    <x v="56"/>
    <s v="CMP202602031"/>
    <s v="CUST101391"/>
    <x v="1"/>
    <s v="Red Non-Saleable"/>
    <x v="0"/>
    <s v="West"/>
    <s v="55+"/>
    <n v="2353"/>
    <n v="1941"/>
    <n v="1875"/>
    <n v="11"/>
    <n v="4"/>
    <n v="0"/>
    <n v="357.45"/>
    <x v="0"/>
    <n v="0.96599690880989186"/>
    <n v="5.8666666666666667E-3"/>
    <n v="0.36363636363636365"/>
    <n v="0"/>
    <n v="0"/>
    <n v="89.362499999999997"/>
    <n v="32.495454545454542"/>
    <n v="-1"/>
  </r>
  <r>
    <x v="56"/>
    <s v="CMP202602052"/>
    <s v="CUST100388"/>
    <x v="2"/>
    <s v="Green"/>
    <x v="0"/>
    <s v="Central"/>
    <s v="45-54"/>
    <n v="2324"/>
    <n v="1762"/>
    <n v="1643"/>
    <n v="100"/>
    <n v="44"/>
    <n v="3"/>
    <n v="160.07"/>
    <x v="263"/>
    <n v="0.93246311010215666"/>
    <n v="6.0864272671941569E-2"/>
    <n v="0.44"/>
    <n v="6.8181818181818177E-2"/>
    <n v="1.8259281801582471E-3"/>
    <n v="3.6379545454545452"/>
    <n v="1.6007"/>
    <n v="18.996938839257822"/>
  </r>
  <r>
    <x v="56"/>
    <s v="CMP202602071"/>
    <s v="CUST100606"/>
    <x v="0"/>
    <s v="Red Non-Saleable"/>
    <x v="0"/>
    <s v="North"/>
    <s v="45-54"/>
    <n v="4521"/>
    <n v="3564"/>
    <n v="3223"/>
    <n v="61"/>
    <n v="23"/>
    <n v="0"/>
    <n v="449.92"/>
    <x v="0"/>
    <n v="0.90432098765432101"/>
    <n v="1.8926466025442134E-2"/>
    <n v="0.37704918032786883"/>
    <n v="0"/>
    <n v="0"/>
    <n v="19.561739130434784"/>
    <n v="7.3757377049180333"/>
    <n v="-1"/>
  </r>
  <r>
    <x v="56"/>
    <s v="CMP202602075"/>
    <s v="CUST100360"/>
    <x v="1"/>
    <s v="Green"/>
    <x v="1"/>
    <s v="West"/>
    <s v="18-24"/>
    <n v="3806"/>
    <n v="2771"/>
    <n v="2668"/>
    <n v="135"/>
    <n v="63"/>
    <n v="7"/>
    <n v="547.12"/>
    <x v="264"/>
    <n v="0.9628293035005413"/>
    <n v="5.0599700149925035E-2"/>
    <n v="0.46666666666666667"/>
    <n v="0.1111111111111111"/>
    <n v="2.6236881559220391E-3"/>
    <n v="8.6844444444444449"/>
    <n v="4.0527407407407408"/>
    <n v="11.380812253253399"/>
  </r>
  <r>
    <x v="57"/>
    <s v="CMP202602010"/>
    <s v="CUST100445"/>
    <x v="2"/>
    <s v="Amber"/>
    <x v="0"/>
    <s v="East"/>
    <s v="25-34"/>
    <n v="3701"/>
    <n v="2900"/>
    <n v="2796"/>
    <n v="157"/>
    <n v="71"/>
    <n v="3"/>
    <n v="218.56"/>
    <x v="265"/>
    <n v="0.96413793103448275"/>
    <n v="5.6151645207439198E-2"/>
    <n v="0.45222929936305734"/>
    <n v="4.2253521126760563E-2"/>
    <n v="1.0729613733905579E-3"/>
    <n v="3.0783098591549298"/>
    <n v="1.3921019108280255"/>
    <n v="15.876509882869694"/>
  </r>
  <r>
    <x v="57"/>
    <s v="CMP202602058"/>
    <s v="CUST100250"/>
    <x v="1"/>
    <s v="Red Saleable"/>
    <x v="0"/>
    <s v="East"/>
    <s v="35-44"/>
    <n v="2361"/>
    <n v="1927"/>
    <n v="1836"/>
    <n v="28"/>
    <n v="9"/>
    <n v="0"/>
    <n v="412.36"/>
    <x v="0"/>
    <n v="0.95277633627400105"/>
    <n v="1.5250544662309368E-2"/>
    <n v="0.32142857142857145"/>
    <n v="0"/>
    <n v="0"/>
    <n v="45.817777777777778"/>
    <n v="14.727142857142857"/>
    <n v="-1"/>
  </r>
  <r>
    <x v="57"/>
    <s v="CMP202602068"/>
    <s v="CUST101207"/>
    <x v="0"/>
    <s v="Red Non-Saleable"/>
    <x v="1"/>
    <s v="East"/>
    <s v="45-54"/>
    <n v="1635"/>
    <n v="1605"/>
    <n v="1469"/>
    <n v="34"/>
    <n v="23"/>
    <n v="1"/>
    <n v="172.56"/>
    <x v="266"/>
    <n v="0.91526479750778811"/>
    <n v="2.3144996596324029E-2"/>
    <n v="0.67647058823529416"/>
    <n v="4.3478260869565216E-2"/>
    <n v="6.8073519400953025E-4"/>
    <n v="7.5026086956521736"/>
    <n v="5.0752941176470587"/>
    <n v="5.5206305053314795"/>
  </r>
  <r>
    <x v="57"/>
    <s v="CMP202602073"/>
    <s v="CUST101180"/>
    <x v="3"/>
    <s v="Red Saleable"/>
    <x v="0"/>
    <s v="Central"/>
    <s v="55+"/>
    <n v="3174"/>
    <n v="2401"/>
    <n v="2201"/>
    <n v="79"/>
    <n v="38"/>
    <n v="1"/>
    <n v="324.91000000000003"/>
    <x v="267"/>
    <n v="0.91670137442732191"/>
    <n v="3.5892776010904133E-2"/>
    <n v="0.48101265822784811"/>
    <n v="2.6315789473684209E-2"/>
    <n v="4.5433893684688776E-4"/>
    <n v="8.5502631578947383"/>
    <n v="4.1127848101265823"/>
    <n v="1.6469483857068108"/>
  </r>
  <r>
    <x v="58"/>
    <s v="CMP202602011"/>
    <s v="CUST100155"/>
    <x v="0"/>
    <s v="Red Non-Saleable"/>
    <x v="0"/>
    <s v="West"/>
    <s v="35-44"/>
    <n v="1756"/>
    <n v="1721"/>
    <n v="1557"/>
    <n v="15"/>
    <n v="8"/>
    <n v="0"/>
    <n v="224.04"/>
    <x v="0"/>
    <n v="0.90470656595002907"/>
    <n v="9.6339113680154135E-3"/>
    <n v="0.53333333333333333"/>
    <n v="0"/>
    <n v="0"/>
    <n v="28.004999999999999"/>
    <n v="14.936"/>
    <n v="-1"/>
  </r>
  <r>
    <x v="58"/>
    <s v="CMP202602016"/>
    <s v="CUST101230"/>
    <x v="2"/>
    <s v="Red Non-Saleable"/>
    <x v="0"/>
    <s v="East"/>
    <s v="35-44"/>
    <n v="2303"/>
    <n v="1900"/>
    <n v="1816"/>
    <n v="23"/>
    <n v="11"/>
    <n v="0"/>
    <n v="160.56"/>
    <x v="0"/>
    <n v="0.95578947368421052"/>
    <n v="1.2665198237885462E-2"/>
    <n v="0.47826086956521741"/>
    <n v="0"/>
    <n v="0"/>
    <n v="14.596363636363636"/>
    <n v="6.9808695652173913"/>
    <n v="-1"/>
  </r>
  <r>
    <x v="58"/>
    <s v="CMP202602017"/>
    <s v="CUST100605"/>
    <x v="2"/>
    <s v="Red Saleable"/>
    <x v="1"/>
    <s v="South"/>
    <s v="35-44"/>
    <n v="1808"/>
    <n v="1430"/>
    <n v="1317"/>
    <n v="72"/>
    <n v="41"/>
    <n v="3"/>
    <n v="109.48"/>
    <x v="268"/>
    <n v="0.92097902097902096"/>
    <n v="5.4669703872437359E-2"/>
    <n v="0.56944444444444442"/>
    <n v="7.3170731707317069E-2"/>
    <n v="2.2779043280182231E-3"/>
    <n v="2.6702439024390245"/>
    <n v="1.5205555555555557"/>
    <n v="30.49177932042382"/>
  </r>
  <r>
    <x v="58"/>
    <s v="CMP202602017"/>
    <s v="CUST101132"/>
    <x v="2"/>
    <s v="Red Saleable"/>
    <x v="0"/>
    <s v="South"/>
    <s v="45-54"/>
    <n v="2789"/>
    <n v="2039"/>
    <n v="1911"/>
    <n v="46"/>
    <n v="19"/>
    <n v="0"/>
    <n v="188.64"/>
    <x v="0"/>
    <n v="0.93722412947523293"/>
    <n v="2.4071166928309785E-2"/>
    <n v="0.41304347826086957"/>
    <n v="0"/>
    <n v="0"/>
    <n v="9.9284210526315775"/>
    <n v="4.1008695652173914"/>
    <n v="-1"/>
  </r>
  <r>
    <x v="58"/>
    <s v="CMP202602025"/>
    <s v="CUST100184"/>
    <x v="1"/>
    <s v="Red Saleable"/>
    <x v="1"/>
    <s v="North"/>
    <s v="35-44"/>
    <n v="860"/>
    <n v="815"/>
    <n v="767"/>
    <n v="36"/>
    <n v="16"/>
    <n v="1"/>
    <n v="142.41999999999999"/>
    <x v="269"/>
    <n v="0.94110429447852761"/>
    <n v="4.6936114732724903E-2"/>
    <n v="0.44444444444444442"/>
    <n v="6.25E-2"/>
    <n v="1.3037809647979139E-3"/>
    <n v="8.9012499999999992"/>
    <n v="3.9561111111111109"/>
    <n v="9.4950849599775324"/>
  </r>
  <r>
    <x v="58"/>
    <s v="CMP202602027"/>
    <s v="CUST100701"/>
    <x v="3"/>
    <s v="Red Non-Saleable"/>
    <x v="0"/>
    <s v="West"/>
    <s v="18-24"/>
    <n v="4408"/>
    <n v="3233"/>
    <n v="3038"/>
    <n v="44"/>
    <n v="18"/>
    <n v="0"/>
    <n v="457.95"/>
    <x v="0"/>
    <n v="0.93968450355706779"/>
    <n v="1.4483212639894667E-2"/>
    <n v="0.40909090909090912"/>
    <n v="0"/>
    <n v="0"/>
    <n v="25.441666666666666"/>
    <n v="10.407954545454546"/>
    <n v="-1"/>
  </r>
  <r>
    <x v="58"/>
    <s v="CMP202602029"/>
    <s v="CUST100500"/>
    <x v="2"/>
    <s v="Red Non-Saleable"/>
    <x v="0"/>
    <s v="South"/>
    <s v="18-24"/>
    <n v="4684"/>
    <n v="4568"/>
    <n v="4276"/>
    <n v="121"/>
    <n v="58"/>
    <n v="1"/>
    <n v="407.91"/>
    <x v="270"/>
    <n v="0.93607705779334505"/>
    <n v="2.8297474275023386E-2"/>
    <n v="0.47933884297520662"/>
    <n v="1.7241379310344827E-2"/>
    <n v="2.3386342376052386E-4"/>
    <n v="7.0329310344827594"/>
    <n v="3.3711570247933889"/>
    <n v="0.69257924542178406"/>
  </r>
  <r>
    <x v="58"/>
    <s v="CMP202602031"/>
    <s v="CUST101281"/>
    <x v="2"/>
    <s v="Green"/>
    <x v="0"/>
    <s v="South"/>
    <s v="35-44"/>
    <n v="4832"/>
    <n v="3777"/>
    <n v="3508"/>
    <n v="226"/>
    <n v="110"/>
    <n v="7"/>
    <n v="324.39999999999998"/>
    <x v="271"/>
    <n v="0.92877945459359279"/>
    <n v="6.4424173318129982E-2"/>
    <n v="0.48672566371681414"/>
    <n v="6.363636363636363E-2"/>
    <n v="1.9954389965792475E-3"/>
    <n v="2.9490909090909088"/>
    <n v="1.4353982300884955"/>
    <n v="33.071794081381015"/>
  </r>
  <r>
    <x v="58"/>
    <s v="CMP202602037"/>
    <s v="CUST100163"/>
    <x v="2"/>
    <s v="Amber"/>
    <x v="0"/>
    <s v="North"/>
    <s v="45-54"/>
    <n v="3558"/>
    <n v="3004"/>
    <n v="2824"/>
    <n v="143"/>
    <n v="66"/>
    <n v="3"/>
    <n v="217.02"/>
    <x v="272"/>
    <n v="0.94007989347536614"/>
    <n v="5.0637393767705381E-2"/>
    <n v="0.46153846153846156"/>
    <n v="4.5454545454545456E-2"/>
    <n v="1.0623229461756375E-3"/>
    <n v="3.2881818181818185"/>
    <n v="1.5176223776223776"/>
    <n v="8.3274813381255175"/>
  </r>
  <r>
    <x v="58"/>
    <s v="CMP202602057"/>
    <s v="CUST101226"/>
    <x v="3"/>
    <s v="Green"/>
    <x v="0"/>
    <s v="Central"/>
    <s v="45-54"/>
    <n v="1408"/>
    <n v="1307"/>
    <n v="1211"/>
    <n v="87"/>
    <n v="44"/>
    <n v="4"/>
    <n v="222.3"/>
    <x v="273"/>
    <n v="0.92654934965570013"/>
    <n v="7.1841453344343512E-2"/>
    <n v="0.50574712643678166"/>
    <n v="9.0909090909090912E-2"/>
    <n v="3.3030553261767133E-3"/>
    <n v="5.0522727272727277"/>
    <n v="2.5551724137931036"/>
    <n v="17.638911381016644"/>
  </r>
  <r>
    <x v="58"/>
    <s v="CMP202602066"/>
    <s v="CUST100188"/>
    <x v="0"/>
    <s v="Red Saleable"/>
    <x v="0"/>
    <s v="North"/>
    <s v="55+"/>
    <n v="2809"/>
    <n v="2398"/>
    <n v="2148"/>
    <n v="99"/>
    <n v="57"/>
    <n v="3"/>
    <n v="260.98"/>
    <x v="274"/>
    <n v="0.89574645537948294"/>
    <n v="4.6089385474860335E-2"/>
    <n v="0.5757575757575758"/>
    <n v="5.2631578947368418E-2"/>
    <n v="1.3966480446927375E-3"/>
    <n v="4.5785964912280708"/>
    <n v="2.6361616161616164"/>
    <n v="11.668403709096481"/>
  </r>
  <r>
    <x v="58"/>
    <s v="CMP202602071"/>
    <s v="CUST101351"/>
    <x v="0"/>
    <s v="Amber"/>
    <x v="1"/>
    <s v="West"/>
    <s v="18-24"/>
    <n v="3298"/>
    <n v="3186"/>
    <n v="3012"/>
    <n v="255"/>
    <n v="161"/>
    <n v="10"/>
    <n v="382.07"/>
    <x v="275"/>
    <n v="0.94538606403013181"/>
    <n v="8.4661354581673301E-2"/>
    <n v="0.63137254901960782"/>
    <n v="6.2111801242236024E-2"/>
    <n v="3.3200531208499337E-3"/>
    <n v="2.3731055900621119"/>
    <n v="1.4983137254901961"/>
    <n v="26.733609024524302"/>
  </r>
  <r>
    <x v="58"/>
    <s v="CMP202602074"/>
    <s v="CUST100073"/>
    <x v="0"/>
    <s v="Red Non-Saleable"/>
    <x v="0"/>
    <s v="West"/>
    <s v="25-34"/>
    <n v="1224"/>
    <n v="957"/>
    <n v="879"/>
    <n v="12"/>
    <n v="6"/>
    <n v="0"/>
    <n v="136.57"/>
    <x v="0"/>
    <n v="0.91849529780564265"/>
    <n v="1.3651877133105802E-2"/>
    <n v="0.5"/>
    <n v="0"/>
    <n v="0"/>
    <n v="22.761666666666667"/>
    <n v="11.380833333333333"/>
    <n v="-1"/>
  </r>
  <r>
    <x v="59"/>
    <s v="CMP202603057"/>
    <s v="CUST100239"/>
    <x v="0"/>
    <s v="Green"/>
    <x v="0"/>
    <s v="North"/>
    <s v="55+"/>
    <n v="625"/>
    <n v="530"/>
    <n v="487"/>
    <n v="44"/>
    <n v="25"/>
    <n v="2"/>
    <n v="73.25"/>
    <x v="276"/>
    <n v="0.9188679245283019"/>
    <n v="9.034907597535935E-2"/>
    <n v="0.56818181818181823"/>
    <n v="0.08"/>
    <n v="4.1067761806981521E-3"/>
    <n v="2.93"/>
    <n v="1.6647727272727273"/>
    <n v="26.555767918088737"/>
  </r>
  <r>
    <x v="59"/>
    <s v="CMP202603068"/>
    <s v="CUST100861"/>
    <x v="0"/>
    <s v="Green"/>
    <x v="1"/>
    <s v="West"/>
    <s v="18-24"/>
    <n v="1156"/>
    <n v="1138"/>
    <n v="1009"/>
    <n v="110"/>
    <n v="76"/>
    <n v="7"/>
    <n v="141.29"/>
    <x v="277"/>
    <n v="0.88664323374340948"/>
    <n v="0.10901883052527254"/>
    <n v="0.69090909090909092"/>
    <n v="9.2105263157894732E-2"/>
    <n v="6.9375619425173438E-3"/>
    <n v="1.8590789473684211"/>
    <n v="1.2844545454545453"/>
    <n v="53.976077570953358"/>
  </r>
  <r>
    <x v="60"/>
    <s v="CMP202603001"/>
    <s v="CUST101276"/>
    <x v="1"/>
    <s v="Red Non-Saleable"/>
    <x v="0"/>
    <s v="Central"/>
    <s v="35-44"/>
    <n v="4178"/>
    <n v="4058"/>
    <n v="3857"/>
    <n v="15"/>
    <n v="5"/>
    <n v="0"/>
    <n v="791.67"/>
    <x v="0"/>
    <n v="0.95046821094135037"/>
    <n v="3.88903292714545E-3"/>
    <n v="0.33333333333333331"/>
    <n v="0"/>
    <n v="0"/>
    <n v="158.334"/>
    <n v="52.777999999999999"/>
    <n v="-1"/>
  </r>
  <r>
    <x v="60"/>
    <s v="CMP202603003"/>
    <s v="CUST100066"/>
    <x v="1"/>
    <s v="Amber"/>
    <x v="0"/>
    <s v="North"/>
    <s v="55+"/>
    <n v="4603"/>
    <n v="4210"/>
    <n v="4081"/>
    <n v="94"/>
    <n v="33"/>
    <n v="2"/>
    <n v="887.43"/>
    <x v="278"/>
    <n v="0.9693586698337292"/>
    <n v="2.3033570203381523E-2"/>
    <n v="0.35106382978723405"/>
    <n v="6.0606060606060608E-2"/>
    <n v="4.9007596177407496E-4"/>
    <n v="26.891818181818181"/>
    <n v="9.4407446808510631"/>
    <n v="0.71158288541068049"/>
  </r>
  <r>
    <x v="60"/>
    <s v="CMP202603003"/>
    <s v="CUST101043"/>
    <x v="1"/>
    <s v="Green"/>
    <x v="1"/>
    <s v="West"/>
    <s v="55+"/>
    <n v="3633"/>
    <n v="3592"/>
    <n v="3446"/>
    <n v="207"/>
    <n v="102"/>
    <n v="8"/>
    <n v="606.66"/>
    <x v="279"/>
    <n v="0.95935412026726052"/>
    <n v="6.0069645966337785E-2"/>
    <n v="0.49275362318840582"/>
    <n v="7.8431372549019607E-2"/>
    <n v="2.3215322112594312E-3"/>
    <n v="5.9476470588235291"/>
    <n v="2.9307246376811591"/>
    <n v="20.993999934065208"/>
  </r>
  <r>
    <x v="60"/>
    <s v="CMP202603033"/>
    <s v="CUST100149"/>
    <x v="2"/>
    <s v="Green"/>
    <x v="0"/>
    <s v="East"/>
    <s v="18-24"/>
    <n v="2162"/>
    <n v="1694"/>
    <n v="1609"/>
    <n v="128"/>
    <n v="55"/>
    <n v="4"/>
    <n v="131.34"/>
    <x v="280"/>
    <n v="0.94982290436835892"/>
    <n v="7.9552517091361089E-2"/>
    <n v="0.4296875"/>
    <n v="7.2727272727272724E-2"/>
    <n v="2.486016159105034E-3"/>
    <n v="2.3879999999999999"/>
    <n v="1.02609375"/>
    <n v="48.160042637429569"/>
  </r>
  <r>
    <x v="60"/>
    <s v="CMP202603058"/>
    <s v="CUST101168"/>
    <x v="2"/>
    <s v="Amber"/>
    <x v="0"/>
    <s v="North"/>
    <s v="18-24"/>
    <n v="2600"/>
    <n v="2157"/>
    <n v="2022"/>
    <n v="90"/>
    <n v="39"/>
    <n v="2"/>
    <n v="184.01"/>
    <x v="281"/>
    <n v="0.93741307371349092"/>
    <n v="4.4510385756676561E-2"/>
    <n v="0.43333333333333335"/>
    <n v="5.128205128205128E-2"/>
    <n v="9.8911968348170125E-4"/>
    <n v="4.7182051282051276"/>
    <n v="2.0445555555555552"/>
    <n v="6.651105918156623"/>
  </r>
  <r>
    <x v="61"/>
    <s v="CMP202603003"/>
    <s v="CUST100243"/>
    <x v="2"/>
    <s v="Amber"/>
    <x v="1"/>
    <s v="West"/>
    <s v="45-54"/>
    <n v="1226"/>
    <n v="1173"/>
    <n v="1093"/>
    <n v="79"/>
    <n v="41"/>
    <n v="3"/>
    <n v="86.93"/>
    <x v="282"/>
    <n v="0.9317988064791134"/>
    <n v="7.2278133577310152E-2"/>
    <n v="0.51898734177215189"/>
    <n v="7.3170731707317069E-2"/>
    <n v="2.7447392497712718E-3"/>
    <n v="2.1202439024390247"/>
    <n v="1.100379746835443"/>
    <n v="49.288623030024155"/>
  </r>
  <r>
    <x v="61"/>
    <s v="CMP202603008"/>
    <s v="CUST100377"/>
    <x v="0"/>
    <s v="Red Non-Saleable"/>
    <x v="1"/>
    <s v="South"/>
    <s v="55+"/>
    <n v="3670"/>
    <n v="2840"/>
    <n v="2608"/>
    <n v="82"/>
    <n v="45"/>
    <n v="1"/>
    <n v="354.86"/>
    <x v="283"/>
    <n v="0.91830985915492958"/>
    <n v="3.1441717791411042E-2"/>
    <n v="0.54878048780487809"/>
    <n v="2.2222222222222223E-2"/>
    <n v="3.834355828220859E-4"/>
    <n v="7.8857777777777782"/>
    <n v="4.3275609756097566"/>
    <n v="0.93659471340810463"/>
  </r>
  <r>
    <x v="61"/>
    <s v="CMP202603058"/>
    <s v="CUST100021"/>
    <x v="3"/>
    <s v="Red Saleable"/>
    <x v="0"/>
    <s v="North"/>
    <s v="18-24"/>
    <n v="3249"/>
    <n v="2557"/>
    <n v="2385"/>
    <n v="99"/>
    <n v="57"/>
    <n v="2"/>
    <n v="384.5"/>
    <x v="284"/>
    <n v="0.93273367227219395"/>
    <n v="4.1509433962264149E-2"/>
    <n v="0.5757575757575758"/>
    <n v="3.5087719298245612E-2"/>
    <n v="8.3857442348008382E-4"/>
    <n v="6.7456140350877192"/>
    <n v="3.8838383838383836"/>
    <n v="5.4188816644993496"/>
  </r>
  <r>
    <x v="61"/>
    <s v="CMP202603060"/>
    <s v="CUST100718"/>
    <x v="2"/>
    <s v="Red Non-Saleable"/>
    <x v="0"/>
    <s v="East"/>
    <s v="25-34"/>
    <n v="3818"/>
    <n v="2955"/>
    <n v="2785"/>
    <n v="49"/>
    <n v="22"/>
    <n v="0"/>
    <n v="261.12"/>
    <x v="0"/>
    <n v="0.94247038917089676"/>
    <n v="1.7594254937163375E-2"/>
    <n v="0.44897959183673469"/>
    <n v="0"/>
    <n v="0"/>
    <n v="11.869090909090909"/>
    <n v="5.3289795918367346"/>
    <n v="-1"/>
  </r>
  <r>
    <x v="61"/>
    <s v="CMP202603077"/>
    <s v="CUST100593"/>
    <x v="1"/>
    <s v="Red Saleable"/>
    <x v="0"/>
    <s v="Central"/>
    <s v="55+"/>
    <n v="2240"/>
    <n v="1834"/>
    <n v="1775"/>
    <n v="18"/>
    <n v="7"/>
    <n v="0"/>
    <n v="339.76"/>
    <x v="0"/>
    <n v="0.96782988004362047"/>
    <n v="1.0140845070422535E-2"/>
    <n v="0.3888888888888889"/>
    <n v="0"/>
    <n v="0"/>
    <n v="48.537142857142854"/>
    <n v="18.875555555555554"/>
    <n v="-1"/>
  </r>
  <r>
    <x v="62"/>
    <s v="CMP202603004"/>
    <s v="CUST100212"/>
    <x v="2"/>
    <s v="Amber"/>
    <x v="0"/>
    <s v="Central"/>
    <s v="35-44"/>
    <n v="2535"/>
    <n v="2483"/>
    <n v="2343"/>
    <n v="109"/>
    <n v="59"/>
    <n v="2"/>
    <n v="186.94"/>
    <x v="285"/>
    <n v="0.94361659283125254"/>
    <n v="4.6521553563807085E-2"/>
    <n v="0.54128440366972475"/>
    <n v="3.3898305084745763E-2"/>
    <n v="8.5360648740930435E-4"/>
    <n v="3.1684745762711866"/>
    <n v="1.7150458715596331"/>
    <n v="7.3191933240611959"/>
  </r>
  <r>
    <x v="62"/>
    <s v="CMP202603006"/>
    <s v="CUST100249"/>
    <x v="2"/>
    <s v="Red Saleable"/>
    <x v="0"/>
    <s v="West"/>
    <s v="45-54"/>
    <n v="4433"/>
    <n v="3961"/>
    <n v="3733"/>
    <n v="203"/>
    <n v="98"/>
    <n v="3"/>
    <n v="307.02999999999997"/>
    <x v="286"/>
    <n v="0.9424387780863418"/>
    <n v="5.4379855344227165E-2"/>
    <n v="0.48275862068965519"/>
    <n v="3.0612244897959183E-2"/>
    <n v="8.0364318242700237E-4"/>
    <n v="3.1329591836734689"/>
    <n v="1.512463054187192"/>
    <n v="8.9126795427156971"/>
  </r>
  <r>
    <x v="62"/>
    <s v="CMP202603034"/>
    <s v="CUST100209"/>
    <x v="0"/>
    <s v="Green"/>
    <x v="0"/>
    <s v="West"/>
    <s v="55+"/>
    <n v="3410"/>
    <n v="2661"/>
    <n v="2485"/>
    <n v="225"/>
    <n v="97"/>
    <n v="5"/>
    <n v="370.33"/>
    <x v="287"/>
    <n v="0.93385945133408488"/>
    <n v="9.0543259557344061E-2"/>
    <n v="0.43111111111111111"/>
    <n v="5.1546391752577317E-2"/>
    <n v="2.012072434607646E-3"/>
    <n v="3.8178350515463917"/>
    <n v="1.6459111111111111"/>
    <n v="13.465773769340858"/>
  </r>
  <r>
    <x v="62"/>
    <s v="CMP202603040"/>
    <s v="CUST100240"/>
    <x v="2"/>
    <s v="Red Saleable"/>
    <x v="1"/>
    <s v="East"/>
    <s v="25-34"/>
    <n v="4202"/>
    <n v="3640"/>
    <n v="3537"/>
    <n v="157"/>
    <n v="105"/>
    <n v="6"/>
    <n v="314.58999999999997"/>
    <x v="288"/>
    <n v="0.97170329670329669"/>
    <n v="4.4387899349731412E-2"/>
    <n v="0.66878980891719741"/>
    <n v="5.7142857142857141E-2"/>
    <n v="1.6963528413910093E-3"/>
    <n v="2.9960952380952377"/>
    <n v="2.0037579617834393"/>
    <n v="14.317047585746529"/>
  </r>
  <r>
    <x v="62"/>
    <s v="CMP202603049"/>
    <s v="CUST100905"/>
    <x v="1"/>
    <s v="Red Non-Saleable"/>
    <x v="0"/>
    <s v="East"/>
    <s v="25-34"/>
    <n v="1956"/>
    <n v="1916"/>
    <n v="1810"/>
    <n v="33"/>
    <n v="12"/>
    <n v="0"/>
    <n v="371.24"/>
    <x v="0"/>
    <n v="0.94467640918580376"/>
    <n v="1.8232044198895028E-2"/>
    <n v="0.36363636363636365"/>
    <n v="0"/>
    <n v="0"/>
    <n v="30.936666666666667"/>
    <n v="11.24969696969697"/>
    <n v="-1"/>
  </r>
  <r>
    <x v="62"/>
    <s v="CMP202603070"/>
    <s v="CUST100541"/>
    <x v="1"/>
    <s v="Red Non-Saleable"/>
    <x v="0"/>
    <s v="East"/>
    <s v="55+"/>
    <n v="4581"/>
    <n v="4006"/>
    <n v="3764"/>
    <n v="66"/>
    <n v="19"/>
    <n v="0"/>
    <n v="726.27"/>
    <x v="0"/>
    <n v="0.93959061407888167"/>
    <n v="1.7534537725823592E-2"/>
    <n v="0.2878787878787879"/>
    <n v="0"/>
    <n v="0"/>
    <n v="38.224736842105266"/>
    <n v="11.004090909090909"/>
    <n v="-1"/>
  </r>
  <r>
    <x v="62"/>
    <s v="CMP202603072"/>
    <s v="CUST100558"/>
    <x v="0"/>
    <s v="Green"/>
    <x v="1"/>
    <s v="South"/>
    <s v="55+"/>
    <n v="1517"/>
    <n v="1182"/>
    <n v="1097"/>
    <n v="127"/>
    <n v="87"/>
    <n v="8"/>
    <n v="126.07"/>
    <x v="289"/>
    <n v="0.92808798646362101"/>
    <n v="0.11577028258887875"/>
    <n v="0.68503937007874016"/>
    <n v="9.1954022988505746E-2"/>
    <n v="7.2926162260711028E-3"/>
    <n v="1.4490804597701148"/>
    <n v="0.9926771653543307"/>
    <n v="59.768620607598962"/>
  </r>
  <r>
    <x v="62"/>
    <s v="CMP202603073"/>
    <s v="CUST101004"/>
    <x v="0"/>
    <s v="Amber"/>
    <x v="1"/>
    <s v="West"/>
    <s v="55+"/>
    <n v="4246"/>
    <n v="3723"/>
    <n v="3350"/>
    <n v="334"/>
    <n v="192"/>
    <n v="13"/>
    <n v="465.26"/>
    <x v="290"/>
    <n v="0.89981197958635506"/>
    <n v="9.9701492537313433E-2"/>
    <n v="0.57485029940119758"/>
    <n v="6.7708333333333329E-2"/>
    <n v="3.880597014925373E-3"/>
    <n v="2.4232291666666668"/>
    <n v="1.3929940119760478"/>
    <n v="42.687937927180506"/>
  </r>
  <r>
    <x v="62"/>
    <s v="CMP202603077"/>
    <s v="CUST100817"/>
    <x v="2"/>
    <s v="Red Non-Saleable"/>
    <x v="0"/>
    <s v="East"/>
    <s v="35-44"/>
    <n v="3014"/>
    <n v="2579"/>
    <n v="2412"/>
    <n v="28"/>
    <n v="13"/>
    <n v="0"/>
    <n v="205.23"/>
    <x v="0"/>
    <n v="0.93524621946490893"/>
    <n v="1.1608623548922056E-2"/>
    <n v="0.4642857142857143"/>
    <n v="0"/>
    <n v="0"/>
    <n v="15.786923076923076"/>
    <n v="7.3296428571428569"/>
    <n v="-1"/>
  </r>
  <r>
    <x v="63"/>
    <s v="CMP202603013"/>
    <s v="CUST100527"/>
    <x v="0"/>
    <s v="Red Non-Saleable"/>
    <x v="0"/>
    <s v="West"/>
    <s v="35-44"/>
    <n v="1297"/>
    <n v="1181"/>
    <n v="1067"/>
    <n v="25"/>
    <n v="11"/>
    <n v="0"/>
    <n v="161.96"/>
    <x v="0"/>
    <n v="0.90347163420829801"/>
    <n v="2.3430178069353328E-2"/>
    <n v="0.44"/>
    <n v="0"/>
    <n v="0"/>
    <n v="14.723636363636365"/>
    <n v="6.4784000000000006"/>
    <n v="-1"/>
  </r>
  <r>
    <x v="63"/>
    <s v="CMP202603062"/>
    <s v="CUST100224"/>
    <x v="1"/>
    <s v="Red Non-Saleable"/>
    <x v="0"/>
    <s v="North"/>
    <s v="45-54"/>
    <n v="2105"/>
    <n v="1760"/>
    <n v="1668"/>
    <n v="40"/>
    <n v="13"/>
    <n v="0"/>
    <n v="335.78"/>
    <x v="0"/>
    <n v="0.94772727272727275"/>
    <n v="2.3980815347721823E-2"/>
    <n v="0.32500000000000001"/>
    <n v="0"/>
    <n v="0"/>
    <n v="25.829230769230769"/>
    <n v="8.394499999999999"/>
    <n v="-1"/>
  </r>
  <r>
    <x v="63"/>
    <s v="CMP202603071"/>
    <s v="CUST100655"/>
    <x v="1"/>
    <s v="Amber"/>
    <x v="0"/>
    <s v="East"/>
    <s v="55+"/>
    <n v="1299"/>
    <n v="1059"/>
    <n v="1023"/>
    <n v="48"/>
    <n v="20"/>
    <n v="1"/>
    <n v="162.16"/>
    <x v="291"/>
    <n v="0.96600566572237956"/>
    <n v="4.6920821114369501E-2"/>
    <n v="0.41666666666666669"/>
    <n v="0.05"/>
    <n v="9.7751710654936461E-4"/>
    <n v="8.1080000000000005"/>
    <n v="3.3783333333333334"/>
    <n v="6.5889245189935854"/>
  </r>
  <r>
    <x v="64"/>
    <s v="CMP202603027"/>
    <s v="CUST101274"/>
    <x v="1"/>
    <s v="Green"/>
    <x v="0"/>
    <s v="East"/>
    <s v="45-54"/>
    <n v="837"/>
    <n v="800"/>
    <n v="767"/>
    <n v="43"/>
    <n v="15"/>
    <n v="1"/>
    <n v="130.80000000000001"/>
    <x v="292"/>
    <n v="0.95874999999999999"/>
    <n v="5.6062581486310298E-2"/>
    <n v="0.34883720930232559"/>
    <n v="6.6666666666666666E-2"/>
    <n v="1.3037809647979139E-3"/>
    <n v="8.7200000000000006"/>
    <n v="3.0418604651162795"/>
    <n v="7.6197247706422022"/>
  </r>
  <r>
    <x v="64"/>
    <s v="CMP202603038"/>
    <s v="CUST100399"/>
    <x v="2"/>
    <s v="Red Saleable"/>
    <x v="1"/>
    <s v="Central"/>
    <s v="18-24"/>
    <n v="1828"/>
    <n v="1748"/>
    <n v="1645"/>
    <n v="63"/>
    <n v="40"/>
    <n v="2"/>
    <n v="135.58000000000001"/>
    <x v="293"/>
    <n v="0.94107551487414187"/>
    <n v="3.8297872340425532E-2"/>
    <n v="0.63492063492063489"/>
    <n v="0.05"/>
    <n v="1.2158054711246201E-3"/>
    <n v="3.3895000000000004"/>
    <n v="2.1520634920634922"/>
    <n v="12.103481339430594"/>
  </r>
  <r>
    <x v="64"/>
    <s v="CMP202603074"/>
    <s v="CUST100523"/>
    <x v="2"/>
    <s v="Red Non-Saleable"/>
    <x v="0"/>
    <s v="West"/>
    <s v="55+"/>
    <n v="1084"/>
    <n v="938"/>
    <n v="875"/>
    <n v="14"/>
    <n v="6"/>
    <n v="0"/>
    <n v="72.760000000000005"/>
    <x v="0"/>
    <n v="0.93283582089552242"/>
    <n v="1.6E-2"/>
    <n v="0.42857142857142855"/>
    <n v="0"/>
    <n v="0"/>
    <n v="12.126666666666667"/>
    <n v="5.1971428571428575"/>
    <n v="-1"/>
  </r>
  <r>
    <x v="65"/>
    <s v="CMP202603039"/>
    <s v="CUST101370"/>
    <x v="1"/>
    <s v="Red Saleable"/>
    <x v="1"/>
    <s v="North"/>
    <s v="35-44"/>
    <n v="3801"/>
    <n v="3071"/>
    <n v="2937"/>
    <n v="134"/>
    <n v="64"/>
    <n v="2"/>
    <n v="515.04"/>
    <x v="294"/>
    <n v="0.95636600455877563"/>
    <n v="4.5624787197820905E-2"/>
    <n v="0.47761194029850745"/>
    <n v="3.125E-2"/>
    <n v="6.8096697310180451E-4"/>
    <n v="8.0474999999999994"/>
    <n v="3.8435820895522386"/>
    <n v="2.0632960546753654"/>
  </r>
  <r>
    <x v="65"/>
    <s v="CMP202603044"/>
    <s v="CUST100906"/>
    <x v="0"/>
    <s v="Red Saleable"/>
    <x v="0"/>
    <s v="North"/>
    <s v="45-54"/>
    <n v="930"/>
    <n v="720"/>
    <n v="651"/>
    <n v="23"/>
    <n v="10"/>
    <n v="0"/>
    <n v="101.81"/>
    <x v="0"/>
    <n v="0.90416666666666667"/>
    <n v="3.5330261136712747E-2"/>
    <n v="0.43478260869565216"/>
    <n v="0"/>
    <n v="0"/>
    <n v="10.181000000000001"/>
    <n v="4.4265217391304352"/>
    <n v="-1"/>
  </r>
  <r>
    <x v="65"/>
    <s v="CMP202603063"/>
    <s v="CUST100969"/>
    <x v="1"/>
    <s v="Red Saleable"/>
    <x v="0"/>
    <s v="North"/>
    <s v="18-24"/>
    <n v="2148"/>
    <n v="2059"/>
    <n v="1998"/>
    <n v="52"/>
    <n v="19"/>
    <n v="1"/>
    <n v="385.59"/>
    <x v="295"/>
    <n v="0.97037396794560471"/>
    <n v="2.6026026026026026E-2"/>
    <n v="0.36538461538461536"/>
    <n v="5.2631578947368418E-2"/>
    <n v="5.005005005005005E-4"/>
    <n v="20.294210526315787"/>
    <n v="7.4151923076923074"/>
    <n v="1.7543504758940847"/>
  </r>
  <r>
    <x v="65"/>
    <s v="CMP202603071"/>
    <s v="CUST101225"/>
    <x v="0"/>
    <s v="Red Saleable"/>
    <x v="0"/>
    <s v="North"/>
    <s v="18-24"/>
    <n v="1387"/>
    <n v="1362"/>
    <n v="1230"/>
    <n v="42"/>
    <n v="23"/>
    <n v="1"/>
    <n v="152.6"/>
    <x v="296"/>
    <n v="0.90308370044052866"/>
    <n v="3.4146341463414637E-2"/>
    <n v="0.54761904761904767"/>
    <n v="4.3478260869565216E-2"/>
    <n v="8.1300813008130081E-4"/>
    <n v="6.6347826086956516"/>
    <n v="3.6333333333333333"/>
    <n v="4.6066841415465269"/>
  </r>
  <r>
    <x v="66"/>
    <s v="CMP202603007"/>
    <s v="CUST101205"/>
    <x v="0"/>
    <s v="Green"/>
    <x v="0"/>
    <s v="South"/>
    <s v="45-54"/>
    <n v="4762"/>
    <n v="3511"/>
    <n v="3103"/>
    <n v="236"/>
    <n v="127"/>
    <n v="9"/>
    <n v="424.93"/>
    <x v="297"/>
    <n v="0.88379379094275134"/>
    <n v="7.6055430228810825E-2"/>
    <n v="0.53813559322033899"/>
    <n v="7.0866141732283464E-2"/>
    <n v="2.9004189494038026E-3"/>
    <n v="3.3459055118110235"/>
    <n v="1.8005508474576271"/>
    <n v="29.062622078930648"/>
  </r>
  <r>
    <x v="66"/>
    <s v="CMP202603021"/>
    <s v="CUST100112"/>
    <x v="1"/>
    <s v="Amber"/>
    <x v="0"/>
    <s v="West"/>
    <s v="25-34"/>
    <n v="4625"/>
    <n v="3620"/>
    <n v="3480"/>
    <n v="139"/>
    <n v="55"/>
    <n v="3"/>
    <n v="663.18"/>
    <x v="298"/>
    <n v="0.96132596685082872"/>
    <n v="3.9942528735632185E-2"/>
    <n v="0.39568345323741005"/>
    <n v="5.4545454545454543E-2"/>
    <n v="8.6206896551724137E-4"/>
    <n v="12.057818181818181"/>
    <n v="4.7710791366906475"/>
    <n v="3.0757411260894481"/>
  </r>
  <r>
    <x v="66"/>
    <s v="CMP202603045"/>
    <s v="CUST100774"/>
    <x v="0"/>
    <s v="Green"/>
    <x v="1"/>
    <s v="North"/>
    <s v="25-34"/>
    <n v="1121"/>
    <n v="1045"/>
    <n v="980"/>
    <n v="110"/>
    <n v="77"/>
    <n v="7"/>
    <n v="146.37"/>
    <x v="299"/>
    <n v="0.93779904306220097"/>
    <n v="0.11224489795918367"/>
    <n v="0.7"/>
    <n v="9.0909090909090912E-2"/>
    <n v="7.1428571428571426E-3"/>
    <n v="1.9009090909090909"/>
    <n v="1.3306363636363636"/>
    <n v="60.035184805629555"/>
  </r>
  <r>
    <x v="66"/>
    <s v="CMP202603058"/>
    <s v="CUST100380"/>
    <x v="1"/>
    <s v="Amber"/>
    <x v="1"/>
    <s v="North"/>
    <s v="25-34"/>
    <n v="4070"/>
    <n v="3853"/>
    <n v="3697"/>
    <n v="244"/>
    <n v="119"/>
    <n v="8"/>
    <n v="594.16"/>
    <x v="300"/>
    <n v="0.95951206851803794"/>
    <n v="6.5999459020827697E-2"/>
    <n v="0.48770491803278687"/>
    <n v="6.7226890756302518E-2"/>
    <n v="2.1639166892074655E-3"/>
    <n v="4.9929411764705875"/>
    <n v="2.4350819672131148"/>
    <n v="13.477430321798844"/>
  </r>
  <r>
    <x v="66"/>
    <s v="CMP202603063"/>
    <s v="CUST101359"/>
    <x v="0"/>
    <s v="Green"/>
    <x v="1"/>
    <s v="South"/>
    <s v="35-44"/>
    <n v="1304"/>
    <n v="1122"/>
    <n v="1035"/>
    <n v="110"/>
    <n v="66"/>
    <n v="5"/>
    <n v="120.21"/>
    <x v="301"/>
    <n v="0.92245989304812837"/>
    <n v="0.10628019323671498"/>
    <n v="0.6"/>
    <n v="7.575757575757576E-2"/>
    <n v="4.830917874396135E-3"/>
    <n v="1.8213636363636363"/>
    <n v="1.0928181818181817"/>
    <n v="62.256966974461363"/>
  </r>
  <r>
    <x v="67"/>
    <s v="CMP202603006"/>
    <s v="CUST101102"/>
    <x v="3"/>
    <s v="Red Saleable"/>
    <x v="1"/>
    <s v="North"/>
    <s v="45-54"/>
    <n v="2242"/>
    <n v="2069"/>
    <n v="1968"/>
    <n v="90"/>
    <n v="54"/>
    <n v="2"/>
    <n v="286.86"/>
    <x v="302"/>
    <n v="0.95118414693088449"/>
    <n v="4.573170731707317E-2"/>
    <n v="0.6"/>
    <n v="3.7037037037037035E-2"/>
    <n v="1.0162601626016261E-3"/>
    <n v="5.3122222222222222"/>
    <n v="3.1873333333333336"/>
    <n v="4.3438959771317025"/>
  </r>
  <r>
    <x v="67"/>
    <s v="CMP202603010"/>
    <s v="CUST100080"/>
    <x v="2"/>
    <s v="Red Saleable"/>
    <x v="0"/>
    <s v="South"/>
    <s v="25-34"/>
    <n v="3591"/>
    <n v="2632"/>
    <n v="2489"/>
    <n v="75"/>
    <n v="33"/>
    <n v="0"/>
    <n v="235.75"/>
    <x v="0"/>
    <n v="0.94566869300911849"/>
    <n v="3.0132583366813983E-2"/>
    <n v="0.44"/>
    <n v="0"/>
    <n v="0"/>
    <n v="7.1439393939393936"/>
    <n v="3.1433333333333335"/>
    <n v="-1"/>
  </r>
  <r>
    <x v="67"/>
    <s v="CMP202603024"/>
    <s v="CUST100767"/>
    <x v="2"/>
    <s v="Red Non-Saleable"/>
    <x v="0"/>
    <s v="West"/>
    <s v="18-24"/>
    <n v="762"/>
    <n v="675"/>
    <n v="624"/>
    <n v="6"/>
    <n v="2"/>
    <n v="0"/>
    <n v="54.33"/>
    <x v="0"/>
    <n v="0.9244444444444444"/>
    <n v="9.6153846153846159E-3"/>
    <n v="0.33333333333333331"/>
    <n v="0"/>
    <n v="0"/>
    <n v="27.164999999999999"/>
    <n v="9.0549999999999997"/>
    <n v="-1"/>
  </r>
  <r>
    <x v="67"/>
    <s v="CMP202603025"/>
    <s v="CUST100626"/>
    <x v="2"/>
    <s v="Amber"/>
    <x v="1"/>
    <s v="North"/>
    <s v="45-54"/>
    <n v="1092"/>
    <n v="937"/>
    <n v="863"/>
    <n v="54"/>
    <n v="31"/>
    <n v="3"/>
    <n v="89.67"/>
    <x v="303"/>
    <n v="0.92102454642475984"/>
    <n v="6.2572421784472768E-2"/>
    <n v="0.57407407407407407"/>
    <n v="9.6774193548387094E-2"/>
    <n v="3.4762456546929316E-3"/>
    <n v="2.8925806451612903"/>
    <n v="1.6605555555555556"/>
    <n v="35.851120776179322"/>
  </r>
  <r>
    <x v="67"/>
    <s v="CMP202603058"/>
    <s v="CUST101016"/>
    <x v="1"/>
    <s v="Amber"/>
    <x v="1"/>
    <s v="West"/>
    <s v="55+"/>
    <n v="2150"/>
    <n v="1596"/>
    <n v="1534"/>
    <n v="95"/>
    <n v="49"/>
    <n v="2"/>
    <n v="265.72000000000003"/>
    <x v="304"/>
    <n v="0.96115288220551376"/>
    <n v="6.1929595827900911E-2"/>
    <n v="0.51578947368421058"/>
    <n v="4.0816326530612242E-2"/>
    <n v="1.3037809647979139E-3"/>
    <n v="5.4228571428571435"/>
    <n v="2.7970526315789477"/>
    <n v="7.8720457624567217"/>
  </r>
  <r>
    <x v="67"/>
    <s v="CMP202603062"/>
    <s v="CUST101258"/>
    <x v="3"/>
    <s v="Amber"/>
    <x v="0"/>
    <s v="Central"/>
    <s v="45-54"/>
    <n v="2904"/>
    <n v="2177"/>
    <n v="2055"/>
    <n v="108"/>
    <n v="56"/>
    <n v="4"/>
    <n v="358.21"/>
    <x v="305"/>
    <n v="0.94395957740009184"/>
    <n v="5.2554744525547446E-2"/>
    <n v="0.51851851851851849"/>
    <n v="7.1428571428571425E-2"/>
    <n v="1.9464720194647203E-3"/>
    <n v="6.3966071428571425"/>
    <n v="3.3167592592592592"/>
    <n v="13.662432651238101"/>
  </r>
  <r>
    <x v="68"/>
    <s v="CMP202603004"/>
    <s v="CUST100559"/>
    <x v="1"/>
    <s v="Amber"/>
    <x v="1"/>
    <s v="West"/>
    <s v="18-24"/>
    <n v="2665"/>
    <n v="2532"/>
    <n v="2382"/>
    <n v="122"/>
    <n v="63"/>
    <n v="4"/>
    <n v="507.51"/>
    <x v="306"/>
    <n v="0.94075829383886256"/>
    <n v="5.1217464315701094E-2"/>
    <n v="0.51639344262295084"/>
    <n v="6.3492063492063489E-2"/>
    <n v="1.6792611251049538E-3"/>
    <n v="8.055714285714286"/>
    <n v="4.1599180327868854"/>
    <n v="10.056688538156884"/>
  </r>
  <r>
    <x v="68"/>
    <s v="CMP202603019"/>
    <s v="CUST100515"/>
    <x v="2"/>
    <s v="Amber"/>
    <x v="0"/>
    <s v="Central"/>
    <s v="25-34"/>
    <n v="665"/>
    <n v="641"/>
    <n v="614"/>
    <n v="27"/>
    <n v="13"/>
    <n v="1"/>
    <n v="53.06"/>
    <x v="307"/>
    <n v="0.95787831513260535"/>
    <n v="4.3973941368078175E-2"/>
    <n v="0.48148148148148145"/>
    <n v="7.6923076923076927E-2"/>
    <n v="1.6286644951140066E-3"/>
    <n v="4.0815384615384618"/>
    <n v="1.9651851851851854"/>
    <n v="19.054655107425553"/>
  </r>
  <r>
    <x v="68"/>
    <s v="CMP202603038"/>
    <s v="CUST100325"/>
    <x v="2"/>
    <s v="Red Saleable"/>
    <x v="0"/>
    <s v="Central"/>
    <s v="25-34"/>
    <n v="4018"/>
    <n v="3599"/>
    <n v="3363"/>
    <n v="106"/>
    <n v="49"/>
    <n v="2"/>
    <n v="326.18"/>
    <x v="308"/>
    <n v="0.93442622950819676"/>
    <n v="3.1519476657746057E-2"/>
    <n v="0.46226415094339623"/>
    <n v="4.0816326530612242E-2"/>
    <n v="5.9470710674992561E-4"/>
    <n v="6.6567346938775511"/>
    <n v="3.0771698113207546"/>
    <n v="3.3241768348764484"/>
  </r>
  <r>
    <x v="68"/>
    <s v="CMP202603050"/>
    <s v="CUST100474"/>
    <x v="0"/>
    <s v="Red Non-Saleable"/>
    <x v="0"/>
    <s v="South"/>
    <s v="25-34"/>
    <n v="413"/>
    <n v="362"/>
    <n v="324"/>
    <n v="1"/>
    <n v="1"/>
    <n v="0"/>
    <n v="43.77"/>
    <x v="0"/>
    <n v="0.89502762430939231"/>
    <n v="3.0864197530864196E-3"/>
    <n v="1"/>
    <n v="0"/>
    <n v="0"/>
    <n v="43.77"/>
    <n v="43.77"/>
    <n v="-1"/>
  </r>
  <r>
    <x v="68"/>
    <s v="CMP202603062"/>
    <s v="CUST100614"/>
    <x v="2"/>
    <s v="Green"/>
    <x v="0"/>
    <s v="South"/>
    <s v="55+"/>
    <n v="1169"/>
    <n v="1020"/>
    <n v="956"/>
    <n v="88"/>
    <n v="40"/>
    <n v="2"/>
    <n v="74.19"/>
    <x v="309"/>
    <n v="0.93725490196078431"/>
    <n v="9.2050209205020925E-2"/>
    <n v="0.45454545454545453"/>
    <n v="0.05"/>
    <n v="2.0920502092050207E-3"/>
    <n v="1.8547499999999999"/>
    <n v="0.84306818181818177"/>
    <n v="21.672058228871816"/>
  </r>
  <r>
    <x v="69"/>
    <s v="CMP202603034"/>
    <s v="CUST100779"/>
    <x v="1"/>
    <s v="Amber"/>
    <x v="1"/>
    <s v="West"/>
    <s v="55+"/>
    <n v="2931"/>
    <n v="2758"/>
    <n v="2605"/>
    <n v="119"/>
    <n v="58"/>
    <n v="4"/>
    <n v="578.97"/>
    <x v="310"/>
    <n v="0.94452501812907907"/>
    <n v="4.5681381957773513E-2"/>
    <n v="0.48739495798319327"/>
    <n v="6.8965517241379309E-2"/>
    <n v="1.5355086372360845E-3"/>
    <n v="9.9822413793103451"/>
    <n v="4.8652941176470588"/>
    <n v="5.2765600981052563"/>
  </r>
  <r>
    <x v="69"/>
    <s v="CMP202603050"/>
    <s v="CUST100519"/>
    <x v="3"/>
    <s v="Amber"/>
    <x v="1"/>
    <s v="East"/>
    <s v="35-44"/>
    <n v="3767"/>
    <n v="2828"/>
    <n v="2662"/>
    <n v="200"/>
    <n v="118"/>
    <n v="7"/>
    <n v="465.62"/>
    <x v="311"/>
    <n v="0.94130127298444133"/>
    <n v="7.5131480090157771E-2"/>
    <n v="0.59"/>
    <n v="5.9322033898305086E-2"/>
    <n v="2.6296018031555222E-3"/>
    <n v="3.9459322033898308"/>
    <n v="2.3281000000000001"/>
    <n v="15.563592629182596"/>
  </r>
  <r>
    <x v="69"/>
    <s v="CMP202603057"/>
    <s v="CUST100133"/>
    <x v="2"/>
    <s v="Green"/>
    <x v="0"/>
    <s v="East"/>
    <s v="18-24"/>
    <n v="1831"/>
    <n v="1348"/>
    <n v="1247"/>
    <n v="75"/>
    <n v="35"/>
    <n v="2"/>
    <n v="101.08"/>
    <x v="312"/>
    <n v="0.92507418397626118"/>
    <n v="6.0144346431435444E-2"/>
    <n v="0.46666666666666667"/>
    <n v="5.7142857142857141E-2"/>
    <n v="1.6038492381716118E-3"/>
    <n v="2.8879999999999999"/>
    <n v="1.3477333333333332"/>
    <n v="18.22566284131381"/>
  </r>
  <r>
    <x v="69"/>
    <s v="CMP202603060"/>
    <s v="CUST100281"/>
    <x v="0"/>
    <s v="Red Saleable"/>
    <x v="0"/>
    <s v="West"/>
    <s v="55+"/>
    <n v="2044"/>
    <n v="1619"/>
    <n v="1465"/>
    <n v="73"/>
    <n v="39"/>
    <n v="2"/>
    <n v="217.33"/>
    <x v="313"/>
    <n v="0.9048795552810377"/>
    <n v="4.9829351535836175E-2"/>
    <n v="0.53424657534246578"/>
    <n v="5.128205128205128E-2"/>
    <n v="1.3651877133105802E-3"/>
    <n v="5.5725641025641028"/>
    <n v="2.9771232876712332"/>
    <n v="7.2457553029954447"/>
  </r>
  <r>
    <x v="69"/>
    <s v="CMP202603062"/>
    <s v="CUST100624"/>
    <x v="3"/>
    <s v="Amber"/>
    <x v="1"/>
    <s v="South"/>
    <s v="25-34"/>
    <n v="2680"/>
    <n v="2479"/>
    <n v="2349"/>
    <n v="182"/>
    <n v="96"/>
    <n v="6"/>
    <n v="382.71"/>
    <x v="314"/>
    <n v="0.94755949979830578"/>
    <n v="7.747977862920391E-2"/>
    <n v="0.52747252747252749"/>
    <n v="6.25E-2"/>
    <n v="2.554278416347382E-3"/>
    <n v="3.9865624999999998"/>
    <n v="2.1028021978021978"/>
    <n v="17.440072117268951"/>
  </r>
  <r>
    <x v="70"/>
    <s v="CMP202603004"/>
    <s v="CUST100650"/>
    <x v="0"/>
    <s v="Amber"/>
    <x v="1"/>
    <s v="South"/>
    <s v="45-54"/>
    <n v="1291"/>
    <n v="1130"/>
    <n v="998"/>
    <n v="76"/>
    <n v="46"/>
    <n v="2"/>
    <n v="154.91999999999999"/>
    <x v="315"/>
    <n v="0.88318584070796458"/>
    <n v="7.6152304609218444E-2"/>
    <n v="0.60526315789473684"/>
    <n v="4.3478260869565216E-2"/>
    <n v="2.004008016032064E-3"/>
    <n v="3.3678260869565215"/>
    <n v="2.0384210526315787"/>
    <n v="18.851148980118772"/>
  </r>
  <r>
    <x v="70"/>
    <s v="CMP202603047"/>
    <s v="CUST100958"/>
    <x v="1"/>
    <s v="Red Non-Saleable"/>
    <x v="0"/>
    <s v="North"/>
    <s v="18-24"/>
    <n v="2159"/>
    <n v="2011"/>
    <n v="1988"/>
    <n v="23"/>
    <n v="9"/>
    <n v="0"/>
    <n v="318.33999999999997"/>
    <x v="0"/>
    <n v="0.98856290402784686"/>
    <n v="1.1569416498993963E-2"/>
    <n v="0.39130434782608697"/>
    <n v="0"/>
    <n v="0"/>
    <n v="35.371111111111105"/>
    <n v="13.840869565217391"/>
    <n v="-1"/>
  </r>
  <r>
    <x v="70"/>
    <s v="CMP202603049"/>
    <s v="CUST100633"/>
    <x v="3"/>
    <s v="Amber"/>
    <x v="0"/>
    <s v="Central"/>
    <s v="18-24"/>
    <n v="2404"/>
    <n v="2403"/>
    <n v="2270"/>
    <n v="159"/>
    <n v="74"/>
    <n v="4"/>
    <n v="423.04"/>
    <x v="316"/>
    <n v="0.9446525176862256"/>
    <n v="7.0044052863436124E-2"/>
    <n v="0.46540880503144655"/>
    <n v="5.4054054054054057E-2"/>
    <n v="1.762114537444934E-3"/>
    <n v="5.716756756756757"/>
    <n v="2.6606289308176101"/>
    <n v="7.82561932677761"/>
  </r>
  <r>
    <x v="70"/>
    <s v="CMP202603065"/>
    <s v="CUST100962"/>
    <x v="1"/>
    <s v="Green"/>
    <x v="0"/>
    <s v="West"/>
    <s v="55+"/>
    <n v="2203"/>
    <n v="1860"/>
    <n v="1796"/>
    <n v="104"/>
    <n v="44"/>
    <n v="3"/>
    <n v="304.87"/>
    <x v="317"/>
    <n v="0.96559139784946235"/>
    <n v="5.7906458797327393E-2"/>
    <n v="0.42307692307692307"/>
    <n v="6.8181818181818177E-2"/>
    <n v="1.6703786191536749E-3"/>
    <n v="6.9288636363636362"/>
    <n v="2.9314423076923077"/>
    <n v="8.4382195689966206"/>
  </r>
  <r>
    <x v="70"/>
    <s v="CMP202603067"/>
    <s v="CUST100369"/>
    <x v="2"/>
    <s v="Amber"/>
    <x v="1"/>
    <s v="West"/>
    <s v="55+"/>
    <n v="4476"/>
    <n v="3612"/>
    <n v="3396"/>
    <n v="197"/>
    <n v="102"/>
    <n v="6"/>
    <n v="292.54000000000002"/>
    <x v="318"/>
    <n v="0.94019933554817281"/>
    <n v="5.8009422850412252E-2"/>
    <n v="0.51776649746192893"/>
    <n v="5.8823529411764705E-2"/>
    <n v="1.7667844522968198E-3"/>
    <n v="2.8680392156862746"/>
    <n v="1.4849746192893403"/>
    <n v="15.759930265946535"/>
  </r>
  <r>
    <x v="70"/>
    <s v="CMP202603072"/>
    <s v="CUST101354"/>
    <x v="1"/>
    <s v="Red Saleable"/>
    <x v="0"/>
    <s v="Central"/>
    <s v="35-44"/>
    <n v="2830"/>
    <n v="2678"/>
    <n v="2616"/>
    <n v="56"/>
    <n v="25"/>
    <n v="1"/>
    <n v="465.97"/>
    <x v="319"/>
    <n v="0.97684839432412252"/>
    <n v="2.1406727828746176E-2"/>
    <n v="0.44642857142857145"/>
    <n v="0.04"/>
    <n v="3.8226299694189603E-4"/>
    <n v="18.6388"/>
    <n v="8.3208928571428569"/>
    <n v="1.1505890937184797"/>
  </r>
  <r>
    <x v="71"/>
    <s v="CMP202603009"/>
    <s v="CUST100054"/>
    <x v="1"/>
    <s v="Red Saleable"/>
    <x v="0"/>
    <s v="West"/>
    <s v="55+"/>
    <n v="3933"/>
    <n v="3861"/>
    <n v="3701"/>
    <n v="114"/>
    <n v="59"/>
    <n v="2"/>
    <n v="687.79"/>
    <x v="320"/>
    <n v="0.95855995855995857"/>
    <n v="3.0802485814644689E-2"/>
    <n v="0.51754385964912286"/>
    <n v="3.3898305084745763E-2"/>
    <n v="5.4039448797622261E-4"/>
    <n v="11.657457627118644"/>
    <n v="6.0332456140350876"/>
    <n v="1.0175053432006862"/>
  </r>
  <r>
    <x v="71"/>
    <s v="CMP202603016"/>
    <s v="CUST101365"/>
    <x v="1"/>
    <s v="Green"/>
    <x v="0"/>
    <s v="South"/>
    <s v="25-34"/>
    <n v="3941"/>
    <n v="3562"/>
    <n v="3463"/>
    <n v="142"/>
    <n v="63"/>
    <n v="4"/>
    <n v="575.66"/>
    <x v="321"/>
    <n v="0.97220662549129699"/>
    <n v="4.1004909038406007E-2"/>
    <n v="0.44366197183098594"/>
    <n v="6.3492063492063489E-2"/>
    <n v="1.155067860236789E-3"/>
    <n v="9.1374603174603166"/>
    <n v="4.0539436619718305"/>
    <n v="6.3121808011673561"/>
  </r>
  <r>
    <x v="71"/>
    <s v="CMP202603017"/>
    <s v="CUST101103"/>
    <x v="2"/>
    <s v="Amber"/>
    <x v="0"/>
    <s v="North"/>
    <s v="55+"/>
    <n v="722"/>
    <n v="656"/>
    <n v="616"/>
    <n v="24"/>
    <n v="10"/>
    <n v="0"/>
    <n v="59.32"/>
    <x v="0"/>
    <n v="0.93902439024390238"/>
    <n v="3.896103896103896E-2"/>
    <n v="0.41666666666666669"/>
    <n v="0"/>
    <n v="0"/>
    <n v="5.9320000000000004"/>
    <n v="2.4716666666666667"/>
    <n v="-1"/>
  </r>
  <r>
    <x v="71"/>
    <s v="CMP202603023"/>
    <s v="CUST101307"/>
    <x v="0"/>
    <s v="Green"/>
    <x v="0"/>
    <s v="North"/>
    <s v="25-34"/>
    <n v="4121"/>
    <n v="3120"/>
    <n v="2870"/>
    <n v="233"/>
    <n v="113"/>
    <n v="8"/>
    <n v="375.98"/>
    <x v="322"/>
    <n v="0.91987179487179482"/>
    <n v="8.1184668989547043E-2"/>
    <n v="0.48497854077253216"/>
    <n v="7.0796460176991149E-2"/>
    <n v="2.7874564459930314E-3"/>
    <n v="3.3272566371681416"/>
    <n v="1.613648068669528"/>
    <n v="27.074232671950636"/>
  </r>
  <r>
    <x v="71"/>
    <s v="CMP202603036"/>
    <s v="CUST100379"/>
    <x v="1"/>
    <s v="Red Saleable"/>
    <x v="0"/>
    <s v="South"/>
    <s v="35-44"/>
    <n v="1481"/>
    <n v="1120"/>
    <n v="1089"/>
    <n v="30"/>
    <n v="12"/>
    <n v="0"/>
    <n v="184.35"/>
    <x v="0"/>
    <n v="0.97232142857142856"/>
    <n v="2.7548209366391185E-2"/>
    <n v="0.4"/>
    <n v="0"/>
    <n v="0"/>
    <n v="15.362499999999999"/>
    <n v="6.1449999999999996"/>
    <n v="-1"/>
  </r>
  <r>
    <x v="71"/>
    <s v="CMP202603036"/>
    <s v="CUST101390"/>
    <x v="0"/>
    <s v="Green"/>
    <x v="0"/>
    <s v="North"/>
    <s v="25-34"/>
    <n v="2493"/>
    <n v="2176"/>
    <n v="2031"/>
    <n v="158"/>
    <n v="74"/>
    <n v="5"/>
    <n v="275.81"/>
    <x v="323"/>
    <n v="0.93336397058823528"/>
    <n v="7.7794190054160509E-2"/>
    <n v="0.46835443037974683"/>
    <n v="6.7567567567567571E-2"/>
    <n v="2.461841457410143E-3"/>
    <n v="3.7271621621621622"/>
    <n v="1.7456329113924052"/>
    <n v="15.040535151009752"/>
  </r>
  <r>
    <x v="71"/>
    <s v="CMP202603038"/>
    <s v="CUST100242"/>
    <x v="0"/>
    <s v="Red Saleable"/>
    <x v="0"/>
    <s v="East"/>
    <s v="55+"/>
    <n v="2157"/>
    <n v="2069"/>
    <n v="1803"/>
    <n v="67"/>
    <n v="34"/>
    <n v="2"/>
    <n v="261.14"/>
    <x v="324"/>
    <n v="0.87143547607539873"/>
    <n v="3.7160288408208543E-2"/>
    <n v="0.5074626865671642"/>
    <n v="5.8823529411764705E-2"/>
    <n v="1.1092623405435386E-3"/>
    <n v="7.6805882352941168"/>
    <n v="3.8976119402985074"/>
    <n v="7.4017385310561403"/>
  </r>
  <r>
    <x v="71"/>
    <s v="CMP202603043"/>
    <s v="CUST100847"/>
    <x v="0"/>
    <s v="Red Saleable"/>
    <x v="0"/>
    <s v="East"/>
    <s v="55+"/>
    <n v="2157"/>
    <n v="1658"/>
    <n v="1497"/>
    <n v="68"/>
    <n v="36"/>
    <n v="2"/>
    <n v="237.15"/>
    <x v="325"/>
    <n v="0.90289505428226779"/>
    <n v="4.5424181696726788E-2"/>
    <n v="0.52941176470588236"/>
    <n v="5.5555555555555552E-2"/>
    <n v="1.3360053440213762E-3"/>
    <n v="6.5875000000000004"/>
    <n v="3.4875000000000003"/>
    <n v="6.3224541429475014"/>
  </r>
  <r>
    <x v="71"/>
    <s v="CMP202603046"/>
    <s v="CUST100984"/>
    <x v="2"/>
    <s v="Green"/>
    <x v="0"/>
    <s v="North"/>
    <s v="45-54"/>
    <n v="2521"/>
    <n v="2228"/>
    <n v="2046"/>
    <n v="117"/>
    <n v="47"/>
    <n v="4"/>
    <n v="167.42"/>
    <x v="326"/>
    <n v="0.91831238779174151"/>
    <n v="5.7184750733137828E-2"/>
    <n v="0.40170940170940173"/>
    <n v="8.5106382978723402E-2"/>
    <n v="1.9550342130987292E-3"/>
    <n v="3.5621276595744678"/>
    <n v="1.4309401709401708"/>
    <n v="24.937701588818541"/>
  </r>
  <r>
    <x v="71"/>
    <s v="CMP202603061"/>
    <s v="CUST100805"/>
    <x v="2"/>
    <s v="Red Saleable"/>
    <x v="0"/>
    <s v="East"/>
    <s v="35-44"/>
    <n v="3416"/>
    <n v="3201"/>
    <n v="3027"/>
    <n v="99"/>
    <n v="50"/>
    <n v="1"/>
    <n v="224.84"/>
    <x v="327"/>
    <n v="0.94564198687910028"/>
    <n v="3.2705649157581763E-2"/>
    <n v="0.50505050505050508"/>
    <n v="0.02"/>
    <n v="3.3036009250082588E-4"/>
    <n v="4.4968000000000004"/>
    <n v="2.2711111111111113"/>
    <n v="2.7531578011030065"/>
  </r>
  <r>
    <x v="71"/>
    <s v="CMP202603069"/>
    <s v="CUST101200"/>
    <x v="2"/>
    <s v="Red Saleable"/>
    <x v="1"/>
    <s v="West"/>
    <s v="18-24"/>
    <n v="1017"/>
    <n v="908"/>
    <n v="828"/>
    <n v="48"/>
    <n v="26"/>
    <n v="1"/>
    <n v="76.34"/>
    <x v="328"/>
    <n v="0.91189427312775329"/>
    <n v="5.7971014492753624E-2"/>
    <n v="0.54166666666666663"/>
    <n v="3.8461538461538464E-2"/>
    <n v="1.2077294685990338E-3"/>
    <n v="2.9361538461538461"/>
    <n v="1.5904166666666668"/>
    <n v="13.041262771810322"/>
  </r>
  <r>
    <x v="71"/>
    <s v="CMP202603072"/>
    <s v="CUST100475"/>
    <x v="0"/>
    <s v="Green"/>
    <x v="0"/>
    <s v="East"/>
    <s v="45-54"/>
    <n v="1309"/>
    <n v="970"/>
    <n v="863"/>
    <n v="67"/>
    <n v="40"/>
    <n v="3"/>
    <n v="121.62"/>
    <x v="329"/>
    <n v="0.88969072164948448"/>
    <n v="7.7636152954808801E-2"/>
    <n v="0.59701492537313428"/>
    <n v="7.4999999999999997E-2"/>
    <n v="3.4762456546929316E-3"/>
    <n v="3.0405000000000002"/>
    <n v="1.8152238805970149"/>
    <n v="33.27511922381187"/>
  </r>
  <r>
    <x v="71"/>
    <s v="CMP202603075"/>
    <s v="CUST100280"/>
    <x v="2"/>
    <s v="Amber"/>
    <x v="0"/>
    <s v="West"/>
    <s v="55+"/>
    <n v="2975"/>
    <n v="2971"/>
    <n v="2850"/>
    <n v="149"/>
    <n v="58"/>
    <n v="2"/>
    <n v="235.53"/>
    <x v="330"/>
    <n v="0.95927297206327833"/>
    <n v="5.2280701754385962E-2"/>
    <n v="0.38926174496644295"/>
    <n v="3.4482758620689655E-2"/>
    <n v="7.0175438596491223E-4"/>
    <n v="4.060862068965517"/>
    <n v="1.5807382550335571"/>
    <n v="9.0879293508257977"/>
  </r>
  <r>
    <x v="71"/>
    <s v="CMP202603079"/>
    <s v="CUST100842"/>
    <x v="0"/>
    <s v="Amber"/>
    <x v="0"/>
    <s v="North"/>
    <s v="25-34"/>
    <n v="794"/>
    <n v="701"/>
    <n v="631"/>
    <n v="41"/>
    <n v="19"/>
    <n v="1"/>
    <n v="83.61"/>
    <x v="331"/>
    <n v="0.90014265335235377"/>
    <n v="6.4976228209191758E-2"/>
    <n v="0.46341463414634149"/>
    <n v="5.2631578947368418E-2"/>
    <n v="1.5847860538827259E-3"/>
    <n v="4.4005263157894738"/>
    <n v="2.0392682926829266"/>
    <n v="13.21085994498266"/>
  </r>
  <r>
    <x v="72"/>
    <s v="CMP202603001"/>
    <s v="CUST101099"/>
    <x v="2"/>
    <s v="Green"/>
    <x v="0"/>
    <s v="East"/>
    <s v="18-24"/>
    <n v="3294"/>
    <n v="3143"/>
    <n v="3061"/>
    <n v="179"/>
    <n v="87"/>
    <n v="6"/>
    <n v="277.57"/>
    <x v="332"/>
    <n v="0.97391027680559972"/>
    <n v="5.8477621692257432E-2"/>
    <n v="0.48603351955307261"/>
    <n v="6.8965517241379309E-2"/>
    <n v="1.9601437438745506E-3"/>
    <n v="3.1904597701149426"/>
    <n v="1.5506703910614525"/>
    <n v="32.65868069315848"/>
  </r>
  <r>
    <x v="72"/>
    <s v="CMP202603003"/>
    <s v="CUST100810"/>
    <x v="2"/>
    <s v="Green"/>
    <x v="0"/>
    <s v="North"/>
    <s v="18-24"/>
    <n v="4366"/>
    <n v="3654"/>
    <n v="3427"/>
    <n v="187"/>
    <n v="86"/>
    <n v="6"/>
    <n v="316.2"/>
    <x v="333"/>
    <n v="0.93787629994526545"/>
    <n v="5.4566676393346954E-2"/>
    <n v="0.45989304812834225"/>
    <n v="6.9767441860465115E-2"/>
    <n v="1.7508024511234317E-3"/>
    <n v="3.6767441860465113"/>
    <n v="1.6909090909090909"/>
    <n v="20.316065781151174"/>
  </r>
  <r>
    <x v="72"/>
    <s v="CMP202603007"/>
    <s v="CUST100916"/>
    <x v="3"/>
    <s v="Red Non-Saleable"/>
    <x v="0"/>
    <s v="South"/>
    <s v="35-44"/>
    <n v="2269"/>
    <n v="1816"/>
    <n v="1690"/>
    <n v="36"/>
    <n v="18"/>
    <n v="0"/>
    <n v="274.74"/>
    <x v="0"/>
    <n v="0.93061674008810569"/>
    <n v="2.1301775147928994E-2"/>
    <n v="0.5"/>
    <n v="0"/>
    <n v="0"/>
    <n v="15.263333333333334"/>
    <n v="7.6316666666666668"/>
    <n v="-1"/>
  </r>
  <r>
    <x v="72"/>
    <s v="CMP202603010"/>
    <s v="CUST100339"/>
    <x v="0"/>
    <s v="Green"/>
    <x v="0"/>
    <s v="Central"/>
    <s v="45-54"/>
    <n v="1535"/>
    <n v="1185"/>
    <n v="1076"/>
    <n v="76"/>
    <n v="35"/>
    <n v="3"/>
    <n v="134.63999999999999"/>
    <x v="334"/>
    <n v="0.90801687763713079"/>
    <n v="7.0631970260223054E-2"/>
    <n v="0.46052631578947367"/>
    <n v="8.5714285714285715E-2"/>
    <n v="2.7881040892193307E-3"/>
    <n v="3.8468571428571425"/>
    <n v="1.7715789473684209"/>
    <n v="26.364527629233518"/>
  </r>
  <r>
    <x v="72"/>
    <s v="CMP202603020"/>
    <s v="CUST100941"/>
    <x v="2"/>
    <s v="Amber"/>
    <x v="0"/>
    <s v="South"/>
    <s v="55+"/>
    <n v="2893"/>
    <n v="2634"/>
    <n v="2442"/>
    <n v="97"/>
    <n v="37"/>
    <n v="2"/>
    <n v="180.61"/>
    <x v="335"/>
    <n v="0.92710706150341682"/>
    <n v="3.9721539721539724E-2"/>
    <n v="0.38144329896907214"/>
    <n v="5.4054054054054057E-2"/>
    <n v="8.1900081900081905E-4"/>
    <n v="4.881351351351352"/>
    <n v="1.8619587628865981"/>
    <n v="11.177786390565304"/>
  </r>
  <r>
    <x v="72"/>
    <s v="CMP202603047"/>
    <s v="CUST100919"/>
    <x v="0"/>
    <s v="Red Non-Saleable"/>
    <x v="0"/>
    <s v="East"/>
    <s v="55+"/>
    <n v="2968"/>
    <n v="2294"/>
    <n v="2097"/>
    <n v="15"/>
    <n v="7"/>
    <n v="0"/>
    <n v="242.15"/>
    <x v="0"/>
    <n v="0.91412380122057546"/>
    <n v="7.1530758226037196E-3"/>
    <n v="0.46666666666666667"/>
    <n v="0"/>
    <n v="0"/>
    <n v="34.592857142857142"/>
    <n v="16.143333333333334"/>
    <n v="-1"/>
  </r>
  <r>
    <x v="73"/>
    <s v="CMP202603008"/>
    <s v="CUST100067"/>
    <x v="1"/>
    <s v="Amber"/>
    <x v="0"/>
    <s v="Central"/>
    <s v="18-24"/>
    <n v="2150"/>
    <n v="1984"/>
    <n v="1906"/>
    <n v="68"/>
    <n v="27"/>
    <n v="2"/>
    <n v="390.19"/>
    <x v="336"/>
    <n v="0.96068548387096775"/>
    <n v="3.5676810073452254E-2"/>
    <n v="0.39705882352941174"/>
    <n v="7.407407407407407E-2"/>
    <n v="1.0493179433368311E-3"/>
    <n v="14.451481481481482"/>
    <n v="5.7380882352941178"/>
    <n v="2.5432737896922011"/>
  </r>
  <r>
    <x v="73"/>
    <s v="CMP202603017"/>
    <s v="CUST101080"/>
    <x v="3"/>
    <s v="Green"/>
    <x v="0"/>
    <s v="Central"/>
    <s v="35-44"/>
    <n v="1374"/>
    <n v="1173"/>
    <n v="1094"/>
    <n v="78"/>
    <n v="33"/>
    <n v="3"/>
    <n v="204.21"/>
    <x v="337"/>
    <n v="0.93265132139812446"/>
    <n v="7.1297989031078604E-2"/>
    <n v="0.42307692307692307"/>
    <n v="9.0909090909090912E-2"/>
    <n v="2.7422303473491772E-3"/>
    <n v="6.1881818181818184"/>
    <n v="2.6180769230769232"/>
    <n v="22.539689535282307"/>
  </r>
  <r>
    <x v="73"/>
    <s v="CMP202603023"/>
    <s v="CUST100678"/>
    <x v="2"/>
    <s v="Amber"/>
    <x v="0"/>
    <s v="North"/>
    <s v="55+"/>
    <n v="4902"/>
    <n v="3993"/>
    <n v="3694"/>
    <n v="204"/>
    <n v="93"/>
    <n v="3"/>
    <n v="307.26"/>
    <x v="338"/>
    <n v="0.92511895817680945"/>
    <n v="5.5224688684353006E-2"/>
    <n v="0.45588235294117646"/>
    <n v="3.2258064516129031E-2"/>
    <n v="8.1212777476989716E-4"/>
    <n v="3.3038709677419353"/>
    <n v="1.5061764705882352"/>
    <n v="6.655698756753238"/>
  </r>
  <r>
    <x v="73"/>
    <s v="CMP202603029"/>
    <s v="CUST100660"/>
    <x v="3"/>
    <s v="Amber"/>
    <x v="1"/>
    <s v="East"/>
    <s v="35-44"/>
    <n v="1865"/>
    <n v="1623"/>
    <n v="1526"/>
    <n v="128"/>
    <n v="82"/>
    <n v="5"/>
    <n v="220.78"/>
    <x v="339"/>
    <n v="0.94023413431916203"/>
    <n v="8.3879423328964614E-2"/>
    <n v="0.640625"/>
    <n v="6.097560975609756E-2"/>
    <n v="3.27653997378768E-3"/>
    <n v="2.6924390243902439"/>
    <n v="1.72484375"/>
    <n v="34.377434550231001"/>
  </r>
  <r>
    <x v="73"/>
    <s v="CMP202603030"/>
    <s v="CUST100644"/>
    <x v="0"/>
    <s v="Green"/>
    <x v="1"/>
    <s v="North"/>
    <s v="55+"/>
    <n v="3277"/>
    <n v="2410"/>
    <n v="2247"/>
    <n v="244"/>
    <n v="156"/>
    <n v="11"/>
    <n v="282.08999999999997"/>
    <x v="340"/>
    <n v="0.93236514522821579"/>
    <n v="0.10858923008455719"/>
    <n v="0.63934426229508201"/>
    <n v="7.0512820512820512E-2"/>
    <n v="4.8954161103693817E-3"/>
    <n v="1.8082692307692305"/>
    <n v="1.156106557377049"/>
    <n v="60.896735084547494"/>
  </r>
  <r>
    <x v="73"/>
    <s v="CMP202603042"/>
    <s v="CUST100103"/>
    <x v="1"/>
    <s v="Green"/>
    <x v="0"/>
    <s v="Central"/>
    <s v="25-34"/>
    <n v="435"/>
    <n v="365"/>
    <n v="353"/>
    <n v="11"/>
    <n v="4"/>
    <n v="0"/>
    <n v="69.489999999999995"/>
    <x v="0"/>
    <n v="0.9671232876712329"/>
    <n v="3.1161473087818695E-2"/>
    <n v="0.36363636363636365"/>
    <n v="0"/>
    <n v="0"/>
    <n v="17.372499999999999"/>
    <n v="6.3172727272727265"/>
    <n v="-1"/>
  </r>
  <r>
    <x v="73"/>
    <s v="CMP202603046"/>
    <s v="CUST100053"/>
    <x v="0"/>
    <s v="Green"/>
    <x v="0"/>
    <s v="West"/>
    <s v="45-54"/>
    <n v="2665"/>
    <n v="2356"/>
    <n v="2230"/>
    <n v="175"/>
    <n v="89"/>
    <n v="7"/>
    <n v="309.25"/>
    <x v="341"/>
    <n v="0.9465195246179966"/>
    <n v="7.847533632286996E-2"/>
    <n v="0.50857142857142856"/>
    <n v="7.8651685393258425E-2"/>
    <n v="3.1390134529147981E-3"/>
    <n v="3.4747191011235956"/>
    <n v="1.7671428571428571"/>
    <n v="34.188100242522232"/>
  </r>
  <r>
    <x v="73"/>
    <s v="CMP202603059"/>
    <s v="CUST101036"/>
    <x v="0"/>
    <s v="Green"/>
    <x v="1"/>
    <s v="Central"/>
    <s v="18-24"/>
    <n v="2971"/>
    <n v="2643"/>
    <n v="2425"/>
    <n v="237"/>
    <n v="164"/>
    <n v="17"/>
    <n v="360.06"/>
    <x v="342"/>
    <n v="0.91751797200151342"/>
    <n v="9.7731958762886595E-2"/>
    <n v="0.69198312236286919"/>
    <n v="0.10365853658536585"/>
    <n v="7.0103092783505155E-3"/>
    <n v="2.1954878048780486"/>
    <n v="1.5192405063291139"/>
    <n v="75.119146808865182"/>
  </r>
  <r>
    <x v="73"/>
    <s v="CMP202603075"/>
    <s v="CUST100462"/>
    <x v="0"/>
    <s v="Amber"/>
    <x v="1"/>
    <s v="East"/>
    <s v="55+"/>
    <n v="2911"/>
    <n v="2489"/>
    <n v="2270"/>
    <n v="218"/>
    <n v="154"/>
    <n v="10"/>
    <n v="332.9"/>
    <x v="343"/>
    <n v="0.91201285656890319"/>
    <n v="9.6035242290748904E-2"/>
    <n v="0.70642201834862384"/>
    <n v="6.4935064935064929E-2"/>
    <n v="4.4052863436123352E-3"/>
    <n v="2.1616883116883114"/>
    <n v="1.5270642201834861"/>
    <n v="32.633523580654852"/>
  </r>
  <r>
    <x v="74"/>
    <s v="CMP202603003"/>
    <s v="CUST100311"/>
    <x v="0"/>
    <s v="Green"/>
    <x v="0"/>
    <s v="West"/>
    <s v="55+"/>
    <n v="1087"/>
    <n v="883"/>
    <n v="819"/>
    <n v="69"/>
    <n v="38"/>
    <n v="2"/>
    <n v="94.95"/>
    <x v="344"/>
    <n v="0.92751981879954704"/>
    <n v="8.4249084249084255E-2"/>
    <n v="0.55072463768115942"/>
    <n v="5.2631578947368418E-2"/>
    <n v="2.442002442002442E-3"/>
    <n v="2.4986842105263158"/>
    <n v="1.3760869565217391"/>
    <n v="27.640652975250131"/>
  </r>
  <r>
    <x v="74"/>
    <s v="CMP202603003"/>
    <s v="CUST100739"/>
    <x v="3"/>
    <s v="Red Saleable"/>
    <x v="1"/>
    <s v="North"/>
    <s v="18-24"/>
    <n v="2083"/>
    <n v="1640"/>
    <n v="1519"/>
    <n v="90"/>
    <n v="59"/>
    <n v="3"/>
    <n v="254.03"/>
    <x v="345"/>
    <n v="0.926219512195122"/>
    <n v="5.9249506254114549E-2"/>
    <n v="0.65555555555555556"/>
    <n v="5.0847457627118647E-2"/>
    <n v="1.9749835418038184E-3"/>
    <n v="4.3055932203389835"/>
    <n v="2.8225555555555557"/>
    <n v="9.2644963193323608"/>
  </r>
  <r>
    <x v="74"/>
    <s v="CMP202603013"/>
    <s v="CUST100917"/>
    <x v="1"/>
    <s v="Green"/>
    <x v="0"/>
    <s v="Central"/>
    <s v="25-34"/>
    <n v="2535"/>
    <n v="2524"/>
    <n v="2458"/>
    <n v="106"/>
    <n v="38"/>
    <n v="3"/>
    <n v="507.5"/>
    <x v="346"/>
    <n v="0.97385103011093499"/>
    <n v="4.3124491456468676E-2"/>
    <n v="0.35849056603773582"/>
    <n v="7.8947368421052627E-2"/>
    <n v="1.2205044751830757E-3"/>
    <n v="13.355263157894736"/>
    <n v="4.7877358490566042"/>
    <n v="4.1962758620689655"/>
  </r>
  <r>
    <x v="74"/>
    <s v="CMP202603036"/>
    <s v="CUST100026"/>
    <x v="3"/>
    <s v="Red Saleable"/>
    <x v="1"/>
    <s v="North"/>
    <s v="55+"/>
    <n v="2904"/>
    <n v="2553"/>
    <n v="2436"/>
    <n v="135"/>
    <n v="78"/>
    <n v="3"/>
    <n v="403.32"/>
    <x v="347"/>
    <n v="0.95417156286721505"/>
    <n v="5.5418719211822662E-2"/>
    <n v="0.57777777777777772"/>
    <n v="3.8461538461538464E-2"/>
    <n v="1.2315270935960591E-3"/>
    <n v="5.1707692307692303"/>
    <n v="2.9875555555555553"/>
    <n v="9.7943320440345119"/>
  </r>
  <r>
    <x v="75"/>
    <s v="CMP202603018"/>
    <s v="CUST101159"/>
    <x v="0"/>
    <s v="Amber"/>
    <x v="1"/>
    <s v="East"/>
    <s v="35-44"/>
    <n v="3269"/>
    <n v="2721"/>
    <n v="2462"/>
    <n v="196"/>
    <n v="140"/>
    <n v="9"/>
    <n v="340.39"/>
    <x v="348"/>
    <n v="0.90481440646821021"/>
    <n v="7.9610073111291632E-2"/>
    <n v="0.7142857142857143"/>
    <n v="6.4285714285714279E-2"/>
    <n v="3.6555645816409425E-3"/>
    <n v="2.4313571428571428"/>
    <n v="1.7366836734693878"/>
    <n v="23.720732101413088"/>
  </r>
  <r>
    <x v="75"/>
    <s v="CMP202603044"/>
    <s v="CUST101196"/>
    <x v="2"/>
    <s v="Red Non-Saleable"/>
    <x v="1"/>
    <s v="West"/>
    <s v="35-44"/>
    <n v="1881"/>
    <n v="1595"/>
    <n v="1516"/>
    <n v="43"/>
    <n v="26"/>
    <n v="0"/>
    <n v="143.09"/>
    <x v="0"/>
    <n v="0.95047021943573673"/>
    <n v="2.8364116094986808E-2"/>
    <n v="0.60465116279069764"/>
    <n v="0"/>
    <n v="0"/>
    <n v="5.5034615384615382"/>
    <n v="3.3276744186046514"/>
    <n v="-1"/>
  </r>
  <r>
    <x v="75"/>
    <s v="CMP202603049"/>
    <s v="CUST100833"/>
    <x v="2"/>
    <s v="Green"/>
    <x v="0"/>
    <s v="North"/>
    <s v="55+"/>
    <n v="1100"/>
    <n v="1093"/>
    <n v="1009"/>
    <n v="66"/>
    <n v="36"/>
    <n v="2"/>
    <n v="99.79"/>
    <x v="349"/>
    <n v="0.92314730100640441"/>
    <n v="6.5411298315163527E-2"/>
    <n v="0.54545454545454541"/>
    <n v="5.5555555555555552E-2"/>
    <n v="1.9821605550049554E-3"/>
    <n v="2.7719444444444448"/>
    <n v="1.511969696969697"/>
    <n v="21.829040986070748"/>
  </r>
  <r>
    <x v="75"/>
    <s v="CMP202603052"/>
    <s v="CUST100604"/>
    <x v="3"/>
    <s v="Red Saleable"/>
    <x v="0"/>
    <s v="North"/>
    <s v="55+"/>
    <n v="2433"/>
    <n v="2110"/>
    <n v="1947"/>
    <n v="98"/>
    <n v="39"/>
    <n v="2"/>
    <n v="302.39"/>
    <x v="350"/>
    <n v="0.92274881516587681"/>
    <n v="5.0333846944016436E-2"/>
    <n v="0.39795918367346939"/>
    <n v="5.128205128205128E-2"/>
    <n v="1.0272213662044171E-3"/>
    <n v="7.7535897435897434"/>
    <n v="3.085612244897959"/>
    <n v="6.3586097423856618"/>
  </r>
  <r>
    <x v="75"/>
    <s v="CMP202603059"/>
    <s v="CUST100979"/>
    <x v="0"/>
    <s v="Amber"/>
    <x v="0"/>
    <s v="Central"/>
    <s v="18-24"/>
    <n v="1199"/>
    <n v="928"/>
    <n v="856"/>
    <n v="61"/>
    <n v="31"/>
    <n v="1"/>
    <n v="104.25"/>
    <x v="351"/>
    <n v="0.92241379310344829"/>
    <n v="7.1261682242990648E-2"/>
    <n v="0.50819672131147542"/>
    <n v="3.2258064516129031E-2"/>
    <n v="1.1682242990654205E-3"/>
    <n v="3.3629032258064515"/>
    <n v="1.709016393442623"/>
    <n v="11.862925659472422"/>
  </r>
  <r>
    <x v="75"/>
    <s v="CMP202603066"/>
    <s v="CUST101321"/>
    <x v="2"/>
    <s v="Amber"/>
    <x v="0"/>
    <s v="Central"/>
    <s v="18-24"/>
    <n v="420"/>
    <n v="337"/>
    <n v="313"/>
    <n v="11"/>
    <n v="5"/>
    <n v="0"/>
    <n v="25.33"/>
    <x v="0"/>
    <n v="0.92878338278931749"/>
    <n v="3.5143769968051117E-2"/>
    <n v="0.45454545454545453"/>
    <n v="0"/>
    <n v="0"/>
    <n v="5.0659999999999998"/>
    <n v="2.3027272727272727"/>
    <n v="-1"/>
  </r>
  <r>
    <x v="75"/>
    <s v="CMP202603075"/>
    <s v="CUST100298"/>
    <x v="2"/>
    <s v="Green"/>
    <x v="0"/>
    <s v="West"/>
    <s v="35-44"/>
    <n v="1398"/>
    <n v="1101"/>
    <n v="1036"/>
    <n v="70"/>
    <n v="30"/>
    <n v="2"/>
    <n v="87.5"/>
    <x v="352"/>
    <n v="0.94096276112624888"/>
    <n v="6.7567567567567571E-2"/>
    <n v="0.42857142857142855"/>
    <n v="6.6666666666666666E-2"/>
    <n v="1.9305019305019305E-3"/>
    <n v="2.9166666666666665"/>
    <n v="1.25"/>
    <n v="35.673942857142855"/>
  </r>
  <r>
    <x v="76"/>
    <s v="CMP202603050"/>
    <s v="CUST100811"/>
    <x v="1"/>
    <s v="Red Saleable"/>
    <x v="0"/>
    <s v="North"/>
    <s v="35-44"/>
    <n v="2956"/>
    <n v="2173"/>
    <n v="2083"/>
    <n v="39"/>
    <n v="17"/>
    <n v="0"/>
    <n v="419.29"/>
    <x v="0"/>
    <n v="0.9585826046939715"/>
    <n v="1.8722995679308688E-2"/>
    <n v="0.4358974358974359"/>
    <n v="0"/>
    <n v="0"/>
    <n v="24.664117647058823"/>
    <n v="10.751025641025642"/>
    <n v="-1"/>
  </r>
  <r>
    <x v="76"/>
    <s v="CMP202603057"/>
    <s v="CUST100301"/>
    <x v="0"/>
    <s v="Red Saleable"/>
    <x v="0"/>
    <s v="West"/>
    <s v="55+"/>
    <n v="3387"/>
    <n v="2638"/>
    <n v="2448"/>
    <n v="84"/>
    <n v="36"/>
    <n v="1"/>
    <n v="346.07"/>
    <x v="353"/>
    <n v="0.92797573919636089"/>
    <n v="3.4313725490196081E-2"/>
    <n v="0.42857142857142855"/>
    <n v="2.7777777777777776E-2"/>
    <n v="4.084967320261438E-4"/>
    <n v="9.6130555555555546"/>
    <n v="4.1198809523809521"/>
    <n v="2.1898459849163467"/>
  </r>
  <r>
    <x v="77"/>
    <s v="CMP202603002"/>
    <s v="CUST100597"/>
    <x v="3"/>
    <s v="Amber"/>
    <x v="0"/>
    <s v="Central"/>
    <s v="35-44"/>
    <n v="1857"/>
    <n v="1653"/>
    <n v="1573"/>
    <n v="101"/>
    <n v="52"/>
    <n v="4"/>
    <n v="296.36"/>
    <x v="354"/>
    <n v="0.9516031457955233"/>
    <n v="6.4208518753973293E-2"/>
    <n v="0.51485148514851486"/>
    <n v="7.6923076923076927E-2"/>
    <n v="2.5429116338207248E-3"/>
    <n v="5.6992307692307698"/>
    <n v="2.9342574257425742"/>
    <n v="15.6801525172088"/>
  </r>
  <r>
    <x v="77"/>
    <s v="CMP202603009"/>
    <s v="CUST101378"/>
    <x v="3"/>
    <s v="Amber"/>
    <x v="1"/>
    <s v="North"/>
    <s v="35-44"/>
    <n v="2398"/>
    <n v="2198"/>
    <n v="2059"/>
    <n v="170"/>
    <n v="102"/>
    <n v="4"/>
    <n v="384.69"/>
    <x v="355"/>
    <n v="0.93676069153776165"/>
    <n v="8.2564351627003402E-2"/>
    <n v="0.6"/>
    <n v="3.9215686274509803E-2"/>
    <n v="1.942690626517727E-3"/>
    <n v="3.7714705882352941"/>
    <n v="2.2628823529411766"/>
    <n v="11.973381164054173"/>
  </r>
  <r>
    <x v="77"/>
    <s v="CMP202603027"/>
    <s v="CUST100102"/>
    <x v="0"/>
    <s v="Green"/>
    <x v="0"/>
    <s v="Central"/>
    <s v="45-54"/>
    <n v="505"/>
    <n v="450"/>
    <n v="403"/>
    <n v="34"/>
    <n v="15"/>
    <n v="1"/>
    <n v="49.32"/>
    <x v="356"/>
    <n v="0.89555555555555555"/>
    <n v="8.4367245657568243E-2"/>
    <n v="0.44117647058823528"/>
    <n v="6.6666666666666666E-2"/>
    <n v="2.4813895781637717E-3"/>
    <n v="3.2879999999999998"/>
    <n v="1.4505882352941177"/>
    <n v="26.134630981346309"/>
  </r>
  <r>
    <x v="77"/>
    <s v="CMP202603037"/>
    <s v="CUST100060"/>
    <x v="1"/>
    <s v="Red Non-Saleable"/>
    <x v="1"/>
    <s v="Central"/>
    <s v="25-34"/>
    <n v="4825"/>
    <n v="3590"/>
    <n v="3464"/>
    <n v="21"/>
    <n v="11"/>
    <n v="0"/>
    <n v="734.15"/>
    <x v="0"/>
    <n v="0.96490250696378832"/>
    <n v="6.0623556581986147E-3"/>
    <n v="0.52380952380952384"/>
    <n v="0"/>
    <n v="0"/>
    <n v="66.740909090909085"/>
    <n v="34.959523809523809"/>
    <n v="-1"/>
  </r>
  <r>
    <x v="77"/>
    <s v="CMP202603038"/>
    <s v="CUST100058"/>
    <x v="1"/>
    <s v="Amber"/>
    <x v="0"/>
    <s v="West"/>
    <s v="45-54"/>
    <n v="3735"/>
    <n v="3590"/>
    <n v="3438"/>
    <n v="137"/>
    <n v="59"/>
    <n v="2"/>
    <n v="641.71"/>
    <x v="357"/>
    <n v="0.95766016713091917"/>
    <n v="3.9848749272833044E-2"/>
    <n v="0.43065693430656932"/>
    <n v="3.3898305084745763E-2"/>
    <n v="5.8173356602675972E-4"/>
    <n v="10.876440677966102"/>
    <n v="4.6840145985401467"/>
    <n v="1.0891368375122716"/>
  </r>
  <r>
    <x v="77"/>
    <s v="CMP202603047"/>
    <s v="CUST100518"/>
    <x v="1"/>
    <s v="Amber"/>
    <x v="0"/>
    <s v="East"/>
    <s v="35-44"/>
    <n v="4718"/>
    <n v="3518"/>
    <n v="3341"/>
    <n v="69"/>
    <n v="29"/>
    <n v="1"/>
    <n v="550.52"/>
    <x v="358"/>
    <n v="0.94968732234223996"/>
    <n v="2.0652499251721041E-2"/>
    <n v="0.42028985507246375"/>
    <n v="3.4482758620689655E-2"/>
    <n v="2.9931158335827599E-4"/>
    <n v="18.983448275862067"/>
    <n v="7.9785507246376808"/>
    <n v="0.39079415825038144"/>
  </r>
  <r>
    <x v="77"/>
    <s v="CMP202603065"/>
    <s v="CUST100693"/>
    <x v="0"/>
    <s v="Red Saleable"/>
    <x v="1"/>
    <s v="South"/>
    <s v="45-54"/>
    <n v="2084"/>
    <n v="1670"/>
    <n v="1480"/>
    <n v="95"/>
    <n v="60"/>
    <n v="3"/>
    <n v="180.65"/>
    <x v="359"/>
    <n v="0.88622754491017963"/>
    <n v="6.4189189189189186E-2"/>
    <n v="0.63157894736842102"/>
    <n v="0.05"/>
    <n v="2.0270270270270271E-3"/>
    <n v="3.0108333333333333"/>
    <n v="1.901578947368421"/>
    <n v="23.816329919734294"/>
  </r>
  <r>
    <x v="77"/>
    <s v="CMP202603066"/>
    <s v="CUST101497"/>
    <x v="2"/>
    <s v="Red Saleable"/>
    <x v="0"/>
    <s v="South"/>
    <s v="18-24"/>
    <n v="3268"/>
    <n v="2816"/>
    <n v="2654"/>
    <n v="109"/>
    <n v="60"/>
    <n v="2"/>
    <n v="257.20999999999998"/>
    <x v="360"/>
    <n v="0.94247159090909094"/>
    <n v="4.1070082893745287E-2"/>
    <n v="0.55045871559633031"/>
    <n v="3.3333333333333333E-2"/>
    <n v="7.5357950263752827E-4"/>
    <n v="4.2868333333333331"/>
    <n v="2.3597247706422015"/>
    <n v="5.8115547607013731"/>
  </r>
  <r>
    <x v="77"/>
    <s v="CMP202603072"/>
    <s v="CUST100538"/>
    <x v="0"/>
    <s v="Red Saleable"/>
    <x v="0"/>
    <s v="North"/>
    <s v="25-34"/>
    <n v="4987"/>
    <n v="4839"/>
    <n v="4493"/>
    <n v="176"/>
    <n v="85"/>
    <n v="4"/>
    <n v="540.34"/>
    <x v="361"/>
    <n v="0.92849762347592479"/>
    <n v="3.9172045403961721E-2"/>
    <n v="0.48295454545454547"/>
    <n v="4.7058823529411764E-2"/>
    <n v="8.9027375918094816E-4"/>
    <n v="6.3569411764705883"/>
    <n v="3.0701136363636365"/>
    <n v="6.2166783876818297"/>
  </r>
  <r>
    <x v="77"/>
    <s v="CMP202603073"/>
    <s v="CUST101421"/>
    <x v="2"/>
    <s v="Red Non-Saleable"/>
    <x v="1"/>
    <s v="South"/>
    <s v="35-44"/>
    <n v="3337"/>
    <n v="3289"/>
    <n v="3071"/>
    <n v="60"/>
    <n v="35"/>
    <n v="0"/>
    <n v="246.45"/>
    <x v="0"/>
    <n v="0.93371845545758592"/>
    <n v="1.9537609899055682E-2"/>
    <n v="0.58333333333333337"/>
    <n v="0"/>
    <n v="0"/>
    <n v="7.0414285714285709"/>
    <n v="4.1074999999999999"/>
    <n v="-1"/>
  </r>
  <r>
    <x v="78"/>
    <s v="CMP202603019"/>
    <s v="CUST101029"/>
    <x v="3"/>
    <s v="Red Saleable"/>
    <x v="0"/>
    <s v="Central"/>
    <s v="25-34"/>
    <n v="2099"/>
    <n v="1629"/>
    <n v="1507"/>
    <n v="64"/>
    <n v="30"/>
    <n v="1"/>
    <n v="227.49"/>
    <x v="362"/>
    <n v="0.92510742786985878"/>
    <n v="4.2468480424684804E-2"/>
    <n v="0.46875"/>
    <n v="3.3333333333333333E-2"/>
    <n v="6.6357000663570006E-4"/>
    <n v="7.5830000000000002"/>
    <n v="3.5545312500000001"/>
    <n v="2.7425820915205064"/>
  </r>
  <r>
    <x v="78"/>
    <s v="CMP202603031"/>
    <s v="CUST101448"/>
    <x v="1"/>
    <s v="Green"/>
    <x v="0"/>
    <s v="East"/>
    <s v="35-44"/>
    <n v="3173"/>
    <n v="2534"/>
    <n v="2437"/>
    <n v="142"/>
    <n v="48"/>
    <n v="4"/>
    <n v="501.36"/>
    <x v="363"/>
    <n v="0.96172059984214675"/>
    <n v="5.8268362741075094E-2"/>
    <n v="0.3380281690140845"/>
    <n v="8.3333333333333329E-2"/>
    <n v="1.6413623307345096E-3"/>
    <n v="10.445"/>
    <n v="3.5307042253521126"/>
    <n v="11.343884633796074"/>
  </r>
  <r>
    <x v="78"/>
    <s v="CMP202603049"/>
    <s v="CUST101396"/>
    <x v="3"/>
    <s v="Green"/>
    <x v="1"/>
    <s v="Central"/>
    <s v="45-54"/>
    <n v="705"/>
    <n v="521"/>
    <n v="483"/>
    <n v="49"/>
    <n v="31"/>
    <n v="3"/>
    <n v="74.739999999999995"/>
    <x v="364"/>
    <n v="0.92706333973128596"/>
    <n v="0.10144927536231885"/>
    <n v="0.63265306122448983"/>
    <n v="9.6774193548387094E-2"/>
    <n v="6.2111801242236021E-3"/>
    <n v="2.4109677419354836"/>
    <n v="1.5253061224489795"/>
    <n v="67.063553652662563"/>
  </r>
  <r>
    <x v="78"/>
    <s v="CMP202603054"/>
    <s v="CUST100279"/>
    <x v="3"/>
    <s v="Green"/>
    <x v="0"/>
    <s v="Central"/>
    <s v="35-44"/>
    <n v="2738"/>
    <n v="2660"/>
    <n v="2527"/>
    <n v="189"/>
    <n v="103"/>
    <n v="6"/>
    <n v="477.24"/>
    <x v="365"/>
    <n v="0.95"/>
    <n v="7.4792243767313013E-2"/>
    <n v="0.544973544973545"/>
    <n v="5.8252427184466021E-2"/>
    <n v="2.3743569449940641E-3"/>
    <n v="4.6333980582524275"/>
    <n v="2.5250793650793653"/>
    <n v="10.695394350850727"/>
  </r>
  <r>
    <x v="78"/>
    <s v="CMP202603078"/>
    <s v="CUST101019"/>
    <x v="3"/>
    <s v="Amber"/>
    <x v="1"/>
    <s v="Central"/>
    <s v="35-44"/>
    <n v="2822"/>
    <n v="2179"/>
    <n v="2050"/>
    <n v="156"/>
    <n v="86"/>
    <n v="6"/>
    <n v="330.2"/>
    <x v="366"/>
    <n v="0.94079853143643877"/>
    <n v="7.6097560975609754E-2"/>
    <n v="0.55128205128205132"/>
    <n v="6.9767441860465115E-2"/>
    <n v="2.9268292682926829E-3"/>
    <n v="3.8395348837209302"/>
    <n v="2.1166666666666667"/>
    <n v="17.655723803755301"/>
  </r>
  <r>
    <x v="79"/>
    <s v="CMP202603043"/>
    <s v="CUST101022"/>
    <x v="1"/>
    <s v="Green"/>
    <x v="0"/>
    <s v="East"/>
    <s v="35-44"/>
    <n v="3829"/>
    <n v="2757"/>
    <n v="2580"/>
    <n v="151"/>
    <n v="53"/>
    <n v="4"/>
    <n v="506.24"/>
    <x v="367"/>
    <n v="0.93579978237214367"/>
    <n v="5.8527131782945739E-2"/>
    <n v="0.35099337748344372"/>
    <n v="7.5471698113207544E-2"/>
    <n v="1.5503875968992248E-3"/>
    <n v="9.5516981132075465"/>
    <n v="3.3525827814569538"/>
    <n v="7.6342248735777494"/>
  </r>
  <r>
    <x v="79"/>
    <s v="CMP202603060"/>
    <s v="CUST100522"/>
    <x v="1"/>
    <s v="Green"/>
    <x v="0"/>
    <s v="Central"/>
    <s v="18-24"/>
    <n v="3158"/>
    <n v="2826"/>
    <n v="2678"/>
    <n v="99"/>
    <n v="40"/>
    <n v="2"/>
    <n v="522.09"/>
    <x v="368"/>
    <n v="0.9476291578202406"/>
    <n v="3.6967886482449593E-2"/>
    <n v="0.40404040404040403"/>
    <n v="0.05"/>
    <n v="7.468259895444362E-4"/>
    <n v="13.052250000000001"/>
    <n v="5.2736363636363643"/>
    <n v="4.221532685935375"/>
  </r>
  <r>
    <x v="80"/>
    <s v="CMP202603007"/>
    <s v="CUST100287"/>
    <x v="3"/>
    <s v="Green"/>
    <x v="0"/>
    <s v="Central"/>
    <s v="25-34"/>
    <n v="1072"/>
    <n v="810"/>
    <n v="740"/>
    <n v="52"/>
    <n v="22"/>
    <n v="2"/>
    <n v="105.77"/>
    <x v="369"/>
    <n v="0.9135802469135802"/>
    <n v="7.0270270270270274E-2"/>
    <n v="0.42307692307692307"/>
    <n v="9.0909090909090912E-2"/>
    <n v="2.7027027027027029E-3"/>
    <n v="4.8077272727272726"/>
    <n v="2.0340384615384615"/>
    <n v="22.124137279001609"/>
  </r>
  <r>
    <x v="80"/>
    <s v="CMP202603010"/>
    <s v="CUST101038"/>
    <x v="2"/>
    <s v="Green"/>
    <x v="0"/>
    <s v="South"/>
    <s v="55+"/>
    <n v="2679"/>
    <n v="2503"/>
    <n v="2337"/>
    <n v="114"/>
    <n v="48"/>
    <n v="3"/>
    <n v="224.74"/>
    <x v="370"/>
    <n v="0.93367958449860167"/>
    <n v="4.878048780487805E-2"/>
    <n v="0.42105263157894735"/>
    <n v="6.25E-2"/>
    <n v="1.2836970474967907E-3"/>
    <n v="4.6820833333333338"/>
    <n v="1.9714035087719299"/>
    <n v="19.410296342440155"/>
  </r>
  <r>
    <x v="80"/>
    <s v="CMP202603024"/>
    <s v="CUST101271"/>
    <x v="0"/>
    <s v="Green"/>
    <x v="0"/>
    <s v="North"/>
    <s v="35-44"/>
    <n v="2983"/>
    <n v="2548"/>
    <n v="2294"/>
    <n v="169"/>
    <n v="88"/>
    <n v="6"/>
    <n v="271.41000000000003"/>
    <x v="371"/>
    <n v="0.90031397174254313"/>
    <n v="7.3670444638186575E-2"/>
    <n v="0.52071005917159763"/>
    <n v="6.8181818181818177E-2"/>
    <n v="2.6155187445510027E-3"/>
    <n v="3.0842045454545457"/>
    <n v="1.605976331360947"/>
    <n v="18.93603772889724"/>
  </r>
  <r>
    <x v="80"/>
    <s v="CMP202603051"/>
    <s v="CUST100819"/>
    <x v="2"/>
    <s v="Red Non-Saleable"/>
    <x v="0"/>
    <s v="East"/>
    <s v="18-24"/>
    <n v="2454"/>
    <n v="2117"/>
    <n v="1963"/>
    <n v="64"/>
    <n v="35"/>
    <n v="1"/>
    <n v="149.97999999999999"/>
    <x v="372"/>
    <n v="0.92725555030703821"/>
    <n v="3.2603158430973E-2"/>
    <n v="0.546875"/>
    <n v="2.8571428571428571E-2"/>
    <n v="5.0942435048395313E-4"/>
    <n v="4.2851428571428567"/>
    <n v="2.3434374999999998"/>
    <n v="4.3551140152020267"/>
  </r>
  <r>
    <x v="80"/>
    <s v="CMP202603078"/>
    <s v="CUST100679"/>
    <x v="0"/>
    <s v="Green"/>
    <x v="0"/>
    <s v="North"/>
    <s v="18-24"/>
    <n v="853"/>
    <n v="833"/>
    <n v="747"/>
    <n v="70"/>
    <n v="35"/>
    <n v="2"/>
    <n v="100.36"/>
    <x v="373"/>
    <n v="0.89675870348139253"/>
    <n v="9.3708165997322623E-2"/>
    <n v="0.5"/>
    <n v="5.7142857142857141E-2"/>
    <n v="2.6773761713520749E-3"/>
    <n v="2.8674285714285714"/>
    <n v="1.4337142857142857"/>
    <n v="15.70944599442009"/>
  </r>
  <r>
    <x v="81"/>
    <s v="CMP202603004"/>
    <s v="CUST100330"/>
    <x v="2"/>
    <s v="Red Non-Saleable"/>
    <x v="0"/>
    <s v="North"/>
    <s v="35-44"/>
    <n v="3676"/>
    <n v="2911"/>
    <n v="2669"/>
    <n v="39"/>
    <n v="18"/>
    <n v="0"/>
    <n v="232.49"/>
    <x v="0"/>
    <n v="0.91686705599450358"/>
    <n v="1.4612214312476583E-2"/>
    <n v="0.46153846153846156"/>
    <n v="0"/>
    <n v="0"/>
    <n v="12.916111111111112"/>
    <n v="5.9612820512820512"/>
    <n v="-1"/>
  </r>
  <r>
    <x v="81"/>
    <s v="CMP202603009"/>
    <s v="CUST100755"/>
    <x v="1"/>
    <s v="Green"/>
    <x v="0"/>
    <s v="East"/>
    <s v="35-44"/>
    <n v="652"/>
    <n v="527"/>
    <n v="505"/>
    <n v="26"/>
    <n v="11"/>
    <n v="1"/>
    <n v="112.87"/>
    <x v="374"/>
    <n v="0.95825426944971537"/>
    <n v="5.1485148514851482E-2"/>
    <n v="0.42307692307692307"/>
    <n v="9.0909090909090912E-2"/>
    <n v="1.9801980198019802E-3"/>
    <n v="10.260909090909092"/>
    <n v="4.3411538461538459"/>
    <n v="13.253920439443606"/>
  </r>
  <r>
    <x v="81"/>
    <s v="CMP202603010"/>
    <s v="CUST100639"/>
    <x v="1"/>
    <s v="Red Saleable"/>
    <x v="0"/>
    <s v="Central"/>
    <s v="25-34"/>
    <n v="1925"/>
    <n v="1599"/>
    <n v="1559"/>
    <n v="19"/>
    <n v="8"/>
    <n v="0"/>
    <n v="252.18"/>
    <x v="0"/>
    <n v="0.9749843652282677"/>
    <n v="1.2187299550994226E-2"/>
    <n v="0.42105263157894735"/>
    <n v="0"/>
    <n v="0"/>
    <n v="31.522500000000001"/>
    <n v="13.272631578947369"/>
    <n v="-1"/>
  </r>
  <r>
    <x v="81"/>
    <s v="CMP202603047"/>
    <s v="CUST100827"/>
    <x v="1"/>
    <s v="Green"/>
    <x v="0"/>
    <s v="North"/>
    <s v="45-54"/>
    <n v="1776"/>
    <n v="1449"/>
    <n v="1423"/>
    <n v="69"/>
    <n v="28"/>
    <n v="2"/>
    <n v="251.24"/>
    <x v="375"/>
    <n v="0.98205659075224294"/>
    <n v="4.8489107519325371E-2"/>
    <n v="0.40579710144927539"/>
    <n v="7.1428571428571425E-2"/>
    <n v="1.4054813773717498E-3"/>
    <n v="8.9728571428571424"/>
    <n v="3.6411594202898554"/>
    <n v="7.2289046330202185"/>
  </r>
  <r>
    <x v="81"/>
    <s v="CMP202603065"/>
    <s v="CUST101182"/>
    <x v="2"/>
    <s v="Red Non-Saleable"/>
    <x v="0"/>
    <s v="North"/>
    <s v="18-24"/>
    <n v="1391"/>
    <n v="1211"/>
    <n v="1152"/>
    <n v="29"/>
    <n v="15"/>
    <n v="0"/>
    <n v="104.33"/>
    <x v="0"/>
    <n v="0.95127993393889343"/>
    <n v="2.5173611111111112E-2"/>
    <n v="0.51724137931034486"/>
    <n v="0"/>
    <n v="0"/>
    <n v="6.9553333333333329"/>
    <n v="3.5975862068965516"/>
    <n v="-1"/>
  </r>
  <r>
    <x v="81"/>
    <s v="CMP202603068"/>
    <s v="CUST101392"/>
    <x v="0"/>
    <s v="Red Non-Saleable"/>
    <x v="0"/>
    <s v="East"/>
    <s v="25-34"/>
    <n v="4468"/>
    <n v="4150"/>
    <n v="3789"/>
    <n v="60"/>
    <n v="27"/>
    <n v="1"/>
    <n v="425.99"/>
    <x v="376"/>
    <n v="0.91301204819277104"/>
    <n v="1.583531274742676E-2"/>
    <n v="0.45"/>
    <n v="3.7037037037037035E-2"/>
    <n v="2.6392187912377939E-4"/>
    <n v="15.777407407407408"/>
    <n v="7.0998333333333337"/>
    <n v="0.53306415643559713"/>
  </r>
  <r>
    <x v="81"/>
    <s v="CMP202603072"/>
    <s v="CUST101369"/>
    <x v="0"/>
    <s v="Green"/>
    <x v="1"/>
    <s v="West"/>
    <s v="55+"/>
    <n v="3520"/>
    <n v="3413"/>
    <n v="3048"/>
    <n v="327"/>
    <n v="196"/>
    <n v="17"/>
    <n v="376.83"/>
    <x v="377"/>
    <n v="0.89305596249633756"/>
    <n v="0.10728346456692914"/>
    <n v="0.59938837920489296"/>
    <n v="8.673469387755102E-2"/>
    <n v="5.5774278215223096E-3"/>
    <n v="1.9226020408163265"/>
    <n v="1.1523853211009174"/>
    <n v="36.741156489663773"/>
  </r>
  <r>
    <x v="82"/>
    <s v="CMP202603007"/>
    <s v="CUST100418"/>
    <x v="1"/>
    <s v="Red Saleable"/>
    <x v="1"/>
    <s v="Central"/>
    <s v="25-34"/>
    <n v="4898"/>
    <n v="4542"/>
    <n v="4400"/>
    <n v="200"/>
    <n v="103"/>
    <n v="4"/>
    <n v="900.98"/>
    <x v="378"/>
    <n v="0.96873623954205201"/>
    <n v="4.5454545454545456E-2"/>
    <n v="0.51500000000000001"/>
    <n v="3.8834951456310676E-2"/>
    <n v="9.0909090909090909E-4"/>
    <n v="8.7473786407766987"/>
    <n v="4.5049000000000001"/>
    <n v="2.4470132522364536"/>
  </r>
  <r>
    <x v="82"/>
    <s v="CMP202603023"/>
    <s v="CUST101353"/>
    <x v="2"/>
    <s v="Amber"/>
    <x v="0"/>
    <s v="North"/>
    <s v="35-44"/>
    <n v="2409"/>
    <n v="2256"/>
    <n v="2131"/>
    <n v="121"/>
    <n v="53"/>
    <n v="3"/>
    <n v="163"/>
    <x v="379"/>
    <n v="0.94459219858156029"/>
    <n v="5.6780854059127167E-2"/>
    <n v="0.43801652892561982"/>
    <n v="5.6603773584905662E-2"/>
    <n v="1.4077897700610043E-3"/>
    <n v="3.0754716981132075"/>
    <n v="1.3471074380165289"/>
    <n v="13.608220858895704"/>
  </r>
  <r>
    <x v="82"/>
    <s v="CMP202603031"/>
    <s v="CUST100765"/>
    <x v="1"/>
    <s v="Amber"/>
    <x v="0"/>
    <s v="North"/>
    <s v="35-44"/>
    <n v="2244"/>
    <n v="1722"/>
    <n v="1683"/>
    <n v="81"/>
    <n v="29"/>
    <n v="2"/>
    <n v="346.31"/>
    <x v="380"/>
    <n v="0.97735191637630658"/>
    <n v="4.8128342245989303E-2"/>
    <n v="0.35802469135802467"/>
    <n v="6.8965517241379309E-2"/>
    <n v="1.1883541295306002E-3"/>
    <n v="11.941724137931034"/>
    <n v="4.2754320987654317"/>
    <n v="5.9324304813606306"/>
  </r>
  <r>
    <x v="82"/>
    <s v="CMP202603032"/>
    <s v="CUST100890"/>
    <x v="2"/>
    <s v="Amber"/>
    <x v="1"/>
    <s v="South"/>
    <s v="25-34"/>
    <n v="3379"/>
    <n v="2569"/>
    <n v="2366"/>
    <n v="134"/>
    <n v="87"/>
    <n v="5"/>
    <n v="232.39"/>
    <x v="381"/>
    <n v="0.92098092643051777"/>
    <n v="5.6635672020287402E-2"/>
    <n v="0.64925373134328357"/>
    <n v="5.7471264367816091E-2"/>
    <n v="2.113271344040575E-3"/>
    <n v="2.6711494252873562"/>
    <n v="1.7342537313432835"/>
    <n v="27.481905417616936"/>
  </r>
  <r>
    <x v="82"/>
    <s v="CMP202603048"/>
    <s v="CUST101248"/>
    <x v="3"/>
    <s v="Red Saleable"/>
    <x v="0"/>
    <s v="West"/>
    <s v="25-34"/>
    <n v="2147"/>
    <n v="1567"/>
    <n v="1459"/>
    <n v="50"/>
    <n v="25"/>
    <n v="0"/>
    <n v="213.25"/>
    <x v="0"/>
    <n v="0.93107849393746012"/>
    <n v="3.4270047978067167E-2"/>
    <n v="0.5"/>
    <n v="0"/>
    <n v="0"/>
    <n v="8.5299999999999994"/>
    <n v="4.2649999999999997"/>
    <n v="-1"/>
  </r>
  <r>
    <x v="82"/>
    <s v="CMP202603052"/>
    <s v="CUST100682"/>
    <x v="0"/>
    <s v="Red Non-Saleable"/>
    <x v="0"/>
    <s v="South"/>
    <s v="25-34"/>
    <n v="4047"/>
    <n v="3904"/>
    <n v="3529"/>
    <n v="65"/>
    <n v="32"/>
    <n v="0"/>
    <n v="467.8"/>
    <x v="0"/>
    <n v="0.90394467213114749"/>
    <n v="1.8418815528478322E-2"/>
    <n v="0.49230769230769234"/>
    <n v="0"/>
    <n v="0"/>
    <n v="14.61875"/>
    <n v="7.1969230769230768"/>
    <n v="-1"/>
  </r>
  <r>
    <x v="83"/>
    <s v="CMP202603002"/>
    <s v="CUST101170"/>
    <x v="0"/>
    <s v="Amber"/>
    <x v="1"/>
    <s v="East"/>
    <s v="18-24"/>
    <n v="3736"/>
    <n v="2783"/>
    <n v="2501"/>
    <n v="194"/>
    <n v="128"/>
    <n v="10"/>
    <n v="358.08"/>
    <x v="382"/>
    <n v="0.89867049946101329"/>
    <n v="7.756897241103558E-2"/>
    <n v="0.65979381443298968"/>
    <n v="7.8125E-2"/>
    <n v="3.9984006397441024E-3"/>
    <n v="2.7974999999999999"/>
    <n v="1.8457731958762886"/>
    <n v="31.133350089365504"/>
  </r>
  <r>
    <x v="83"/>
    <s v="CMP202603008"/>
    <s v="CUST100227"/>
    <x v="1"/>
    <s v="Red Saleable"/>
    <x v="0"/>
    <s v="South"/>
    <s v="55+"/>
    <n v="2981"/>
    <n v="2174"/>
    <n v="2076"/>
    <n v="59"/>
    <n v="21"/>
    <n v="1"/>
    <n v="423.95"/>
    <x v="383"/>
    <n v="0.95492180312787489"/>
    <n v="2.8420038535645471E-2"/>
    <n v="0.3559322033898305"/>
    <n v="4.7619047619047616E-2"/>
    <n v="4.8169556840077071E-4"/>
    <n v="20.188095238095237"/>
    <n v="7.1855932203389825"/>
    <n v="1.1427526830994221"/>
  </r>
  <r>
    <x v="83"/>
    <s v="CMP202603017"/>
    <s v="CUST101319"/>
    <x v="3"/>
    <s v="Green"/>
    <x v="0"/>
    <s v="South"/>
    <s v="18-24"/>
    <n v="4325"/>
    <n v="3811"/>
    <n v="3507"/>
    <n v="208"/>
    <n v="124"/>
    <n v="8"/>
    <n v="536.13"/>
    <x v="384"/>
    <n v="0.92023091052217265"/>
    <n v="5.9309951525520391E-2"/>
    <n v="0.59615384615384615"/>
    <n v="6.4516129032258063E-2"/>
    <n v="2.2811519817507843E-3"/>
    <n v="4.3236290322580642"/>
    <n v="2.577548076923077"/>
    <n v="12.04420569637961"/>
  </r>
  <r>
    <x v="83"/>
    <s v="CMP202603040"/>
    <s v="CUST101157"/>
    <x v="0"/>
    <s v="Red Saleable"/>
    <x v="0"/>
    <s v="North"/>
    <s v="25-34"/>
    <n v="705"/>
    <n v="556"/>
    <n v="507"/>
    <n v="24"/>
    <n v="13"/>
    <n v="1"/>
    <n v="75.8"/>
    <x v="385"/>
    <n v="0.91187050359712229"/>
    <n v="4.7337278106508875E-2"/>
    <n v="0.54166666666666663"/>
    <n v="7.6923076923076927E-2"/>
    <n v="1.9723865877712033E-3"/>
    <n v="5.8307692307692305"/>
    <n v="3.1583333333333332"/>
    <n v="13.924142480211083"/>
  </r>
  <r>
    <x v="84"/>
    <s v="CMP202603009"/>
    <s v="CUST100799"/>
    <x v="0"/>
    <s v="Amber"/>
    <x v="0"/>
    <s v="South"/>
    <s v="55+"/>
    <n v="3659"/>
    <n v="3106"/>
    <n v="2954"/>
    <n v="148"/>
    <n v="79"/>
    <n v="5"/>
    <n v="403.31"/>
    <x v="386"/>
    <n v="0.95106245975531234"/>
    <n v="5.0101557210561948E-2"/>
    <n v="0.53378378378378377"/>
    <n v="6.3291139240506333E-2"/>
    <n v="1.6926201760324984E-3"/>
    <n v="5.1051898734177215"/>
    <n v="2.7250675675675677"/>
    <n v="12.282537006273088"/>
  </r>
  <r>
    <x v="84"/>
    <s v="CMP202603039"/>
    <s v="CUST100813"/>
    <x v="3"/>
    <s v="Red Non-Saleable"/>
    <x v="1"/>
    <s v="South"/>
    <s v="25-34"/>
    <n v="2007"/>
    <n v="1896"/>
    <n v="1782"/>
    <n v="54"/>
    <n v="31"/>
    <n v="0"/>
    <n v="300.95999999999998"/>
    <x v="0"/>
    <n v="0.939873417721519"/>
    <n v="3.0303030303030304E-2"/>
    <n v="0.57407407407407407"/>
    <n v="0"/>
    <n v="0"/>
    <n v="9.7083870967741923"/>
    <n v="5.5733333333333333"/>
    <n v="-1"/>
  </r>
  <r>
    <x v="84"/>
    <s v="CMP202603061"/>
    <s v="CUST101436"/>
    <x v="0"/>
    <s v="Red Saleable"/>
    <x v="0"/>
    <s v="East"/>
    <s v="18-24"/>
    <n v="759"/>
    <n v="684"/>
    <n v="623"/>
    <n v="27"/>
    <n v="11"/>
    <n v="0"/>
    <n v="77.14"/>
    <x v="0"/>
    <n v="0.91081871345029242"/>
    <n v="4.3338683788121987E-2"/>
    <n v="0.40740740740740738"/>
    <n v="0"/>
    <n v="0"/>
    <n v="7.0127272727272727"/>
    <n v="2.857037037037037"/>
    <n v="-1"/>
  </r>
  <r>
    <x v="84"/>
    <s v="CMP202603077"/>
    <s v="CUST100036"/>
    <x v="0"/>
    <s v="Green"/>
    <x v="1"/>
    <s v="East"/>
    <s v="18-24"/>
    <n v="4983"/>
    <n v="4450"/>
    <n v="3994"/>
    <n v="421"/>
    <n v="276"/>
    <n v="32"/>
    <n v="598.25"/>
    <x v="387"/>
    <n v="0.89752808988764043"/>
    <n v="0.10540811216825238"/>
    <n v="0.6555819477434679"/>
    <n v="0.11594202898550725"/>
    <n v="8.01201802704056E-3"/>
    <n v="2.1675724637681157"/>
    <n v="1.4210213776722089"/>
    <n v="67.979423318010873"/>
  </r>
  <r>
    <x v="85"/>
    <s v="CMP202603001"/>
    <s v="CUST100057"/>
    <x v="2"/>
    <s v="Red Non-Saleable"/>
    <x v="0"/>
    <s v="Central"/>
    <s v="35-44"/>
    <n v="1351"/>
    <n v="1312"/>
    <n v="1222"/>
    <n v="14"/>
    <n v="6"/>
    <n v="0"/>
    <n v="109.97"/>
    <x v="0"/>
    <n v="0.93140243902439024"/>
    <n v="1.1456628477905073E-2"/>
    <n v="0.42857142857142855"/>
    <n v="0"/>
    <n v="0"/>
    <n v="18.328333333333333"/>
    <n v="7.8549999999999995"/>
    <n v="-1"/>
  </r>
  <r>
    <x v="85"/>
    <s v="CMP202603036"/>
    <s v="CUST100189"/>
    <x v="3"/>
    <s v="Red Saleable"/>
    <x v="1"/>
    <s v="Central"/>
    <s v="45-54"/>
    <n v="3983"/>
    <n v="3483"/>
    <n v="3214"/>
    <n v="177"/>
    <n v="118"/>
    <n v="6"/>
    <n v="490.5"/>
    <x v="388"/>
    <n v="0.92276772896927939"/>
    <n v="5.507156191661481E-2"/>
    <n v="0.66666666666666663"/>
    <n v="5.0847457627118647E-2"/>
    <n v="1.8668326073428749E-3"/>
    <n v="4.156779661016949"/>
    <n v="2.7711864406779663"/>
    <n v="10.185056065239552"/>
  </r>
  <r>
    <x v="85"/>
    <s v="CMP202603037"/>
    <s v="CUST100584"/>
    <x v="0"/>
    <s v="Green"/>
    <x v="0"/>
    <s v="Central"/>
    <s v="35-44"/>
    <n v="1103"/>
    <n v="950"/>
    <n v="867"/>
    <n v="65"/>
    <n v="31"/>
    <n v="2"/>
    <n v="123.4"/>
    <x v="389"/>
    <n v="0.91263157894736846"/>
    <n v="7.4971164936562862E-2"/>
    <n v="0.47692307692307695"/>
    <n v="6.4516129032258063E-2"/>
    <n v="2.306805074971165E-3"/>
    <n v="3.9806451612903229"/>
    <n v="1.8984615384615386"/>
    <n v="16.993922204213934"/>
  </r>
  <r>
    <x v="85"/>
    <s v="CMP202603048"/>
    <s v="CUST100365"/>
    <x v="3"/>
    <s v="Green"/>
    <x v="0"/>
    <s v="South"/>
    <s v="55+"/>
    <n v="4305"/>
    <n v="3251"/>
    <n v="2975"/>
    <n v="198"/>
    <n v="88"/>
    <n v="4"/>
    <n v="534.66"/>
    <x v="390"/>
    <n v="0.91510304521685637"/>
    <n v="6.655462184873949E-2"/>
    <n v="0.44444444444444442"/>
    <n v="4.5454545454545456E-2"/>
    <n v="1.3445378151260505E-3"/>
    <n v="6.0756818181818177"/>
    <n v="2.7003030303030302"/>
    <n v="5.9041072831332064"/>
  </r>
  <r>
    <x v="85"/>
    <s v="CMP202603056"/>
    <s v="CUST101195"/>
    <x v="1"/>
    <s v="Red Non-Saleable"/>
    <x v="0"/>
    <s v="South"/>
    <s v="45-54"/>
    <n v="1982"/>
    <n v="1781"/>
    <n v="1725"/>
    <n v="7"/>
    <n v="3"/>
    <n v="0"/>
    <n v="344.27"/>
    <x v="0"/>
    <n v="0.9685569904548007"/>
    <n v="4.0579710144927538E-3"/>
    <n v="0.42857142857142855"/>
    <n v="0"/>
    <n v="0"/>
    <n v="114.75666666666666"/>
    <n v="49.181428571428569"/>
    <n v="-1"/>
  </r>
  <r>
    <x v="85"/>
    <s v="CMP202603062"/>
    <s v="CUST100769"/>
    <x v="0"/>
    <s v="Green"/>
    <x v="0"/>
    <s v="West"/>
    <s v="55+"/>
    <n v="3048"/>
    <n v="2842"/>
    <n v="2636"/>
    <n v="197"/>
    <n v="90"/>
    <n v="5"/>
    <n v="352.24"/>
    <x v="391"/>
    <n v="0.92751583391977477"/>
    <n v="7.4734446130500759E-2"/>
    <n v="0.45685279187817257"/>
    <n v="5.5555555555555552E-2"/>
    <n v="1.8968133535660092E-3"/>
    <n v="3.9137777777777778"/>
    <n v="1.7880203045685279"/>
    <n v="14.81254258460141"/>
  </r>
  <r>
    <x v="85"/>
    <s v="CMP202603077"/>
    <s v="CUST100440"/>
    <x v="2"/>
    <s v="Amber"/>
    <x v="1"/>
    <s v="Central"/>
    <s v="18-24"/>
    <n v="1065"/>
    <n v="934"/>
    <n v="884"/>
    <n v="62"/>
    <n v="33"/>
    <n v="2"/>
    <n v="78.39"/>
    <x v="392"/>
    <n v="0.94646680942184158"/>
    <n v="7.0135746606334842E-2"/>
    <n v="0.532258064516129"/>
    <n v="6.0606060606060608E-2"/>
    <n v="2.2624434389140274E-3"/>
    <n v="2.3754545454545455"/>
    <n v="1.2643548387096775"/>
    <n v="36.346472764383215"/>
  </r>
  <r>
    <x v="86"/>
    <s v="CMP202603012"/>
    <s v="CUST100967"/>
    <x v="1"/>
    <s v="Red Saleable"/>
    <x v="0"/>
    <s v="Central"/>
    <s v="25-34"/>
    <n v="822"/>
    <n v="597"/>
    <n v="585"/>
    <n v="10"/>
    <n v="5"/>
    <n v="0"/>
    <n v="104.14"/>
    <x v="0"/>
    <n v="0.97989949748743721"/>
    <n v="1.7094017094017096E-2"/>
    <n v="0.5"/>
    <n v="0"/>
    <n v="0"/>
    <n v="20.827999999999999"/>
    <n v="10.414"/>
    <n v="-1"/>
  </r>
  <r>
    <x v="86"/>
    <s v="CMP202603044"/>
    <s v="CUST100882"/>
    <x v="1"/>
    <s v="Red Non-Saleable"/>
    <x v="1"/>
    <s v="Central"/>
    <s v="18-24"/>
    <n v="2158"/>
    <n v="1604"/>
    <n v="1538"/>
    <n v="13"/>
    <n v="5"/>
    <n v="0"/>
    <n v="310.37"/>
    <x v="0"/>
    <n v="0.95885286783042389"/>
    <n v="8.4525357607282189E-3"/>
    <n v="0.38461538461538464"/>
    <n v="0"/>
    <n v="0"/>
    <n v="62.073999999999998"/>
    <n v="23.874615384615385"/>
    <n v="-1"/>
  </r>
  <r>
    <x v="86"/>
    <s v="CMP202603059"/>
    <s v="CUST101440"/>
    <x v="1"/>
    <s v="Red Non-Saleable"/>
    <x v="0"/>
    <s v="East"/>
    <s v="55+"/>
    <n v="2608"/>
    <n v="2275"/>
    <n v="2183"/>
    <n v="16"/>
    <n v="7"/>
    <n v="0"/>
    <n v="418.13"/>
    <x v="0"/>
    <n v="0.95956043956043957"/>
    <n v="7.3293632615666513E-3"/>
    <n v="0.4375"/>
    <n v="0"/>
    <n v="0"/>
    <n v="59.732857142857142"/>
    <n v="26.133125"/>
    <n v="-1"/>
  </r>
  <r>
    <x v="86"/>
    <s v="CMP202603071"/>
    <s v="CUST101301"/>
    <x v="2"/>
    <s v="Green"/>
    <x v="0"/>
    <s v="North"/>
    <s v="25-34"/>
    <n v="4674"/>
    <n v="4173"/>
    <n v="3996"/>
    <n v="270"/>
    <n v="130"/>
    <n v="9"/>
    <n v="316.67"/>
    <x v="393"/>
    <n v="0.95758447160316318"/>
    <n v="6.7567567567567571E-2"/>
    <n v="0.48148148148148145"/>
    <n v="6.9230769230769235E-2"/>
    <n v="2.2522522522522522E-3"/>
    <n v="2.4359230769230771"/>
    <n v="1.1728518518518518"/>
    <n v="28.555373101335771"/>
  </r>
  <r>
    <x v="87"/>
    <s v="CMP202603026"/>
    <s v="CUST100273"/>
    <x v="3"/>
    <s v="Red Saleable"/>
    <x v="1"/>
    <s v="North"/>
    <s v="45-54"/>
    <n v="3054"/>
    <n v="2602"/>
    <n v="2365"/>
    <n v="121"/>
    <n v="79"/>
    <n v="4"/>
    <n v="439.87"/>
    <x v="394"/>
    <n v="0.90891621829362024"/>
    <n v="5.1162790697674418E-2"/>
    <n v="0.65289256198347112"/>
    <n v="5.0632911392405063E-2"/>
    <n v="1.6913319238900633E-3"/>
    <n v="5.5679746835443042"/>
    <n v="3.6352892561983472"/>
    <n v="10.117239184304454"/>
  </r>
  <r>
    <x v="87"/>
    <s v="CMP202603032"/>
    <s v="CUST101009"/>
    <x v="0"/>
    <s v="Green"/>
    <x v="1"/>
    <s v="Central"/>
    <s v="18-24"/>
    <n v="3904"/>
    <n v="3210"/>
    <n v="2924"/>
    <n v="260"/>
    <n v="170"/>
    <n v="14"/>
    <n v="374.81"/>
    <x v="395"/>
    <n v="0.91090342679127723"/>
    <n v="8.8919288645690833E-2"/>
    <n v="0.65384615384615385"/>
    <n v="8.2352941176470587E-2"/>
    <n v="4.7879616963064295E-3"/>
    <n v="2.204764705882353"/>
    <n v="1.4415769230769231"/>
    <n v="36.491742482857987"/>
  </r>
  <r>
    <x v="87"/>
    <s v="CMP202603047"/>
    <s v="CUST100877"/>
    <x v="3"/>
    <s v="Green"/>
    <x v="0"/>
    <s v="North"/>
    <s v="25-34"/>
    <n v="761"/>
    <n v="696"/>
    <n v="639"/>
    <n v="40"/>
    <n v="19"/>
    <n v="1"/>
    <n v="120.99"/>
    <x v="396"/>
    <n v="0.9181034482758621"/>
    <n v="6.2597809076682318E-2"/>
    <n v="0.47499999999999998"/>
    <n v="5.2631578947368418E-2"/>
    <n v="1.5649452269170579E-3"/>
    <n v="6.3678947368421053"/>
    <n v="3.02475"/>
    <n v="7.2158029589222252"/>
  </r>
  <r>
    <x v="87"/>
    <s v="CMP202603052"/>
    <s v="CUST100573"/>
    <x v="1"/>
    <s v="Amber"/>
    <x v="0"/>
    <s v="East"/>
    <s v="55+"/>
    <n v="1851"/>
    <n v="1835"/>
    <n v="1758"/>
    <n v="68"/>
    <n v="26"/>
    <n v="1"/>
    <n v="321.98"/>
    <x v="397"/>
    <n v="0.95803814713896462"/>
    <n v="3.8680318543799774E-2"/>
    <n v="0.38235294117647056"/>
    <n v="3.8461538461538464E-2"/>
    <n v="5.6882821387940839E-4"/>
    <n v="12.383846153846154"/>
    <n v="4.7350000000000003"/>
    <n v="1.7348282502018755"/>
  </r>
  <r>
    <x v="87"/>
    <s v="CMP202603053"/>
    <s v="CUST100814"/>
    <x v="0"/>
    <s v="Green"/>
    <x v="0"/>
    <s v="North"/>
    <s v="45-54"/>
    <n v="584"/>
    <n v="465"/>
    <n v="432"/>
    <n v="31"/>
    <n v="14"/>
    <n v="1"/>
    <n v="64.069999999999993"/>
    <x v="398"/>
    <n v="0.92903225806451617"/>
    <n v="7.1759259259259259E-2"/>
    <n v="0.45161290322580644"/>
    <n v="7.1428571428571425E-2"/>
    <n v="2.3148148148148147E-3"/>
    <n v="4.5764285714285711"/>
    <n v="2.0667741935483868"/>
    <n v="18.772592476978307"/>
  </r>
  <r>
    <x v="87"/>
    <s v="CMP202603064"/>
    <s v="CUST100138"/>
    <x v="1"/>
    <s v="Green"/>
    <x v="0"/>
    <s v="West"/>
    <s v="18-24"/>
    <n v="2479"/>
    <n v="1964"/>
    <n v="1871"/>
    <n v="77"/>
    <n v="30"/>
    <n v="3"/>
    <n v="325.83999999999997"/>
    <x v="399"/>
    <n v="0.95264765784114058"/>
    <n v="4.1154462854088719E-2"/>
    <n v="0.38961038961038963"/>
    <n v="0.1"/>
    <n v="1.6034206306787815E-3"/>
    <n v="10.861333333333333"/>
    <n v="4.2316883116883117"/>
    <n v="12.944297814878468"/>
  </r>
  <r>
    <x v="87"/>
    <s v="CMP202603064"/>
    <s v="CUST100175"/>
    <x v="3"/>
    <s v="Green"/>
    <x v="0"/>
    <s v="Central"/>
    <s v="45-54"/>
    <n v="3024"/>
    <n v="2287"/>
    <n v="2164"/>
    <n v="161"/>
    <n v="82"/>
    <n v="6"/>
    <n v="404.81"/>
    <x v="400"/>
    <n v="0.94621775251421081"/>
    <n v="7.4399260628465802E-2"/>
    <n v="0.50931677018633537"/>
    <n v="7.3170731707317069E-2"/>
    <n v="2.7726432532347504E-3"/>
    <n v="4.9367073170731706"/>
    <n v="2.5143478260869565"/>
    <n v="15.399644277562311"/>
  </r>
  <r>
    <x v="87"/>
    <s v="CMP202603066"/>
    <s v="CUST100466"/>
    <x v="3"/>
    <s v="Amber"/>
    <x v="0"/>
    <s v="North"/>
    <s v="55+"/>
    <n v="4208"/>
    <n v="3663"/>
    <n v="3442"/>
    <n v="174"/>
    <n v="85"/>
    <n v="3"/>
    <n v="654.22"/>
    <x v="401"/>
    <n v="0.9396669396669397"/>
    <n v="5.05520046484602E-2"/>
    <n v="0.4885057471264368"/>
    <n v="3.5294117647058823E-2"/>
    <n v="8.7158628704241722E-4"/>
    <n v="7.6967058823529415"/>
    <n v="3.7598850574712643"/>
    <n v="4.8808351930543248"/>
  </r>
  <r>
    <x v="87"/>
    <s v="CMP202603069"/>
    <s v="CUST100664"/>
    <x v="0"/>
    <s v="Amber"/>
    <x v="0"/>
    <s v="West"/>
    <s v="55+"/>
    <n v="1283"/>
    <n v="989"/>
    <n v="878"/>
    <n v="52"/>
    <n v="28"/>
    <n v="2"/>
    <n v="133.86000000000001"/>
    <x v="402"/>
    <n v="0.88776541961577349"/>
    <n v="5.9225512528473807E-2"/>
    <n v="0.53846153846153844"/>
    <n v="7.1428571428571425E-2"/>
    <n v="2.2779043280182231E-3"/>
    <n v="4.7807142857142866"/>
    <n v="2.5742307692307693"/>
    <n v="20.292992678918271"/>
  </r>
  <r>
    <x v="87"/>
    <s v="CMP202603071"/>
    <s v="CUST100079"/>
    <x v="1"/>
    <s v="Green"/>
    <x v="0"/>
    <s v="North"/>
    <s v="18-24"/>
    <n v="1647"/>
    <n v="1573"/>
    <n v="1482"/>
    <n v="67"/>
    <n v="29"/>
    <n v="2"/>
    <n v="257.89"/>
    <x v="403"/>
    <n v="0.94214876033057848"/>
    <n v="4.520917678812416E-2"/>
    <n v="0.43283582089552236"/>
    <n v="6.8965517241379309E-2"/>
    <n v="1.3495276653171389E-3"/>
    <n v="8.8927586206896549"/>
    <n v="3.8491044776119403"/>
    <n v="10.002249020900384"/>
  </r>
  <r>
    <x v="87"/>
    <s v="CMP202603072"/>
    <s v="CUST100469"/>
    <x v="2"/>
    <s v="Green"/>
    <x v="0"/>
    <s v="South"/>
    <s v="18-24"/>
    <n v="3814"/>
    <n v="3683"/>
    <n v="3517"/>
    <n v="227"/>
    <n v="96"/>
    <n v="8"/>
    <n v="322"/>
    <x v="404"/>
    <n v="0.95492804778713003"/>
    <n v="6.4543645152118287E-2"/>
    <n v="0.42290748898678415"/>
    <n v="8.3333333333333329E-2"/>
    <n v="2.274665908444697E-3"/>
    <n v="3.3541666666666665"/>
    <n v="1.4185022026431717"/>
    <n v="20.64052795031056"/>
  </r>
  <r>
    <x v="87"/>
    <s v="CMP202603075"/>
    <s v="CUST101456"/>
    <x v="3"/>
    <s v="Red Non-Saleable"/>
    <x v="1"/>
    <s v="East"/>
    <s v="18-24"/>
    <n v="723"/>
    <n v="697"/>
    <n v="658"/>
    <n v="13"/>
    <n v="8"/>
    <n v="0"/>
    <n v="103.03"/>
    <x v="0"/>
    <n v="0.94404591104734581"/>
    <n v="1.9756838905775075E-2"/>
    <n v="0.61538461538461542"/>
    <n v="0"/>
    <n v="0"/>
    <n v="12.87875"/>
    <n v="7.9253846153846155"/>
    <n v="-1"/>
  </r>
  <r>
    <x v="88"/>
    <s v="CMP202603004"/>
    <s v="CUST100720"/>
    <x v="3"/>
    <s v="Green"/>
    <x v="0"/>
    <s v="North"/>
    <s v="25-34"/>
    <n v="1616"/>
    <n v="1206"/>
    <n v="1117"/>
    <n v="84"/>
    <n v="40"/>
    <n v="4"/>
    <n v="215.87"/>
    <x v="405"/>
    <n v="0.92620232172470973"/>
    <n v="7.5201432408236346E-2"/>
    <n v="0.47619047619047616"/>
    <n v="0.1"/>
    <n v="3.5810205908683975E-3"/>
    <n v="5.3967499999999999"/>
    <n v="2.5698809523809523"/>
    <n v="21.667994626395515"/>
  </r>
  <r>
    <x v="88"/>
    <s v="CMP202603022"/>
    <s v="CUST101179"/>
    <x v="0"/>
    <s v="Red Saleable"/>
    <x v="0"/>
    <s v="West"/>
    <s v="25-34"/>
    <n v="2239"/>
    <n v="2125"/>
    <n v="1935"/>
    <n v="76"/>
    <n v="42"/>
    <n v="1"/>
    <n v="301.69"/>
    <x v="406"/>
    <n v="0.9105882352941177"/>
    <n v="3.9276485788113692E-2"/>
    <n v="0.55263157894736847"/>
    <n v="2.3809523809523808E-2"/>
    <n v="5.1679586563307489E-4"/>
    <n v="7.1830952380952384"/>
    <n v="3.9696052631578946"/>
    <n v="3.036958467300872"/>
  </r>
  <r>
    <x v="88"/>
    <s v="CMP202603033"/>
    <s v="CUST100136"/>
    <x v="3"/>
    <s v="Red Non-Saleable"/>
    <x v="0"/>
    <s v="North"/>
    <s v="55+"/>
    <n v="1294"/>
    <n v="1023"/>
    <n v="954"/>
    <n v="25"/>
    <n v="10"/>
    <n v="0"/>
    <n v="176.63"/>
    <x v="0"/>
    <n v="0.93255131964809379"/>
    <n v="2.6205450733752619E-2"/>
    <n v="0.4"/>
    <n v="0"/>
    <n v="0"/>
    <n v="17.663"/>
    <n v="7.0651999999999999"/>
    <n v="-1"/>
  </r>
  <r>
    <x v="88"/>
    <s v="CMP202603078"/>
    <s v="CUST101480"/>
    <x v="0"/>
    <s v="Green"/>
    <x v="0"/>
    <s v="North"/>
    <s v="45-54"/>
    <n v="2899"/>
    <n v="2599"/>
    <n v="2424"/>
    <n v="174"/>
    <n v="83"/>
    <n v="8"/>
    <n v="341.3"/>
    <x v="407"/>
    <n v="0.93266641015775298"/>
    <n v="7.1782178217821777E-2"/>
    <n v="0.47701149425287354"/>
    <n v="9.6385542168674704E-2"/>
    <n v="3.3003300330033004E-3"/>
    <n v="4.1120481927710841"/>
    <n v="1.9614942528735633"/>
    <n v="24.375798417814242"/>
  </r>
  <r>
    <x v="89"/>
    <s v="CMP202603038"/>
    <s v="CUST100866"/>
    <x v="0"/>
    <s v="Amber"/>
    <x v="0"/>
    <s v="Central"/>
    <s v="55+"/>
    <n v="2949"/>
    <n v="2711"/>
    <n v="2460"/>
    <n v="145"/>
    <n v="63"/>
    <n v="4"/>
    <n v="277.87"/>
    <x v="408"/>
    <n v="0.90741423828845447"/>
    <n v="5.894308943089431E-2"/>
    <n v="0.43448275862068964"/>
    <n v="6.3492063492063489E-2"/>
    <n v="1.6260162601626016E-3"/>
    <n v="4.4106349206349211"/>
    <n v="1.9163448275862069"/>
    <n v="9.7998704430129209"/>
  </r>
  <r>
    <x v="89"/>
    <s v="CMP202603045"/>
    <s v="CUST101350"/>
    <x v="2"/>
    <s v="Amber"/>
    <x v="0"/>
    <s v="Central"/>
    <s v="18-24"/>
    <n v="4030"/>
    <n v="3652"/>
    <n v="3498"/>
    <n v="159"/>
    <n v="64"/>
    <n v="3"/>
    <n v="329.84"/>
    <x v="409"/>
    <n v="0.95783132530120485"/>
    <n v="4.5454545454545456E-2"/>
    <n v="0.40251572327044027"/>
    <n v="4.6875E-2"/>
    <n v="8.576329331046312E-4"/>
    <n v="5.1537499999999996"/>
    <n v="2.0744654088050312"/>
    <n v="11.846713558088769"/>
  </r>
  <r>
    <x v="89"/>
    <s v="CMP202603048"/>
    <s v="CUST100692"/>
    <x v="0"/>
    <s v="Green"/>
    <x v="1"/>
    <s v="South"/>
    <s v="55+"/>
    <n v="1975"/>
    <n v="1716"/>
    <n v="1522"/>
    <n v="163"/>
    <n v="98"/>
    <n v="10"/>
    <n v="214.88"/>
    <x v="410"/>
    <n v="0.88694638694638694"/>
    <n v="0.10709592641261498"/>
    <n v="0.60122699386503065"/>
    <n v="0.10204081632653061"/>
    <n v="6.5703022339027592E-3"/>
    <n v="2.1926530612244899"/>
    <n v="1.3182822085889569"/>
    <n v="46.994229337304546"/>
  </r>
  <r>
    <x v="89"/>
    <s v="CMP202603063"/>
    <s v="CUST100098"/>
    <x v="0"/>
    <s v="Green"/>
    <x v="0"/>
    <s v="South"/>
    <s v="18-24"/>
    <n v="3032"/>
    <n v="2260"/>
    <n v="2036"/>
    <n v="153"/>
    <n v="86"/>
    <n v="7"/>
    <n v="318.39"/>
    <x v="411"/>
    <n v="0.90088495575221239"/>
    <n v="7.5147347740667975E-2"/>
    <n v="0.56209150326797386"/>
    <n v="8.1395348837209308E-2"/>
    <n v="3.43811394891945E-3"/>
    <n v="3.7022093023255813"/>
    <n v="2.0809803921568628"/>
    <n v="23.63714312635447"/>
  </r>
  <r>
    <x v="90"/>
    <s v="CMP202604016"/>
    <s v="CUST100122"/>
    <x v="3"/>
    <s v="Red Saleable"/>
    <x v="0"/>
    <s v="East"/>
    <s v="25-34"/>
    <n v="922"/>
    <n v="675"/>
    <n v="630"/>
    <n v="19"/>
    <n v="9"/>
    <n v="0"/>
    <n v="105.56"/>
    <x v="0"/>
    <n v="0.93333333333333335"/>
    <n v="3.0158730158730159E-2"/>
    <n v="0.47368421052631576"/>
    <n v="0"/>
    <n v="0"/>
    <n v="11.728888888888889"/>
    <n v="5.5557894736842108"/>
    <n v="-1"/>
  </r>
  <r>
    <x v="90"/>
    <s v="CMP202604031"/>
    <s v="CUST100763"/>
    <x v="1"/>
    <s v="Green"/>
    <x v="0"/>
    <s v="North"/>
    <s v="25-34"/>
    <n v="2017"/>
    <n v="1462"/>
    <n v="1417"/>
    <n v="60"/>
    <n v="18"/>
    <n v="1"/>
    <n v="236.49"/>
    <x v="412"/>
    <n v="0.96922024623803005"/>
    <n v="4.2342978122794639E-2"/>
    <n v="0.3"/>
    <n v="5.5555555555555552E-2"/>
    <n v="7.0571630204657732E-4"/>
    <n v="13.138333333333334"/>
    <n v="3.9415"/>
    <n v="2.9080299378409236"/>
  </r>
  <r>
    <x v="90"/>
    <s v="CMP202604038"/>
    <s v="CUST100889"/>
    <x v="0"/>
    <s v="Amber"/>
    <x v="1"/>
    <s v="East"/>
    <s v="45-54"/>
    <n v="1926"/>
    <n v="1574"/>
    <n v="1413"/>
    <n v="125"/>
    <n v="88"/>
    <n v="7"/>
    <n v="198.97"/>
    <x v="413"/>
    <n v="0.897712833545108"/>
    <n v="8.8464260438782735E-2"/>
    <n v="0.70399999999999996"/>
    <n v="7.9545454545454544E-2"/>
    <n v="4.953998584571833E-3"/>
    <n v="2.2610227272727275"/>
    <n v="1.5917600000000001"/>
    <n v="52.838267075438516"/>
  </r>
  <r>
    <x v="90"/>
    <s v="CMP202604041"/>
    <s v="CUST100512"/>
    <x v="0"/>
    <s v="Red Non-Saleable"/>
    <x v="0"/>
    <s v="West"/>
    <s v="35-44"/>
    <n v="4872"/>
    <n v="4437"/>
    <n v="3971"/>
    <n v="63"/>
    <n v="29"/>
    <n v="0"/>
    <n v="560.08000000000004"/>
    <x v="0"/>
    <n v="0.8949740815866577"/>
    <n v="1.5865021405187609E-2"/>
    <n v="0.46031746031746029"/>
    <n v="0"/>
    <n v="0"/>
    <n v="19.313103448275864"/>
    <n v="8.8901587301587313"/>
    <n v="-1"/>
  </r>
  <r>
    <x v="90"/>
    <s v="CMP202604053"/>
    <s v="CUST100191"/>
    <x v="2"/>
    <s v="Red Saleable"/>
    <x v="1"/>
    <s v="West"/>
    <s v="25-34"/>
    <n v="3408"/>
    <n v="2683"/>
    <n v="2523"/>
    <n v="101"/>
    <n v="56"/>
    <n v="3"/>
    <n v="253.85"/>
    <x v="414"/>
    <n v="0.94036526276556098"/>
    <n v="4.0031708283789137E-2"/>
    <n v="0.5544554455445545"/>
    <n v="5.3571428571428568E-2"/>
    <n v="1.1890606420927466E-3"/>
    <n v="4.5330357142857141"/>
    <n v="2.5133663366336632"/>
    <n v="13.235020681504826"/>
  </r>
  <r>
    <x v="90"/>
    <s v="CMP202604069"/>
    <s v="CUST100489"/>
    <x v="0"/>
    <s v="Amber"/>
    <x v="0"/>
    <s v="North"/>
    <s v="45-54"/>
    <n v="2735"/>
    <n v="2461"/>
    <n v="2237"/>
    <n v="120"/>
    <n v="58"/>
    <n v="3"/>
    <n v="260.8"/>
    <x v="415"/>
    <n v="0.9089800893945551"/>
    <n v="5.3643272239606618E-2"/>
    <n v="0.48333333333333334"/>
    <n v="5.1724137931034482E-2"/>
    <n v="1.3410818059901655E-3"/>
    <n v="4.4965517241379311"/>
    <n v="2.1733333333333333"/>
    <n v="13.455981595092023"/>
  </r>
  <r>
    <x v="90"/>
    <s v="CMP202604073"/>
    <s v="CUST100450"/>
    <x v="2"/>
    <s v="Amber"/>
    <x v="1"/>
    <s v="East"/>
    <s v="55+"/>
    <n v="2315"/>
    <n v="2252"/>
    <n v="2110"/>
    <n v="140"/>
    <n v="87"/>
    <n v="6"/>
    <n v="207.18"/>
    <x v="416"/>
    <n v="0.93694493783303734"/>
    <n v="6.6350710900473939E-2"/>
    <n v="0.62142857142857144"/>
    <n v="6.8965517241379309E-2"/>
    <n v="2.843601895734597E-3"/>
    <n v="2.3813793103448275"/>
    <n v="1.479857142857143"/>
    <n v="29.716864562216429"/>
  </r>
  <r>
    <x v="91"/>
    <s v="CMP202604018"/>
    <s v="CUST100908"/>
    <x v="3"/>
    <s v="Red Non-Saleable"/>
    <x v="0"/>
    <s v="West"/>
    <s v="55+"/>
    <n v="1637"/>
    <n v="1299"/>
    <n v="1223"/>
    <n v="25"/>
    <n v="11"/>
    <n v="0"/>
    <n v="229.77"/>
    <x v="0"/>
    <n v="0.94149345650500382"/>
    <n v="2.0441537203597711E-2"/>
    <n v="0.44"/>
    <n v="0"/>
    <n v="0"/>
    <n v="20.88818181818182"/>
    <n v="9.1908000000000012"/>
    <n v="-1"/>
  </r>
  <r>
    <x v="91"/>
    <s v="CMP202604042"/>
    <s v="CUST100331"/>
    <x v="1"/>
    <s v="Red Non-Saleable"/>
    <x v="0"/>
    <s v="West"/>
    <s v="18-24"/>
    <n v="4672"/>
    <n v="3772"/>
    <n v="3670"/>
    <n v="62"/>
    <n v="25"/>
    <n v="1"/>
    <n v="657.73"/>
    <x v="417"/>
    <n v="0.97295864262990461"/>
    <n v="1.6893732970027248E-2"/>
    <n v="0.40322580645161288"/>
    <n v="0.04"/>
    <n v="2.7247956403269756E-4"/>
    <n v="26.309200000000001"/>
    <n v="10.608548387096775"/>
    <n v="0.45257172395967943"/>
  </r>
  <r>
    <x v="91"/>
    <s v="CMP202604053"/>
    <s v="CUST100417"/>
    <x v="1"/>
    <s v="Amber"/>
    <x v="0"/>
    <s v="North"/>
    <s v="45-54"/>
    <n v="2401"/>
    <n v="1967"/>
    <n v="1779"/>
    <n v="88"/>
    <n v="34"/>
    <n v="2"/>
    <n v="348.51"/>
    <x v="418"/>
    <n v="0.90442297915607528"/>
    <n v="4.9465992130410343E-2"/>
    <n v="0.38636363636363635"/>
    <n v="5.8823529411764705E-2"/>
    <n v="1.1242270938729624E-3"/>
    <n v="10.250294117647059"/>
    <n v="3.9603409090909092"/>
    <n v="7.1929643338785105"/>
  </r>
  <r>
    <x v="91"/>
    <s v="CMP202604065"/>
    <s v="CUST100439"/>
    <x v="1"/>
    <s v="Amber"/>
    <x v="0"/>
    <s v="East"/>
    <s v="35-44"/>
    <n v="2913"/>
    <n v="2118"/>
    <n v="2047"/>
    <n v="44"/>
    <n v="18"/>
    <n v="1"/>
    <n v="405.16"/>
    <x v="419"/>
    <n v="0.96647780925401316"/>
    <n v="2.1494870542256961E-2"/>
    <n v="0.40909090909090912"/>
    <n v="5.5555555555555552E-2"/>
    <n v="4.8851978505129456E-4"/>
    <n v="22.50888888888889"/>
    <n v="9.2081818181818189"/>
    <n v="1.4007552571823476"/>
  </r>
  <r>
    <x v="91"/>
    <s v="CMP202604072"/>
    <s v="CUST100831"/>
    <x v="1"/>
    <s v="Amber"/>
    <x v="1"/>
    <s v="South"/>
    <s v="25-34"/>
    <n v="3010"/>
    <n v="2960"/>
    <n v="2879"/>
    <n v="151"/>
    <n v="71"/>
    <n v="6"/>
    <n v="564.79"/>
    <x v="420"/>
    <n v="0.97263513513513511"/>
    <n v="5.2448766932962833E-2"/>
    <n v="0.47019867549668876"/>
    <n v="8.4507042253521125E-2"/>
    <n v="2.0840569642236887E-3"/>
    <n v="7.9547887323943653"/>
    <n v="3.7403311258278142"/>
    <n v="7.8919067263938825"/>
  </r>
  <r>
    <x v="92"/>
    <s v="CMP202604009"/>
    <s v="CUST100190"/>
    <x v="0"/>
    <s v="Red Saleable"/>
    <x v="0"/>
    <s v="West"/>
    <s v="25-34"/>
    <n v="2576"/>
    <n v="1887"/>
    <n v="1699"/>
    <n v="85"/>
    <n v="49"/>
    <n v="1"/>
    <n v="265.26"/>
    <x v="421"/>
    <n v="0.90037095919448862"/>
    <n v="5.0029429075927015E-2"/>
    <n v="0.57647058823529407"/>
    <n v="2.0408163265306121E-2"/>
    <n v="5.885815185403178E-4"/>
    <n v="5.4134693877551019"/>
    <n v="3.120705882352941"/>
    <n v="4.3183291864585689"/>
  </r>
  <r>
    <x v="92"/>
    <s v="CMP202604017"/>
    <s v="CUST100208"/>
    <x v="0"/>
    <s v="Amber"/>
    <x v="1"/>
    <s v="West"/>
    <s v="18-24"/>
    <n v="1464"/>
    <n v="1153"/>
    <n v="1041"/>
    <n v="84"/>
    <n v="55"/>
    <n v="3"/>
    <n v="153.38"/>
    <x v="422"/>
    <n v="0.90286209887250646"/>
    <n v="8.069164265129683E-2"/>
    <n v="0.65476190476190477"/>
    <n v="5.4545454545454543E-2"/>
    <n v="2.881844380403458E-3"/>
    <n v="2.7887272727272725"/>
    <n v="1.825952380952381"/>
    <n v="12.962902594862433"/>
  </r>
  <r>
    <x v="92"/>
    <s v="CMP202604036"/>
    <s v="CUST101191"/>
    <x v="0"/>
    <s v="Red Non-Saleable"/>
    <x v="0"/>
    <s v="West"/>
    <s v="18-24"/>
    <n v="2419"/>
    <n v="2139"/>
    <n v="1941"/>
    <n v="41"/>
    <n v="18"/>
    <n v="0"/>
    <n v="274.88"/>
    <x v="0"/>
    <n v="0.90743338008415142"/>
    <n v="2.1123132405976301E-2"/>
    <n v="0.43902439024390244"/>
    <n v="0"/>
    <n v="0"/>
    <n v="15.271111111111111"/>
    <n v="6.7043902439024388"/>
    <n v="-1"/>
  </r>
  <r>
    <x v="92"/>
    <s v="CMP202604047"/>
    <s v="CUST100294"/>
    <x v="0"/>
    <s v="Amber"/>
    <x v="1"/>
    <s v="East"/>
    <s v="35-44"/>
    <n v="4946"/>
    <n v="3660"/>
    <n v="3424"/>
    <n v="323"/>
    <n v="211"/>
    <n v="17"/>
    <n v="520.86"/>
    <x v="423"/>
    <n v="0.93551912568306006"/>
    <n v="9.4334112149532703E-2"/>
    <n v="0.65325077399380804"/>
    <n v="8.0568720379146919E-2"/>
    <n v="4.9649532710280371E-3"/>
    <n v="2.468530805687204"/>
    <n v="1.6125696594427246"/>
    <n v="23.285278193756476"/>
  </r>
  <r>
    <x v="92"/>
    <s v="CMP202604048"/>
    <s v="CUST100914"/>
    <x v="1"/>
    <s v="Amber"/>
    <x v="0"/>
    <s v="West"/>
    <s v="45-54"/>
    <n v="2225"/>
    <n v="1717"/>
    <n v="1613"/>
    <n v="42"/>
    <n v="21"/>
    <n v="1"/>
    <n v="367.44"/>
    <x v="424"/>
    <n v="0.93942923704135117"/>
    <n v="2.6038437693738377E-2"/>
    <n v="0.5"/>
    <n v="4.7619047619047616E-2"/>
    <n v="6.1996280223186606E-4"/>
    <n v="17.497142857142858"/>
    <n v="8.7485714285714291"/>
    <n v="1.0828706727629003"/>
  </r>
  <r>
    <x v="92"/>
    <s v="CMP202604050"/>
    <s v="CUST100591"/>
    <x v="1"/>
    <s v="Amber"/>
    <x v="0"/>
    <s v="East"/>
    <s v="55+"/>
    <n v="2360"/>
    <n v="1726"/>
    <n v="1650"/>
    <n v="55"/>
    <n v="24"/>
    <n v="1"/>
    <n v="301.73"/>
    <x v="425"/>
    <n v="0.95596755504055619"/>
    <n v="3.3333333333333333E-2"/>
    <n v="0.43636363636363634"/>
    <n v="4.1666666666666664E-2"/>
    <n v="6.0606060606060606E-4"/>
    <n v="12.572083333333333"/>
    <n v="5.4860000000000007"/>
    <n v="2.8899015676266862"/>
  </r>
  <r>
    <x v="92"/>
    <s v="CMP202604063"/>
    <s v="CUST100717"/>
    <x v="2"/>
    <s v="Green"/>
    <x v="1"/>
    <s v="East"/>
    <s v="45-54"/>
    <n v="2743"/>
    <n v="2194"/>
    <n v="2083"/>
    <n v="195"/>
    <n v="120"/>
    <n v="9"/>
    <n v="176.19"/>
    <x v="426"/>
    <n v="0.94940747493163169"/>
    <n v="9.3614978396543452E-2"/>
    <n v="0.61538461538461542"/>
    <n v="7.4999999999999997E-2"/>
    <n v="4.3206913106096975E-3"/>
    <n v="1.4682500000000001"/>
    <n v="0.90353846153846151"/>
    <n v="53.88478347238776"/>
  </r>
  <r>
    <x v="92"/>
    <s v="CMP202604064"/>
    <s v="CUST100218"/>
    <x v="0"/>
    <s v="Green"/>
    <x v="0"/>
    <s v="Central"/>
    <s v="55+"/>
    <n v="4790"/>
    <n v="3640"/>
    <n v="3258"/>
    <n v="270"/>
    <n v="148"/>
    <n v="10"/>
    <n v="402.52"/>
    <x v="427"/>
    <n v="0.89505494505494509"/>
    <n v="8.2872928176795577E-2"/>
    <n v="0.54814814814814816"/>
    <n v="6.7567567567567571E-2"/>
    <n v="3.0693677102516881E-3"/>
    <n v="2.7197297297297296"/>
    <n v="1.4908148148148148"/>
    <n v="28.389670078505418"/>
  </r>
  <r>
    <x v="93"/>
    <s v="CMP202604004"/>
    <s v="CUST100926"/>
    <x v="3"/>
    <s v="Amber"/>
    <x v="1"/>
    <s v="North"/>
    <s v="35-44"/>
    <n v="636"/>
    <n v="627"/>
    <n v="580"/>
    <n v="48"/>
    <n v="30"/>
    <n v="2"/>
    <n v="86.92"/>
    <x v="428"/>
    <n v="0.92503987240829344"/>
    <n v="8.2758620689655171E-2"/>
    <n v="0.625"/>
    <n v="6.6666666666666666E-2"/>
    <n v="3.4482758620689655E-3"/>
    <n v="2.8973333333333335"/>
    <n v="1.8108333333333333"/>
    <n v="16.325931891394386"/>
  </r>
  <r>
    <x v="93"/>
    <s v="CMP202604012"/>
    <s v="CUST100473"/>
    <x v="0"/>
    <s v="Amber"/>
    <x v="0"/>
    <s v="Central"/>
    <s v="18-24"/>
    <n v="4621"/>
    <n v="4534"/>
    <n v="4142"/>
    <n v="219"/>
    <n v="117"/>
    <n v="7"/>
    <n v="488.27"/>
    <x v="429"/>
    <n v="0.91354212615791797"/>
    <n v="5.2873008208594884E-2"/>
    <n v="0.53424657534246578"/>
    <n v="5.9829059829059832E-2"/>
    <n v="1.6900048285852245E-3"/>
    <n v="4.1732478632478633"/>
    <n v="2.2295433789954338"/>
    <n v="13.451819689925658"/>
  </r>
  <r>
    <x v="93"/>
    <s v="CMP202604044"/>
    <s v="CUST100442"/>
    <x v="0"/>
    <s v="Red Non-Saleable"/>
    <x v="0"/>
    <s v="Central"/>
    <s v="35-44"/>
    <n v="800"/>
    <n v="676"/>
    <n v="622"/>
    <n v="12"/>
    <n v="6"/>
    <n v="0"/>
    <n v="82.43"/>
    <x v="0"/>
    <n v="0.92011834319526631"/>
    <n v="1.9292604501607719E-2"/>
    <n v="0.5"/>
    <n v="0"/>
    <n v="0"/>
    <n v="13.738333333333335"/>
    <n v="6.8691666666666675"/>
    <n v="-1"/>
  </r>
  <r>
    <x v="93"/>
    <s v="CMP202604046"/>
    <s v="CUST101097"/>
    <x v="3"/>
    <s v="Green"/>
    <x v="1"/>
    <s v="East"/>
    <s v="55+"/>
    <n v="2691"/>
    <n v="2279"/>
    <n v="2095"/>
    <n v="202"/>
    <n v="130"/>
    <n v="12"/>
    <n v="329.14"/>
    <x v="430"/>
    <n v="0.91926283457656865"/>
    <n v="9.6420047732696898E-2"/>
    <n v="0.64356435643564358"/>
    <n v="9.2307692307692313E-2"/>
    <n v="5.7279236276849641E-3"/>
    <n v="2.5318461538461539"/>
    <n v="1.6294059405940593"/>
    <n v="50.668530108768309"/>
  </r>
  <r>
    <x v="93"/>
    <s v="CMP202604069"/>
    <s v="CUST101405"/>
    <x v="1"/>
    <s v="Red Non-Saleable"/>
    <x v="0"/>
    <s v="Central"/>
    <s v="35-44"/>
    <n v="756"/>
    <n v="579"/>
    <n v="565"/>
    <n v="2"/>
    <n v="1"/>
    <n v="0"/>
    <n v="116.44"/>
    <x v="0"/>
    <n v="0.97582037996545767"/>
    <n v="3.5398230088495575E-3"/>
    <n v="0.5"/>
    <n v="0"/>
    <n v="0"/>
    <n v="116.44"/>
    <n v="58.22"/>
    <n v="-1"/>
  </r>
  <r>
    <x v="94"/>
    <s v="CMP202604004"/>
    <s v="CUST101298"/>
    <x v="2"/>
    <s v="Green"/>
    <x v="0"/>
    <s v="Central"/>
    <s v="55+"/>
    <n v="602"/>
    <n v="449"/>
    <n v="444"/>
    <n v="27"/>
    <n v="13"/>
    <n v="1"/>
    <n v="40.4"/>
    <x v="431"/>
    <n v="0.98886414253897548"/>
    <n v="6.0810810810810814E-2"/>
    <n v="0.48148148148148145"/>
    <n v="7.6923076923076927E-2"/>
    <n v="2.2522522522522522E-3"/>
    <n v="3.1076923076923078"/>
    <n v="1.4962962962962962"/>
    <n v="35.529207920792075"/>
  </r>
  <r>
    <x v="94"/>
    <s v="CMP202604013"/>
    <s v="CUST101210"/>
    <x v="0"/>
    <s v="Amber"/>
    <x v="0"/>
    <s v="Central"/>
    <s v="55+"/>
    <n v="647"/>
    <n v="536"/>
    <n v="487"/>
    <n v="29"/>
    <n v="12"/>
    <n v="1"/>
    <n v="61.74"/>
    <x v="432"/>
    <n v="0.90858208955223885"/>
    <n v="5.9548254620123205E-2"/>
    <n v="0.41379310344827586"/>
    <n v="8.3333333333333329E-2"/>
    <n v="2.0533880903490761E-3"/>
    <n v="5.1450000000000005"/>
    <n v="2.1289655172413795"/>
    <n v="15.909297052154194"/>
  </r>
  <r>
    <x v="94"/>
    <s v="CMP202604046"/>
    <s v="CUST101263"/>
    <x v="1"/>
    <s v="Red Saleable"/>
    <x v="0"/>
    <s v="East"/>
    <s v="35-44"/>
    <n v="3937"/>
    <n v="3851"/>
    <n v="3678"/>
    <n v="90"/>
    <n v="41"/>
    <n v="1"/>
    <n v="778.46"/>
    <x v="433"/>
    <n v="0.95507660347961565"/>
    <n v="2.4469820554649267E-2"/>
    <n v="0.45555555555555555"/>
    <n v="2.4390243902439025E-2"/>
    <n v="2.7188689505165849E-4"/>
    <n v="18.986829268292684"/>
    <n v="8.6495555555555566"/>
    <n v="0.36257482722297868"/>
  </r>
  <r>
    <x v="94"/>
    <s v="CMP202604048"/>
    <s v="CUST101255"/>
    <x v="2"/>
    <s v="Amber"/>
    <x v="1"/>
    <s v="Central"/>
    <s v="45-54"/>
    <n v="2042"/>
    <n v="1649"/>
    <n v="1530"/>
    <n v="113"/>
    <n v="69"/>
    <n v="5"/>
    <n v="150.09"/>
    <x v="434"/>
    <n v="0.92783505154639179"/>
    <n v="7.3856209150326799E-2"/>
    <n v="0.61061946902654862"/>
    <n v="7.2463768115942032E-2"/>
    <n v="3.2679738562091504E-3"/>
    <n v="2.175217391304348"/>
    <n v="1.3282300884955753"/>
    <n v="35.99780131920847"/>
  </r>
  <r>
    <x v="94"/>
    <s v="CMP202604052"/>
    <s v="CUST100113"/>
    <x v="0"/>
    <s v="Red Saleable"/>
    <x v="1"/>
    <s v="West"/>
    <s v="35-44"/>
    <n v="2360"/>
    <n v="2244"/>
    <n v="2015"/>
    <n v="116"/>
    <n v="80"/>
    <n v="1"/>
    <n v="250.81"/>
    <x v="435"/>
    <n v="0.89795008912655971"/>
    <n v="5.7568238213399507E-2"/>
    <n v="0.68965517241379315"/>
    <n v="1.2500000000000001E-2"/>
    <n v="4.9627791563275434E-4"/>
    <n v="3.1351249999999999"/>
    <n v="2.1621551724137933"/>
    <n v="2.0743989474103901"/>
  </r>
  <r>
    <x v="94"/>
    <s v="CMP202604065"/>
    <s v="CUST100684"/>
    <x v="0"/>
    <s v="Green"/>
    <x v="0"/>
    <s v="East"/>
    <s v="25-34"/>
    <n v="2435"/>
    <n v="1908"/>
    <n v="1741"/>
    <n v="140"/>
    <n v="66"/>
    <n v="5"/>
    <n v="213.38"/>
    <x v="436"/>
    <n v="0.91247379454926625"/>
    <n v="8.0413555427914993E-2"/>
    <n v="0.47142857142857142"/>
    <n v="7.575757575757576E-2"/>
    <n v="2.8719126938541069E-3"/>
    <n v="3.2330303030303029"/>
    <n v="1.524142857142857"/>
    <n v="27.002999343893521"/>
  </r>
  <r>
    <x v="95"/>
    <s v="CMP202604008"/>
    <s v="CUST101303"/>
    <x v="2"/>
    <s v="Red Non-Saleable"/>
    <x v="0"/>
    <s v="West"/>
    <s v="25-34"/>
    <n v="4169"/>
    <n v="3953"/>
    <n v="3665"/>
    <n v="11"/>
    <n v="5"/>
    <n v="0"/>
    <n v="370.03"/>
    <x v="0"/>
    <n v="0.92714394131039712"/>
    <n v="3.0013642564802184E-3"/>
    <n v="0.45454545454545453"/>
    <n v="0"/>
    <n v="0"/>
    <n v="74.006"/>
    <n v="33.639090909090903"/>
    <n v="-1"/>
  </r>
  <r>
    <x v="95"/>
    <s v="CMP202604024"/>
    <s v="CUST100848"/>
    <x v="3"/>
    <s v="Amber"/>
    <x v="0"/>
    <s v="North"/>
    <s v="25-34"/>
    <n v="2364"/>
    <n v="2161"/>
    <n v="2004"/>
    <n v="119"/>
    <n v="52"/>
    <n v="2"/>
    <n v="327.14999999999998"/>
    <x v="437"/>
    <n v="0.92734844979176312"/>
    <n v="5.9381237524950101E-2"/>
    <n v="0.43697478991596639"/>
    <n v="3.8461538461538464E-2"/>
    <n v="9.9800399201596798E-4"/>
    <n v="6.2913461538461535"/>
    <n v="2.7491596638655462"/>
    <n v="4.3952009781445822"/>
  </r>
  <r>
    <x v="95"/>
    <s v="CMP202604036"/>
    <s v="CUST100737"/>
    <x v="2"/>
    <s v="Red Non-Saleable"/>
    <x v="1"/>
    <s v="East"/>
    <s v="25-34"/>
    <n v="2072"/>
    <n v="1817"/>
    <n v="1686"/>
    <n v="16"/>
    <n v="10"/>
    <n v="0"/>
    <n v="130.21"/>
    <x v="0"/>
    <n v="0.92790313703907545"/>
    <n v="9.4899169632265724E-3"/>
    <n v="0.625"/>
    <n v="0"/>
    <n v="0"/>
    <n v="13.021000000000001"/>
    <n v="8.1381250000000005"/>
    <n v="-1"/>
  </r>
  <r>
    <x v="95"/>
    <s v="CMP202604050"/>
    <s v="CUST101261"/>
    <x v="3"/>
    <s v="Red Saleable"/>
    <x v="0"/>
    <s v="East"/>
    <s v="35-44"/>
    <n v="1911"/>
    <n v="1610"/>
    <n v="1484"/>
    <n v="58"/>
    <n v="26"/>
    <n v="1"/>
    <n v="205.7"/>
    <x v="438"/>
    <n v="0.92173913043478262"/>
    <n v="3.9083557951482481E-2"/>
    <n v="0.44827586206896552"/>
    <n v="3.8461538461538464E-2"/>
    <n v="6.7385444743935314E-4"/>
    <n v="7.911538461538461"/>
    <n v="3.546551724137931"/>
    <n v="3.7487603305785133"/>
  </r>
  <r>
    <x v="95"/>
    <s v="CMP202604058"/>
    <s v="CUST100009"/>
    <x v="0"/>
    <s v="Amber"/>
    <x v="0"/>
    <s v="East"/>
    <s v="45-54"/>
    <n v="3981"/>
    <n v="3642"/>
    <n v="3273"/>
    <n v="198"/>
    <n v="99"/>
    <n v="5"/>
    <n v="376.54"/>
    <x v="439"/>
    <n v="0.89868204283360786"/>
    <n v="6.0494958753437217E-2"/>
    <n v="0.5"/>
    <n v="5.0505050505050504E-2"/>
    <n v="1.5276504735716467E-3"/>
    <n v="3.8034343434343438"/>
    <n v="1.9017171717171719"/>
    <n v="11.296914006480055"/>
  </r>
  <r>
    <x v="96"/>
    <s v="CMP202604002"/>
    <s v="CUST100211"/>
    <x v="3"/>
    <s v="Red Saleable"/>
    <x v="1"/>
    <s v="Central"/>
    <s v="25-34"/>
    <n v="4858"/>
    <n v="4366"/>
    <n v="4060"/>
    <n v="250"/>
    <n v="135"/>
    <n v="7"/>
    <n v="736.37"/>
    <x v="440"/>
    <n v="0.92991296381126887"/>
    <n v="6.1576354679802957E-2"/>
    <n v="0.54"/>
    <n v="5.185185185185185E-2"/>
    <n v="1.7241379310344827E-3"/>
    <n v="5.4545925925925927"/>
    <n v="2.9454799999999999"/>
    <n v="9.1178347841438416"/>
  </r>
  <r>
    <x v="96"/>
    <s v="CMP202604003"/>
    <s v="CUST100011"/>
    <x v="2"/>
    <s v="Amber"/>
    <x v="1"/>
    <s v="East"/>
    <s v="45-54"/>
    <n v="1769"/>
    <n v="1527"/>
    <n v="1450"/>
    <n v="86"/>
    <n v="52"/>
    <n v="3"/>
    <n v="120.37"/>
    <x v="441"/>
    <n v="0.94957432874918135"/>
    <n v="5.9310344827586209E-2"/>
    <n v="0.60465116279069764"/>
    <n v="5.7692307692307696E-2"/>
    <n v="2.0689655172413794E-3"/>
    <n v="2.3148076923076926"/>
    <n v="1.3996511627906978"/>
    <n v="36.66719282213176"/>
  </r>
  <r>
    <x v="96"/>
    <s v="CMP202604010"/>
    <s v="CUST101486"/>
    <x v="3"/>
    <s v="Red Saleable"/>
    <x v="0"/>
    <s v="North"/>
    <s v="18-24"/>
    <n v="1481"/>
    <n v="1360"/>
    <n v="1290"/>
    <n v="51"/>
    <n v="28"/>
    <n v="1"/>
    <n v="181.06"/>
    <x v="442"/>
    <n v="0.94852941176470584"/>
    <n v="3.9534883720930232E-2"/>
    <n v="0.5490196078431373"/>
    <n v="3.5714285714285712E-2"/>
    <n v="7.7519379844961239E-4"/>
    <n v="6.4664285714285716"/>
    <n v="3.5501960784313726"/>
    <n v="2.8021097978570637"/>
  </r>
  <r>
    <x v="96"/>
    <s v="CMP202604022"/>
    <s v="CUST100441"/>
    <x v="3"/>
    <s v="Red Non-Saleable"/>
    <x v="0"/>
    <s v="South"/>
    <s v="35-44"/>
    <n v="2588"/>
    <n v="1899"/>
    <n v="1782"/>
    <n v="23"/>
    <n v="9"/>
    <n v="0"/>
    <n v="280.41000000000003"/>
    <x v="0"/>
    <n v="0.93838862559241709"/>
    <n v="1.2906846240179574E-2"/>
    <n v="0.39130434782608697"/>
    <n v="0"/>
    <n v="0"/>
    <n v="31.15666666666667"/>
    <n v="12.191739130434783"/>
    <n v="-1"/>
  </r>
  <r>
    <x v="96"/>
    <s v="CMP202604031"/>
    <s v="CUST101438"/>
    <x v="1"/>
    <s v="Green"/>
    <x v="1"/>
    <s v="Central"/>
    <s v="55+"/>
    <n v="3168"/>
    <n v="2381"/>
    <n v="2170"/>
    <n v="137"/>
    <n v="70"/>
    <n v="6"/>
    <n v="419.3"/>
    <x v="443"/>
    <n v="0.91138177236455276"/>
    <n v="6.313364055299539E-2"/>
    <n v="0.51094890510948909"/>
    <n v="8.5714285714285715E-2"/>
    <n v="2.7649769585253456E-3"/>
    <n v="5.99"/>
    <n v="3.0605839416058394"/>
    <n v="20.80135940853804"/>
  </r>
  <r>
    <x v="96"/>
    <s v="CMP202604033"/>
    <s v="CUST100086"/>
    <x v="0"/>
    <s v="Green"/>
    <x v="0"/>
    <s v="Central"/>
    <s v="45-54"/>
    <n v="1317"/>
    <n v="1067"/>
    <n v="986"/>
    <n v="81"/>
    <n v="41"/>
    <n v="3"/>
    <n v="151.47999999999999"/>
    <x v="444"/>
    <n v="0.9240862230552952"/>
    <n v="8.2150101419878302E-2"/>
    <n v="0.50617283950617287"/>
    <n v="7.3170731707317069E-2"/>
    <n v="3.0425963488843813E-3"/>
    <n v="3.6946341463414631"/>
    <n v="1.8701234567901233"/>
    <n v="15.62199630314233"/>
  </r>
  <r>
    <x v="96"/>
    <s v="CMP202604033"/>
    <s v="CUST101095"/>
    <x v="3"/>
    <s v="Amber"/>
    <x v="0"/>
    <s v="Central"/>
    <s v="45-54"/>
    <n v="3287"/>
    <n v="2715"/>
    <n v="2513"/>
    <n v="133"/>
    <n v="64"/>
    <n v="3"/>
    <n v="380.06"/>
    <x v="445"/>
    <n v="0.92559852670349907"/>
    <n v="5.2924791086350974E-2"/>
    <n v="0.48120300751879697"/>
    <n v="4.6875E-2"/>
    <n v="1.1937922801432551E-3"/>
    <n v="5.9384375"/>
    <n v="2.8575939849624059"/>
    <n v="6.8397884544545606"/>
  </r>
  <r>
    <x v="96"/>
    <s v="CMP202604055"/>
    <s v="CUST101376"/>
    <x v="2"/>
    <s v="Red Saleable"/>
    <x v="0"/>
    <s v="Central"/>
    <s v="18-24"/>
    <n v="3891"/>
    <n v="3302"/>
    <n v="3022"/>
    <n v="48"/>
    <n v="20"/>
    <n v="1"/>
    <n v="271.85000000000002"/>
    <x v="446"/>
    <n v="0.91520290732889154"/>
    <n v="1.5883520847121111E-2"/>
    <n v="0.41666666666666669"/>
    <n v="0.05"/>
    <n v="3.3090668431502316E-4"/>
    <n v="13.592500000000001"/>
    <n v="5.6635416666666671"/>
    <n v="3.6346146772116974"/>
  </r>
  <r>
    <x v="96"/>
    <s v="CMP202604059"/>
    <s v="CUST100202"/>
    <x v="0"/>
    <s v="Red Non-Saleable"/>
    <x v="0"/>
    <s v="South"/>
    <s v="25-34"/>
    <n v="4351"/>
    <n v="3539"/>
    <n v="3193"/>
    <n v="65"/>
    <n v="31"/>
    <n v="0"/>
    <n v="506.95"/>
    <x v="0"/>
    <n v="0.90223226900254305"/>
    <n v="2.0357031005324145E-2"/>
    <n v="0.47692307692307695"/>
    <n v="0"/>
    <n v="0"/>
    <n v="16.353225806451611"/>
    <n v="7.7992307692307694"/>
    <n v="-1"/>
  </r>
  <r>
    <x v="96"/>
    <s v="CMP202604065"/>
    <s v="CUST100674"/>
    <x v="1"/>
    <s v="Red Non-Saleable"/>
    <x v="0"/>
    <s v="West"/>
    <s v="25-34"/>
    <n v="2286"/>
    <n v="2135"/>
    <n v="2007"/>
    <n v="33"/>
    <n v="14"/>
    <n v="0"/>
    <n v="381.78"/>
    <x v="0"/>
    <n v="0.94004683840749415"/>
    <n v="1.6442451420029897E-2"/>
    <n v="0.42424242424242425"/>
    <n v="0"/>
    <n v="0"/>
    <n v="27.27"/>
    <n v="11.569090909090908"/>
    <n v="-1"/>
  </r>
  <r>
    <x v="96"/>
    <s v="CMP202604070"/>
    <s v="CUST100107"/>
    <x v="0"/>
    <s v="Amber"/>
    <x v="0"/>
    <s v="South"/>
    <s v="45-54"/>
    <n v="2204"/>
    <n v="1907"/>
    <n v="1742"/>
    <n v="77"/>
    <n v="40"/>
    <n v="2"/>
    <n v="237.2"/>
    <x v="447"/>
    <n v="0.91347666491872048"/>
    <n v="4.4202066590126293E-2"/>
    <n v="0.51948051948051943"/>
    <n v="0.05"/>
    <n v="1.148105625717566E-3"/>
    <n v="5.93"/>
    <n v="3.0805194805194804"/>
    <n v="6.668338954468803"/>
  </r>
  <r>
    <x v="96"/>
    <s v="CMP202604076"/>
    <s v="CUST100990"/>
    <x v="0"/>
    <s v="Green"/>
    <x v="0"/>
    <s v="Central"/>
    <s v="25-34"/>
    <n v="4320"/>
    <n v="3216"/>
    <n v="2923"/>
    <n v="245"/>
    <n v="140"/>
    <n v="7"/>
    <n v="419.05"/>
    <x v="448"/>
    <n v="0.90889303482587069"/>
    <n v="8.3817995210400273E-2"/>
    <n v="0.5714285714285714"/>
    <n v="0.05"/>
    <n v="2.3947998631542937E-3"/>
    <n v="2.9932142857142856"/>
    <n v="1.7104081632653061"/>
    <n v="14.314234578212623"/>
  </r>
  <r>
    <x v="96"/>
    <s v="CMP202604078"/>
    <s v="CUST100903"/>
    <x v="2"/>
    <s v="Red Non-Saleable"/>
    <x v="0"/>
    <s v="Central"/>
    <s v="18-24"/>
    <n v="4755"/>
    <n v="3736"/>
    <n v="3446"/>
    <n v="50"/>
    <n v="19"/>
    <n v="0"/>
    <n v="288.97000000000003"/>
    <x v="0"/>
    <n v="0.9223768736616702"/>
    <n v="1.4509576320371444E-2"/>
    <n v="0.38"/>
    <n v="0"/>
    <n v="0"/>
    <n v="15.208947368421054"/>
    <n v="5.7794000000000008"/>
    <n v="-1"/>
  </r>
  <r>
    <x v="97"/>
    <s v="CMP202604026"/>
    <s v="CUST100971"/>
    <x v="2"/>
    <s v="Red Saleable"/>
    <x v="0"/>
    <s v="West"/>
    <s v="45-54"/>
    <n v="4438"/>
    <n v="3606"/>
    <n v="3442"/>
    <n v="87"/>
    <n v="43"/>
    <n v="1"/>
    <n v="263.41000000000003"/>
    <x v="449"/>
    <n v="0.95452024403771496"/>
    <n v="2.52760023242301E-2"/>
    <n v="0.4942528735632184"/>
    <n v="2.3255813953488372E-2"/>
    <n v="2.9052876234747239E-4"/>
    <n v="6.1258139534883727"/>
    <n v="3.0277011494252877"/>
    <n v="1.6586689951026916"/>
  </r>
  <r>
    <x v="97"/>
    <s v="CMP202604041"/>
    <s v="CUST100160"/>
    <x v="0"/>
    <s v="Amber"/>
    <x v="0"/>
    <s v="West"/>
    <s v="25-34"/>
    <n v="1541"/>
    <n v="1414"/>
    <n v="1266"/>
    <n v="87"/>
    <n v="43"/>
    <n v="2"/>
    <n v="152.69999999999999"/>
    <x v="450"/>
    <n v="0.89533239038189538"/>
    <n v="6.8720379146919433E-2"/>
    <n v="0.4942528735632184"/>
    <n v="4.6511627906976744E-2"/>
    <n v="1.5797788309636651E-3"/>
    <n v="3.5511627906976742"/>
    <n v="1.7551724137931033"/>
    <n v="16.83994760969221"/>
  </r>
  <r>
    <x v="97"/>
    <s v="CMP202604063"/>
    <s v="CUST100542"/>
    <x v="2"/>
    <s v="Red Saleable"/>
    <x v="0"/>
    <s v="South"/>
    <s v="25-34"/>
    <n v="4337"/>
    <n v="4010"/>
    <n v="3815"/>
    <n v="132"/>
    <n v="58"/>
    <n v="2"/>
    <n v="360"/>
    <x v="451"/>
    <n v="0.95137157107231918"/>
    <n v="3.4600262123197903E-2"/>
    <n v="0.43939393939393939"/>
    <n v="3.4482758620689655E-2"/>
    <n v="5.2424639580602882E-4"/>
    <n v="6.2068965517241379"/>
    <n v="2.7272727272727271"/>
    <n v="5.8946666666666667"/>
  </r>
  <r>
    <x v="98"/>
    <s v="CMP202604026"/>
    <s v="CUST100549"/>
    <x v="3"/>
    <s v="Red Saleable"/>
    <x v="0"/>
    <s v="West"/>
    <s v="45-54"/>
    <n v="1431"/>
    <n v="1110"/>
    <n v="1026"/>
    <n v="44"/>
    <n v="17"/>
    <n v="1"/>
    <n v="161.04"/>
    <x v="452"/>
    <n v="0.92432432432432432"/>
    <n v="4.2884990253411304E-2"/>
    <n v="0.38636363636363635"/>
    <n v="5.8823529411764705E-2"/>
    <n v="9.7465886939571145E-4"/>
    <n v="9.472941176470588"/>
    <n v="3.6599999999999997"/>
    <n v="4.6771609538002989"/>
  </r>
  <r>
    <x v="98"/>
    <s v="CMP202604035"/>
    <s v="CUST100074"/>
    <x v="0"/>
    <s v="Amber"/>
    <x v="0"/>
    <s v="North"/>
    <s v="25-34"/>
    <n v="2509"/>
    <n v="2506"/>
    <n v="2277"/>
    <n v="147"/>
    <n v="84"/>
    <n v="5"/>
    <n v="259.27999999999997"/>
    <x v="453"/>
    <n v="0.90861931364724657"/>
    <n v="6.4558629776021087E-2"/>
    <n v="0.5714285714285714"/>
    <n v="5.9523809523809521E-2"/>
    <n v="2.1958717610891525E-3"/>
    <n v="3.0866666666666664"/>
    <n v="1.7638095238095237"/>
    <n v="25.340982721382293"/>
  </r>
  <r>
    <x v="98"/>
    <s v="CMP202604039"/>
    <s v="CUST101223"/>
    <x v="2"/>
    <s v="Amber"/>
    <x v="0"/>
    <s v="North"/>
    <s v="25-34"/>
    <n v="4387"/>
    <n v="3483"/>
    <n v="3271"/>
    <n v="139"/>
    <n v="64"/>
    <n v="4"/>
    <n v="241.41"/>
    <x v="454"/>
    <n v="0.93913293138099341"/>
    <n v="4.2494649954142462E-2"/>
    <n v="0.46043165467625902"/>
    <n v="6.25E-2"/>
    <n v="1.2228676245796392E-3"/>
    <n v="3.7720312499999999"/>
    <n v="1.7367625899280574"/>
    <n v="22.684478687709706"/>
  </r>
  <r>
    <x v="98"/>
    <s v="CMP202604041"/>
    <s v="CUST100685"/>
    <x v="2"/>
    <s v="Red Non-Saleable"/>
    <x v="0"/>
    <s v="West"/>
    <s v="55+"/>
    <n v="2404"/>
    <n v="2071"/>
    <n v="1961"/>
    <n v="45"/>
    <n v="17"/>
    <n v="0"/>
    <n v="181.73"/>
    <x v="0"/>
    <n v="0.94688556253017864"/>
    <n v="2.2947475777664456E-2"/>
    <n v="0.37777777777777777"/>
    <n v="0"/>
    <n v="0"/>
    <n v="10.69"/>
    <n v="4.0384444444444441"/>
    <n v="-1"/>
  </r>
  <r>
    <x v="98"/>
    <s v="CMP202604062"/>
    <s v="CUST100187"/>
    <x v="0"/>
    <s v="Amber"/>
    <x v="1"/>
    <s v="South"/>
    <s v="45-54"/>
    <n v="756"/>
    <n v="637"/>
    <n v="573"/>
    <n v="46"/>
    <n v="30"/>
    <n v="2"/>
    <n v="70.06"/>
    <x v="455"/>
    <n v="0.89952904238618525"/>
    <n v="8.0279232111692841E-2"/>
    <n v="0.65217391304347827"/>
    <n v="6.6666666666666666E-2"/>
    <n v="3.4904013961605585E-3"/>
    <n v="2.3353333333333333"/>
    <n v="1.5230434782608697"/>
    <n v="38.588923779617467"/>
  </r>
  <r>
    <x v="98"/>
    <s v="CMP202604066"/>
    <s v="CUST100854"/>
    <x v="0"/>
    <s v="Red Saleable"/>
    <x v="1"/>
    <s v="East"/>
    <s v="35-44"/>
    <n v="3409"/>
    <n v="3155"/>
    <n v="2943"/>
    <n v="169"/>
    <n v="115"/>
    <n v="3"/>
    <n v="390.23"/>
    <x v="456"/>
    <n v="0.93280507131537238"/>
    <n v="5.7424396873938161E-2"/>
    <n v="0.68047337278106512"/>
    <n v="2.6086956521739129E-2"/>
    <n v="1.0193679918450561E-3"/>
    <n v="3.3933043478260871"/>
    <n v="2.3090532544378699"/>
    <n v="5.0263178125720724"/>
  </r>
  <r>
    <x v="99"/>
    <s v="CMP202604006"/>
    <s v="CUST100696"/>
    <x v="1"/>
    <s v="Red Saleable"/>
    <x v="0"/>
    <s v="South"/>
    <s v="45-54"/>
    <n v="4370"/>
    <n v="3870"/>
    <n v="3686"/>
    <n v="95"/>
    <n v="40"/>
    <n v="1"/>
    <n v="604.21"/>
    <x v="457"/>
    <n v="0.95245478036175713"/>
    <n v="2.5773195876288658E-2"/>
    <n v="0.42105263157894735"/>
    <n v="2.5000000000000001E-2"/>
    <n v="2.7129679869777537E-4"/>
    <n v="15.105250000000002"/>
    <n v="6.3601052631578954"/>
    <n v="1.207957498220817"/>
  </r>
  <r>
    <x v="99"/>
    <s v="CMP202604023"/>
    <s v="CUST100323"/>
    <x v="3"/>
    <s v="Red Non-Saleable"/>
    <x v="1"/>
    <s v="East"/>
    <s v="55+"/>
    <n v="3798"/>
    <n v="3270"/>
    <n v="3024"/>
    <n v="112"/>
    <n v="76"/>
    <n v="2"/>
    <n v="450.28"/>
    <x v="458"/>
    <n v="0.92477064220183491"/>
    <n v="3.7037037037037035E-2"/>
    <n v="0.6785714285714286"/>
    <n v="2.6315789473684209E-2"/>
    <n v="6.6137566137566134E-4"/>
    <n v="5.9247368421052631"/>
    <n v="4.0203571428571427"/>
    <n v="3.2541307630807501"/>
  </r>
  <r>
    <x v="99"/>
    <s v="CMP202604025"/>
    <s v="CUST101471"/>
    <x v="3"/>
    <s v="Red Saleable"/>
    <x v="0"/>
    <s v="Central"/>
    <s v="25-34"/>
    <n v="3713"/>
    <n v="3502"/>
    <n v="3285"/>
    <n v="119"/>
    <n v="61"/>
    <n v="2"/>
    <n v="523.54999999999995"/>
    <x v="459"/>
    <n v="0.93803540833809251"/>
    <n v="3.6225266362252664E-2"/>
    <n v="0.51260504201680668"/>
    <n v="3.2786885245901641E-2"/>
    <n v="6.0882800608828011E-4"/>
    <n v="8.5827868852459002"/>
    <n v="4.3995798319327726"/>
    <n v="2.9682551809760294"/>
  </r>
  <r>
    <x v="99"/>
    <s v="CMP202604026"/>
    <s v="CUST101398"/>
    <x v="2"/>
    <s v="Amber"/>
    <x v="0"/>
    <s v="West"/>
    <s v="55+"/>
    <n v="1276"/>
    <n v="1115"/>
    <n v="1041"/>
    <n v="45"/>
    <n v="21"/>
    <n v="1"/>
    <n v="95.12"/>
    <x v="460"/>
    <n v="0.9336322869955157"/>
    <n v="4.3227665706051875E-2"/>
    <n v="0.46666666666666667"/>
    <n v="4.7619047619047616E-2"/>
    <n v="9.6061479346781938E-4"/>
    <n v="4.52952380952381"/>
    <n v="2.113777777777778"/>
    <n v="9.0566652649285118"/>
  </r>
  <r>
    <x v="99"/>
    <s v="CMP202604061"/>
    <s v="CUST100495"/>
    <x v="0"/>
    <s v="Green"/>
    <x v="1"/>
    <s v="South"/>
    <s v="55+"/>
    <n v="858"/>
    <n v="663"/>
    <n v="606"/>
    <n v="69"/>
    <n v="42"/>
    <n v="4"/>
    <n v="84.45"/>
    <x v="461"/>
    <n v="0.91402714932126694"/>
    <n v="0.11386138613861387"/>
    <n v="0.60869565217391308"/>
    <n v="9.5238095238095233E-2"/>
    <n v="6.6006600660066007E-3"/>
    <n v="2.0107142857142857"/>
    <n v="1.223913043478261"/>
    <n v="41.784606275902902"/>
  </r>
  <r>
    <x v="99"/>
    <s v="CMP202604070"/>
    <s v="CUST101092"/>
    <x v="2"/>
    <s v="Red Non-Saleable"/>
    <x v="0"/>
    <s v="West"/>
    <s v="45-54"/>
    <n v="1421"/>
    <n v="1304"/>
    <n v="1252"/>
    <n v="28"/>
    <n v="13"/>
    <n v="0"/>
    <n v="124.1"/>
    <x v="0"/>
    <n v="0.96012269938650308"/>
    <n v="2.2364217252396165E-2"/>
    <n v="0.4642857142857143"/>
    <n v="0"/>
    <n v="0"/>
    <n v="9.546153846153846"/>
    <n v="4.4321428571428569"/>
    <n v="-1"/>
  </r>
  <r>
    <x v="99"/>
    <s v="CMP202604073"/>
    <s v="CUST101479"/>
    <x v="0"/>
    <s v="Green"/>
    <x v="0"/>
    <s v="West"/>
    <s v="35-44"/>
    <n v="3263"/>
    <n v="3141"/>
    <n v="2812"/>
    <n v="213"/>
    <n v="101"/>
    <n v="9"/>
    <n v="337.04"/>
    <x v="462"/>
    <n v="0.89525628780643107"/>
    <n v="7.5746799431009953E-2"/>
    <n v="0.47417840375586856"/>
    <n v="8.9108910891089105E-2"/>
    <n v="3.2005689900426741E-3"/>
    <n v="3.3370297029702973"/>
    <n v="1.5823474178403756"/>
    <n v="27.331533349157368"/>
  </r>
  <r>
    <x v="100"/>
    <s v="CMP202604011"/>
    <s v="CUST100539"/>
    <x v="2"/>
    <s v="Red Saleable"/>
    <x v="1"/>
    <s v="East"/>
    <s v="25-34"/>
    <n v="2690"/>
    <n v="2122"/>
    <n v="2000"/>
    <n v="91"/>
    <n v="51"/>
    <n v="2"/>
    <n v="195.1"/>
    <x v="463"/>
    <n v="0.94250706880301605"/>
    <n v="4.5499999999999999E-2"/>
    <n v="0.56043956043956045"/>
    <n v="3.9215686274509803E-2"/>
    <n v="1E-3"/>
    <n v="3.8254901960784311"/>
    <n v="2.1439560439560439"/>
    <n v="9.2649923116350603"/>
  </r>
  <r>
    <x v="100"/>
    <s v="CMP202604023"/>
    <s v="CUST100159"/>
    <x v="2"/>
    <s v="Red Saleable"/>
    <x v="0"/>
    <s v="South"/>
    <s v="45-54"/>
    <n v="2724"/>
    <n v="2489"/>
    <n v="2408"/>
    <n v="68"/>
    <n v="27"/>
    <n v="1"/>
    <n v="224.24"/>
    <x v="464"/>
    <n v="0.96745680996384087"/>
    <n v="2.823920265780731E-2"/>
    <n v="0.39705882352941174"/>
    <n v="3.7037037037037035E-2"/>
    <n v="4.1528239202657808E-4"/>
    <n v="8.3051851851851861"/>
    <n v="3.2976470588235296"/>
    <n v="3.4913485551195147"/>
  </r>
  <r>
    <x v="100"/>
    <s v="CMP202604029"/>
    <s v="CUST100075"/>
    <x v="2"/>
    <s v="Red Non-Saleable"/>
    <x v="0"/>
    <s v="South"/>
    <s v="35-44"/>
    <n v="1755"/>
    <n v="1281"/>
    <n v="1214"/>
    <n v="18"/>
    <n v="7"/>
    <n v="0"/>
    <n v="96.17"/>
    <x v="0"/>
    <n v="0.94769711163153791"/>
    <n v="1.4827018121911038E-2"/>
    <n v="0.3888888888888889"/>
    <n v="0"/>
    <n v="0"/>
    <n v="13.738571428571429"/>
    <n v="5.3427777777777781"/>
    <n v="-1"/>
  </r>
  <r>
    <x v="100"/>
    <s v="CMP202604038"/>
    <s v="CUST100116"/>
    <x v="1"/>
    <s v="Amber"/>
    <x v="0"/>
    <s v="North"/>
    <s v="55+"/>
    <n v="1167"/>
    <n v="904"/>
    <n v="852"/>
    <n v="18"/>
    <n v="7"/>
    <n v="0"/>
    <n v="182.13"/>
    <x v="0"/>
    <n v="0.94247787610619471"/>
    <n v="2.1126760563380281E-2"/>
    <n v="0.3888888888888889"/>
    <n v="0"/>
    <n v="0"/>
    <n v="26.018571428571427"/>
    <n v="10.118333333333332"/>
    <n v="-1"/>
  </r>
  <r>
    <x v="100"/>
    <s v="CMP202604074"/>
    <s v="CUST100826"/>
    <x v="0"/>
    <s v="Green"/>
    <x v="0"/>
    <s v="Central"/>
    <s v="25-34"/>
    <n v="1175"/>
    <n v="1165"/>
    <n v="1065"/>
    <n v="74"/>
    <n v="39"/>
    <n v="2"/>
    <n v="157.18"/>
    <x v="465"/>
    <n v="0.91416309012875541"/>
    <n v="6.9483568075117366E-2"/>
    <n v="0.52702702702702697"/>
    <n v="5.128205128205128E-2"/>
    <n v="1.8779342723004694E-3"/>
    <n v="4.0302564102564107"/>
    <n v="2.1240540540540542"/>
    <n v="9.5470797811426387"/>
  </r>
  <r>
    <x v="101"/>
    <s v="CMP202604014"/>
    <s v="CUST100702"/>
    <x v="2"/>
    <s v="Amber"/>
    <x v="0"/>
    <s v="Central"/>
    <s v="18-24"/>
    <n v="3638"/>
    <n v="3149"/>
    <n v="2976"/>
    <n v="151"/>
    <n v="67"/>
    <n v="3"/>
    <n v="269.08"/>
    <x v="466"/>
    <n v="0.94506192442045089"/>
    <n v="5.0739247311827954E-2"/>
    <n v="0.44370860927152317"/>
    <n v="4.4776119402985072E-2"/>
    <n v="1.0080645161290322E-3"/>
    <n v="4.0161194029850744"/>
    <n v="1.7819867549668873"/>
    <n v="13.744053812992419"/>
  </r>
  <r>
    <x v="101"/>
    <s v="CMP202604020"/>
    <s v="CUST100532"/>
    <x v="1"/>
    <s v="Red Saleable"/>
    <x v="0"/>
    <s v="West"/>
    <s v="18-24"/>
    <n v="2483"/>
    <n v="2228"/>
    <n v="2148"/>
    <n v="39"/>
    <n v="13"/>
    <n v="1"/>
    <n v="478.08"/>
    <x v="467"/>
    <n v="0.96409335727109513"/>
    <n v="1.8156424581005588E-2"/>
    <n v="0.33333333333333331"/>
    <n v="7.6923076923076927E-2"/>
    <n v="4.6554934823091247E-4"/>
    <n v="36.775384615384617"/>
    <n v="12.258461538461537"/>
    <n v="0.4221050870147256"/>
  </r>
  <r>
    <x v="101"/>
    <s v="CMP202604020"/>
    <s v="CUST101147"/>
    <x v="2"/>
    <s v="Red Non-Saleable"/>
    <x v="0"/>
    <s v="West"/>
    <s v="25-34"/>
    <n v="764"/>
    <n v="728"/>
    <n v="701"/>
    <n v="16"/>
    <n v="8"/>
    <n v="0"/>
    <n v="62.43"/>
    <x v="0"/>
    <n v="0.96291208791208793"/>
    <n v="2.2824536376604851E-2"/>
    <n v="0.5"/>
    <n v="0"/>
    <n v="0"/>
    <n v="7.80375"/>
    <n v="3.901875"/>
    <n v="-1"/>
  </r>
  <r>
    <x v="101"/>
    <s v="CMP202604024"/>
    <s v="CUST101005"/>
    <x v="2"/>
    <s v="Green"/>
    <x v="1"/>
    <s v="East"/>
    <s v="55+"/>
    <n v="415"/>
    <n v="364"/>
    <n v="338"/>
    <n v="29"/>
    <n v="17"/>
    <n v="2"/>
    <n v="26.82"/>
    <x v="468"/>
    <n v="0.9285714285714286"/>
    <n v="8.5798816568047331E-2"/>
    <n v="0.58620689655172409"/>
    <n v="0.11764705882352941"/>
    <n v="5.9171597633136093E-3"/>
    <n v="1.5776470588235294"/>
    <n v="0.92482758620689653"/>
    <n v="62.505592841163313"/>
  </r>
  <r>
    <x v="101"/>
    <s v="CMP202604033"/>
    <s v="CUST101288"/>
    <x v="0"/>
    <s v="Red Non-Saleable"/>
    <x v="0"/>
    <s v="South"/>
    <s v="35-44"/>
    <n v="3800"/>
    <n v="3165"/>
    <n v="2916"/>
    <n v="83"/>
    <n v="42"/>
    <n v="1"/>
    <n v="454.61"/>
    <x v="469"/>
    <n v="0.92132701421800944"/>
    <n v="2.8463648834019206E-2"/>
    <n v="0.50602409638554213"/>
    <n v="2.3809523809523808E-2"/>
    <n v="3.4293552812071328E-4"/>
    <n v="10.824047619047619"/>
    <n v="5.4772289156626508"/>
    <n v="0.32612569015199838"/>
  </r>
  <r>
    <x v="101"/>
    <s v="CMP202604036"/>
    <s v="CUST100033"/>
    <x v="0"/>
    <s v="Red Saleable"/>
    <x v="0"/>
    <s v="North"/>
    <s v="25-34"/>
    <n v="939"/>
    <n v="697"/>
    <n v="638"/>
    <n v="35"/>
    <n v="19"/>
    <n v="1"/>
    <n v="91.14"/>
    <x v="470"/>
    <n v="0.91535150645624108"/>
    <n v="5.4858934169278999E-2"/>
    <n v="0.54285714285714282"/>
    <n v="5.2631578947368418E-2"/>
    <n v="1.567398119122257E-3"/>
    <n v="4.796842105263158"/>
    <n v="2.6040000000000001"/>
    <n v="7.5592495062541154"/>
  </r>
  <r>
    <x v="102"/>
    <s v="CMP202604001"/>
    <s v="CUST100924"/>
    <x v="2"/>
    <s v="Red Saleable"/>
    <x v="0"/>
    <s v="Central"/>
    <s v="35-44"/>
    <n v="3712"/>
    <n v="2933"/>
    <n v="2788"/>
    <n v="65"/>
    <n v="31"/>
    <n v="1"/>
    <n v="269.43"/>
    <x v="471"/>
    <n v="0.9505625639277191"/>
    <n v="2.3314203730272598E-2"/>
    <n v="0.47692307692307695"/>
    <n v="3.2258064516129031E-2"/>
    <n v="3.586800573888092E-4"/>
    <n v="8.6912903225806453"/>
    <n v="4.1450769230769229"/>
    <n v="4.2774746687451284"/>
  </r>
  <r>
    <x v="102"/>
    <s v="CMP202604004"/>
    <s v="CUST100338"/>
    <x v="1"/>
    <s v="Green"/>
    <x v="0"/>
    <s v="North"/>
    <s v="55+"/>
    <n v="418"/>
    <n v="409"/>
    <n v="396"/>
    <n v="24"/>
    <n v="10"/>
    <n v="1"/>
    <n v="78.64"/>
    <x v="472"/>
    <n v="0.9682151589242054"/>
    <n v="6.0606060606060608E-2"/>
    <n v="0.41666666666666669"/>
    <n v="0.1"/>
    <n v="2.5252525252525255E-3"/>
    <n v="7.8639999999999999"/>
    <n v="3.2766666666666668"/>
    <n v="15.12169379450661"/>
  </r>
  <r>
    <x v="102"/>
    <s v="CMP202604010"/>
    <s v="CUST101481"/>
    <x v="2"/>
    <s v="Green"/>
    <x v="0"/>
    <s v="West"/>
    <s v="35-44"/>
    <n v="1332"/>
    <n v="1300"/>
    <n v="1238"/>
    <n v="110"/>
    <n v="49"/>
    <n v="2"/>
    <n v="114.07"/>
    <x v="473"/>
    <n v="0.9523076923076923"/>
    <n v="8.8852988691437804E-2"/>
    <n v="0.44545454545454544"/>
    <n v="4.0816326530612242E-2"/>
    <n v="1.6155088852988692E-3"/>
    <n v="2.3279591836734692"/>
    <n v="1.0369999999999999"/>
    <n v="19.383711755939334"/>
  </r>
  <r>
    <x v="102"/>
    <s v="CMP202604020"/>
    <s v="CUST101074"/>
    <x v="1"/>
    <s v="Red Non-Saleable"/>
    <x v="0"/>
    <s v="East"/>
    <s v="25-34"/>
    <n v="1309"/>
    <n v="1235"/>
    <n v="1199"/>
    <n v="11"/>
    <n v="4"/>
    <n v="0"/>
    <n v="254.31"/>
    <x v="0"/>
    <n v="0.97085020242914977"/>
    <n v="9.1743119266055051E-3"/>
    <n v="0.36363636363636365"/>
    <n v="0"/>
    <n v="0"/>
    <n v="63.577500000000001"/>
    <n v="23.119090909090911"/>
    <n v="-1"/>
  </r>
  <r>
    <x v="102"/>
    <s v="CMP202604021"/>
    <s v="CUST100000"/>
    <x v="1"/>
    <s v="Green"/>
    <x v="1"/>
    <s v="North"/>
    <s v="35-44"/>
    <n v="4826"/>
    <n v="4095"/>
    <n v="3877"/>
    <n v="249"/>
    <n v="117"/>
    <n v="11"/>
    <n v="812.8"/>
    <x v="474"/>
    <n v="0.94676434676434673"/>
    <n v="6.4224916172298169E-2"/>
    <n v="0.46987951807228917"/>
    <n v="9.4017094017094016E-2"/>
    <n v="2.8372452927521281E-3"/>
    <n v="6.9470085470085463"/>
    <n v="3.2642570281124494"/>
    <n v="21.931902066929133"/>
  </r>
  <r>
    <x v="102"/>
    <s v="CMP202604022"/>
    <s v="CUST101491"/>
    <x v="2"/>
    <s v="Amber"/>
    <x v="0"/>
    <s v="Central"/>
    <s v="35-44"/>
    <n v="1121"/>
    <n v="955"/>
    <n v="913"/>
    <n v="59"/>
    <n v="32"/>
    <n v="2"/>
    <n v="78.37"/>
    <x v="475"/>
    <n v="0.95602094240837698"/>
    <n v="6.4622124863088715E-2"/>
    <n v="0.5423728813559322"/>
    <n v="6.25E-2"/>
    <n v="2.1905805038335158E-3"/>
    <n v="2.4490625000000001"/>
    <n v="1.3283050847457627"/>
    <n v="15.933648079622301"/>
  </r>
  <r>
    <x v="102"/>
    <s v="CMP202604037"/>
    <s v="CUST101010"/>
    <x v="2"/>
    <s v="Amber"/>
    <x v="0"/>
    <s v="South"/>
    <s v="18-24"/>
    <n v="1431"/>
    <n v="1184"/>
    <n v="1107"/>
    <n v="50"/>
    <n v="23"/>
    <n v="1"/>
    <n v="91.87"/>
    <x v="476"/>
    <n v="0.93496621621621623"/>
    <n v="4.5167118337850046E-2"/>
    <n v="0.46"/>
    <n v="4.3478260869565216E-2"/>
    <n v="9.0334236675700087E-4"/>
    <n v="3.9943478260869569"/>
    <n v="1.8374000000000001"/>
    <n v="8.0429955371720894"/>
  </r>
  <r>
    <x v="102"/>
    <s v="CMP202604043"/>
    <s v="CUST100430"/>
    <x v="1"/>
    <s v="Amber"/>
    <x v="1"/>
    <s v="East"/>
    <s v="35-44"/>
    <n v="625"/>
    <n v="496"/>
    <n v="467"/>
    <n v="22"/>
    <n v="12"/>
    <n v="1"/>
    <n v="98.43"/>
    <x v="477"/>
    <n v="0.94153225806451613"/>
    <n v="4.7109207708779445E-2"/>
    <n v="0.54545454545454541"/>
    <n v="8.3333333333333329E-2"/>
    <n v="2.1413276231263384E-3"/>
    <n v="8.2025000000000006"/>
    <n v="4.4740909090909096"/>
    <n v="14.394290358630498"/>
  </r>
  <r>
    <x v="102"/>
    <s v="CMP202604057"/>
    <s v="CUST100782"/>
    <x v="0"/>
    <s v="Red Saleable"/>
    <x v="0"/>
    <s v="North"/>
    <s v="35-44"/>
    <n v="2685"/>
    <n v="2310"/>
    <n v="2080"/>
    <n v="80"/>
    <n v="40"/>
    <n v="1"/>
    <n v="314.58"/>
    <x v="478"/>
    <n v="0.90043290043290047"/>
    <n v="3.8461538461538464E-2"/>
    <n v="0.5"/>
    <n v="2.5000000000000001E-2"/>
    <n v="4.807692307692308E-4"/>
    <n v="7.8644999999999996"/>
    <n v="3.9322499999999998"/>
    <n v="2.0343950664377903"/>
  </r>
  <r>
    <x v="102"/>
    <s v="CMP202604074"/>
    <s v="CUST101184"/>
    <x v="0"/>
    <s v="Green"/>
    <x v="0"/>
    <s v="Central"/>
    <s v="45-54"/>
    <n v="3702"/>
    <n v="3653"/>
    <n v="3298"/>
    <n v="311"/>
    <n v="158"/>
    <n v="8"/>
    <n v="396.81"/>
    <x v="479"/>
    <n v="0.90281960032849717"/>
    <n v="9.4299575500303212E-2"/>
    <n v="0.50803858520900325"/>
    <n v="5.0632911392405063E-2"/>
    <n v="2.4257125530624622E-3"/>
    <n v="2.5114556962025318"/>
    <n v="1.2759163987138264"/>
    <n v="20.87470073838865"/>
  </r>
  <r>
    <x v="102"/>
    <s v="CMP202604077"/>
    <s v="CUST100663"/>
    <x v="2"/>
    <s v="Amber"/>
    <x v="0"/>
    <s v="Central"/>
    <s v="35-44"/>
    <n v="2977"/>
    <n v="2737"/>
    <n v="2523"/>
    <n v="131"/>
    <n v="59"/>
    <n v="2"/>
    <n v="218.18"/>
    <x v="480"/>
    <n v="0.92181220314212642"/>
    <n v="5.1922314704716609E-2"/>
    <n v="0.45038167938931295"/>
    <n v="3.3898305084745763E-2"/>
    <n v="7.9270709472849786E-4"/>
    <n v="3.6979661016949152"/>
    <n v="1.6654961832061068"/>
    <n v="10.667888899074159"/>
  </r>
  <r>
    <x v="103"/>
    <s v="CMP202604022"/>
    <s v="CUST100124"/>
    <x v="0"/>
    <s v="Green"/>
    <x v="0"/>
    <s v="West"/>
    <s v="18-24"/>
    <n v="2981"/>
    <n v="2597"/>
    <n v="2342"/>
    <n v="188"/>
    <n v="89"/>
    <n v="6"/>
    <n v="370.16"/>
    <x v="481"/>
    <n v="0.90180978051597993"/>
    <n v="8.0273270708795905E-2"/>
    <n v="0.47340425531914893"/>
    <n v="6.741573033707865E-2"/>
    <n v="2.5619128949615714E-3"/>
    <n v="4.159101123595506"/>
    <n v="1.9689361702127661"/>
    <n v="17.893478495785605"/>
  </r>
  <r>
    <x v="103"/>
    <s v="CMP202604023"/>
    <s v="CUST101160"/>
    <x v="0"/>
    <s v="Amber"/>
    <x v="0"/>
    <s v="Central"/>
    <s v="45-54"/>
    <n v="2286"/>
    <n v="2279"/>
    <n v="2105"/>
    <n v="138"/>
    <n v="65"/>
    <n v="4"/>
    <n v="274.99"/>
    <x v="482"/>
    <n v="0.92365072400175519"/>
    <n v="6.5558194774346795E-2"/>
    <n v="0.47101449275362317"/>
    <n v="6.1538461538461542E-2"/>
    <n v="1.9002375296912114E-3"/>
    <n v="4.2306153846153851"/>
    <n v="1.99268115942029"/>
    <n v="16.124840903305575"/>
  </r>
  <r>
    <x v="103"/>
    <s v="CMP202604029"/>
    <s v="CUST101030"/>
    <x v="0"/>
    <s v="Red Saleable"/>
    <x v="0"/>
    <s v="Central"/>
    <s v="25-34"/>
    <n v="4257"/>
    <n v="4162"/>
    <n v="3668"/>
    <n v="114"/>
    <n v="58"/>
    <n v="3"/>
    <n v="544.16999999999996"/>
    <x v="483"/>
    <n v="0.88130706391158098"/>
    <n v="3.1079607415485277E-2"/>
    <n v="0.50877192982456143"/>
    <n v="5.1724137931034482E-2"/>
    <n v="8.178844056706652E-4"/>
    <n v="9.3822413793103436"/>
    <n v="4.773421052631579"/>
    <n v="5.330356322472757"/>
  </r>
  <r>
    <x v="103"/>
    <s v="CMP202604042"/>
    <s v="CUST101278"/>
    <x v="3"/>
    <s v="Amber"/>
    <x v="0"/>
    <s v="Central"/>
    <s v="45-54"/>
    <n v="2205"/>
    <n v="2096"/>
    <n v="1978"/>
    <n v="113"/>
    <n v="56"/>
    <n v="3"/>
    <n v="283.79000000000002"/>
    <x v="484"/>
    <n v="0.94370229007633588"/>
    <n v="5.7128412537917089E-2"/>
    <n v="0.49557522123893805"/>
    <n v="5.3571428571428568E-2"/>
    <n v="1.5166835187057635E-3"/>
    <n v="5.0676785714285719"/>
    <n v="2.5114159292035398"/>
    <n v="9.1503928961556067"/>
  </r>
  <r>
    <x v="103"/>
    <s v="CMP202604051"/>
    <s v="CUST100762"/>
    <x v="0"/>
    <s v="Red Saleable"/>
    <x v="1"/>
    <s v="South"/>
    <s v="35-44"/>
    <n v="3666"/>
    <n v="3089"/>
    <n v="2826"/>
    <n v="180"/>
    <n v="108"/>
    <n v="6"/>
    <n v="440.19"/>
    <x v="485"/>
    <n v="0.91485917772741987"/>
    <n v="6.3694267515923567E-2"/>
    <n v="0.6"/>
    <n v="5.5555555555555552E-2"/>
    <n v="2.1231422505307855E-3"/>
    <n v="4.0758333333333336"/>
    <n v="2.4455"/>
    <n v="13.327335923124107"/>
  </r>
  <r>
    <x v="103"/>
    <s v="CMP202604061"/>
    <s v="CUST100598"/>
    <x v="2"/>
    <s v="Red Non-Saleable"/>
    <x v="0"/>
    <s v="East"/>
    <s v="18-24"/>
    <n v="3618"/>
    <n v="2717"/>
    <n v="2559"/>
    <n v="44"/>
    <n v="20"/>
    <n v="1"/>
    <n v="239.64"/>
    <x v="486"/>
    <n v="0.94184762605815242"/>
    <n v="1.7194216490816726E-2"/>
    <n v="0.45454545454545453"/>
    <n v="0.05"/>
    <n v="3.9077764751856197E-4"/>
    <n v="11.981999999999999"/>
    <n v="5.4463636363636363"/>
    <n v="1.4043148055416457"/>
  </r>
  <r>
    <x v="103"/>
    <s v="CMP202604064"/>
    <s v="CUST101339"/>
    <x v="2"/>
    <s v="Green"/>
    <x v="0"/>
    <s v="Central"/>
    <s v="25-34"/>
    <n v="861"/>
    <n v="828"/>
    <n v="769"/>
    <n v="50"/>
    <n v="21"/>
    <n v="1"/>
    <n v="59.78"/>
    <x v="487"/>
    <n v="0.92874396135265702"/>
    <n v="6.5019505851755532E-2"/>
    <n v="0.42"/>
    <n v="4.7619047619047616E-2"/>
    <n v="1.3003901170351106E-3"/>
    <n v="2.8466666666666667"/>
    <n v="1.1956"/>
    <n v="14.676814988290397"/>
  </r>
  <r>
    <x v="103"/>
    <s v="CMP202604071"/>
    <s v="CUST100432"/>
    <x v="0"/>
    <s v="Green"/>
    <x v="0"/>
    <s v="North"/>
    <s v="18-24"/>
    <n v="3461"/>
    <n v="2802"/>
    <n v="2491"/>
    <n v="227"/>
    <n v="113"/>
    <n v="7"/>
    <n v="317.02"/>
    <x v="488"/>
    <n v="0.88900785153461814"/>
    <n v="9.1128061019670817E-2"/>
    <n v="0.49779735682819382"/>
    <n v="6.1946902654867256E-2"/>
    <n v="2.8101164191087916E-3"/>
    <n v="2.8054867256637168"/>
    <n v="1.3965638766519823"/>
    <n v="28.648476436817866"/>
  </r>
  <r>
    <x v="103"/>
    <s v="CMP202604075"/>
    <s v="CUST101252"/>
    <x v="1"/>
    <s v="Red Non-Saleable"/>
    <x v="1"/>
    <s v="North"/>
    <s v="18-24"/>
    <n v="2872"/>
    <n v="2144"/>
    <n v="2059"/>
    <n v="8"/>
    <n v="4"/>
    <n v="0"/>
    <n v="395.58"/>
    <x v="0"/>
    <n v="0.96035447761194026"/>
    <n v="3.885381253035454E-3"/>
    <n v="0.5"/>
    <n v="0"/>
    <n v="0"/>
    <n v="98.894999999999996"/>
    <n v="49.447499999999998"/>
    <n v="-1"/>
  </r>
  <r>
    <x v="103"/>
    <s v="CMP202604076"/>
    <s v="CUST100255"/>
    <x v="2"/>
    <s v="Red Saleable"/>
    <x v="0"/>
    <s v="North"/>
    <s v="55+"/>
    <n v="1290"/>
    <n v="1199"/>
    <n v="1099"/>
    <n v="41"/>
    <n v="21"/>
    <n v="1"/>
    <n v="82.6"/>
    <x v="489"/>
    <n v="0.91659716430358629"/>
    <n v="3.7306642402183801E-2"/>
    <n v="0.51219512195121952"/>
    <n v="4.7619047619047616E-2"/>
    <n v="9.099181073703367E-4"/>
    <n v="3.9333333333333331"/>
    <n v="2.0146341463414634"/>
    <n v="14.443583535108962"/>
  </r>
  <r>
    <x v="104"/>
    <s v="CMP202604013"/>
    <s v="CUST100178"/>
    <x v="2"/>
    <s v="Red Saleable"/>
    <x v="0"/>
    <s v="East"/>
    <s v="25-34"/>
    <n v="4824"/>
    <n v="4648"/>
    <n v="4428"/>
    <n v="198"/>
    <n v="96"/>
    <n v="4"/>
    <n v="320.74"/>
    <x v="490"/>
    <n v="0.95266781411359724"/>
    <n v="4.4715447154471545E-2"/>
    <n v="0.48484848484848486"/>
    <n v="4.1666666666666664E-2"/>
    <n v="9.0334236675700087E-4"/>
    <n v="3.3410416666666669"/>
    <n v="1.6198989898989899"/>
    <n v="11.044490864874977"/>
  </r>
  <r>
    <x v="104"/>
    <s v="CMP202604015"/>
    <s v="CUST100349"/>
    <x v="1"/>
    <s v="Red Non-Saleable"/>
    <x v="0"/>
    <s v="Central"/>
    <s v="55+"/>
    <n v="4066"/>
    <n v="3203"/>
    <n v="3027"/>
    <n v="9"/>
    <n v="4"/>
    <n v="0"/>
    <n v="619.28"/>
    <x v="0"/>
    <n v="0.94505151420543243"/>
    <n v="2.973240832507433E-3"/>
    <n v="0.44444444444444442"/>
    <n v="0"/>
    <n v="0"/>
    <n v="154.82"/>
    <n v="68.808888888888887"/>
    <n v="-1"/>
  </r>
  <r>
    <x v="104"/>
    <s v="CMP202604017"/>
    <s v="CUST101476"/>
    <x v="3"/>
    <s v="Green"/>
    <x v="0"/>
    <s v="East"/>
    <s v="18-24"/>
    <n v="3020"/>
    <n v="2702"/>
    <n v="2548"/>
    <n v="183"/>
    <n v="114"/>
    <n v="5"/>
    <n v="403.62"/>
    <x v="491"/>
    <n v="0.94300518134715028"/>
    <n v="7.1821036106750391E-2"/>
    <n v="0.62295081967213117"/>
    <n v="4.3859649122807015E-2"/>
    <n v="1.9623233908948193E-3"/>
    <n v="3.5405263157894735"/>
    <n v="2.2055737704918035"/>
    <n v="16.778851394876369"/>
  </r>
  <r>
    <x v="104"/>
    <s v="CMP202604063"/>
    <s v="CUST100031"/>
    <x v="1"/>
    <s v="Red Saleable"/>
    <x v="0"/>
    <s v="East"/>
    <s v="18-24"/>
    <n v="1223"/>
    <n v="1061"/>
    <n v="1040"/>
    <n v="23"/>
    <n v="9"/>
    <n v="0"/>
    <n v="183.9"/>
    <x v="0"/>
    <n v="0.98020735155513672"/>
    <n v="2.2115384615384617E-2"/>
    <n v="0.39130434782608697"/>
    <n v="0"/>
    <n v="0"/>
    <n v="20.433333333333334"/>
    <n v="7.9956521739130437"/>
    <n v="-1"/>
  </r>
  <r>
    <x v="104"/>
    <s v="CMP202604069"/>
    <s v="CUST101382"/>
    <x v="0"/>
    <s v="Green"/>
    <x v="0"/>
    <s v="South"/>
    <s v="18-24"/>
    <n v="1061"/>
    <n v="949"/>
    <n v="854"/>
    <n v="65"/>
    <n v="38"/>
    <n v="2"/>
    <n v="108.24"/>
    <x v="492"/>
    <n v="0.89989462592202318"/>
    <n v="7.611241217798595E-2"/>
    <n v="0.58461538461538465"/>
    <n v="5.2631578947368418E-2"/>
    <n v="2.34192037470726E-3"/>
    <n v="2.8484210526315787"/>
    <n v="1.6652307692307691"/>
    <n v="26.490114560236517"/>
  </r>
  <r>
    <x v="104"/>
    <s v="CMP202604076"/>
    <s v="CUST101018"/>
    <x v="1"/>
    <s v="Red Saleable"/>
    <x v="0"/>
    <s v="Central"/>
    <s v="35-44"/>
    <n v="640"/>
    <n v="471"/>
    <n v="466"/>
    <n v="18"/>
    <n v="6"/>
    <n v="0"/>
    <n v="97.76"/>
    <x v="0"/>
    <n v="0.98938428874734607"/>
    <n v="3.8626609442060089E-2"/>
    <n v="0.33333333333333331"/>
    <n v="0"/>
    <n v="0"/>
    <n v="16.293333333333333"/>
    <n v="5.431111111111111"/>
    <n v="-1"/>
  </r>
  <r>
    <x v="105"/>
    <s v="CMP202604003"/>
    <s v="CUST101444"/>
    <x v="3"/>
    <s v="Red Saleable"/>
    <x v="0"/>
    <s v="South"/>
    <s v="45-54"/>
    <n v="4554"/>
    <n v="4498"/>
    <n v="4210"/>
    <n v="177"/>
    <n v="82"/>
    <n v="4"/>
    <n v="765.86"/>
    <x v="493"/>
    <n v="0.93597154290795914"/>
    <n v="4.2042755344418051E-2"/>
    <n v="0.4632768361581921"/>
    <n v="4.878048780487805E-2"/>
    <n v="9.501187648456057E-4"/>
    <n v="9.3397560975609757"/>
    <n v="4.3268926553672316"/>
    <n v="3.7023476875669181"/>
  </r>
  <r>
    <x v="105"/>
    <s v="CMP202604005"/>
    <s v="CUST100918"/>
    <x v="0"/>
    <s v="Amber"/>
    <x v="1"/>
    <s v="Central"/>
    <s v="45-54"/>
    <n v="4474"/>
    <n v="4113"/>
    <n v="3743"/>
    <n v="347"/>
    <n v="206"/>
    <n v="13"/>
    <n v="516.24"/>
    <x v="494"/>
    <n v="0.9100413323608072"/>
    <n v="9.2706385252471282E-2"/>
    <n v="0.59365994236311237"/>
    <n v="6.3106796116504854E-2"/>
    <n v="3.473149879775581E-3"/>
    <n v="2.506019417475728"/>
    <n v="1.4877233429394814"/>
    <n v="22.050073609174028"/>
  </r>
  <r>
    <x v="105"/>
    <s v="CMP202604011"/>
    <s v="CUST100526"/>
    <x v="0"/>
    <s v="Red Non-Saleable"/>
    <x v="1"/>
    <s v="Central"/>
    <s v="45-54"/>
    <n v="3592"/>
    <n v="2981"/>
    <n v="2669"/>
    <n v="64"/>
    <n v="48"/>
    <n v="1"/>
    <n v="330.04"/>
    <x v="495"/>
    <n v="0.89533713518953373"/>
    <n v="2.3979018358935931E-2"/>
    <n v="0.75"/>
    <n v="2.0833333333333332E-2"/>
    <n v="3.7467216185837392E-4"/>
    <n v="6.8758333333333335"/>
    <n v="5.1568750000000003"/>
    <n v="2.9586110774451582"/>
  </r>
  <r>
    <x v="105"/>
    <s v="CMP202604017"/>
    <s v="CUST100944"/>
    <x v="2"/>
    <s v="Red Saleable"/>
    <x v="0"/>
    <s v="South"/>
    <s v="55+"/>
    <n v="2027"/>
    <n v="1919"/>
    <n v="1749"/>
    <n v="67"/>
    <n v="30"/>
    <n v="1"/>
    <n v="158.72"/>
    <x v="496"/>
    <n v="0.91141219385096406"/>
    <n v="3.8307604345340196E-2"/>
    <n v="0.44776119402985076"/>
    <n v="3.3333333333333333E-2"/>
    <n v="5.717552887364208E-4"/>
    <n v="5.2906666666666666"/>
    <n v="2.3689552238805969"/>
    <n v="6.6333165322580641"/>
  </r>
  <r>
    <x v="105"/>
    <s v="CMP202604029"/>
    <s v="CUST100686"/>
    <x v="1"/>
    <s v="Red Non-Saleable"/>
    <x v="0"/>
    <s v="North"/>
    <s v="18-24"/>
    <n v="4864"/>
    <n v="4579"/>
    <n v="4353"/>
    <n v="23"/>
    <n v="7"/>
    <n v="0"/>
    <n v="948.82"/>
    <x v="0"/>
    <n v="0.95064424546844284"/>
    <n v="5.2837123822651044E-3"/>
    <n v="0.30434782608695654"/>
    <n v="0"/>
    <n v="0"/>
    <n v="135.5457142857143"/>
    <n v="41.253043478260871"/>
    <n v="-1"/>
  </r>
  <r>
    <x v="105"/>
    <s v="CMP202604034"/>
    <s v="CUST100390"/>
    <x v="1"/>
    <s v="Red Saleable"/>
    <x v="0"/>
    <s v="Central"/>
    <s v="35-44"/>
    <n v="4892"/>
    <n v="3569"/>
    <n v="3478"/>
    <n v="96"/>
    <n v="32"/>
    <n v="1"/>
    <n v="746.4"/>
    <x v="497"/>
    <n v="0.97450266181003087"/>
    <n v="2.7602070155261643E-2"/>
    <n v="0.33333333333333331"/>
    <n v="3.125E-2"/>
    <n v="2.875215641173088E-4"/>
    <n v="23.324999999999999"/>
    <n v="7.7749999999999995"/>
    <n v="0.74288585209003233"/>
  </r>
  <r>
    <x v="105"/>
    <s v="CMP202604037"/>
    <s v="CUST100585"/>
    <x v="3"/>
    <s v="Green"/>
    <x v="0"/>
    <s v="South"/>
    <s v="45-54"/>
    <n v="1316"/>
    <n v="1206"/>
    <n v="1124"/>
    <n v="83"/>
    <n v="41"/>
    <n v="3"/>
    <n v="195.91"/>
    <x v="498"/>
    <n v="0.93200663349917079"/>
    <n v="7.384341637010676E-2"/>
    <n v="0.49397590361445781"/>
    <n v="7.3170731707317069E-2"/>
    <n v="2.6690391459074734E-3"/>
    <n v="4.7782926829268293"/>
    <n v="2.3603614457831323"/>
    <n v="13.080598233882908"/>
  </r>
  <r>
    <x v="105"/>
    <s v="CMP202604044"/>
    <s v="CUST100596"/>
    <x v="3"/>
    <s v="Red Non-Saleable"/>
    <x v="0"/>
    <s v="North"/>
    <s v="45-54"/>
    <n v="1640"/>
    <n v="1324"/>
    <n v="1226"/>
    <n v="17"/>
    <n v="8"/>
    <n v="0"/>
    <n v="178.54"/>
    <x v="0"/>
    <n v="0.92598187311178248"/>
    <n v="1.3866231647634585E-2"/>
    <n v="0.47058823529411764"/>
    <n v="0"/>
    <n v="0"/>
    <n v="22.317499999999999"/>
    <n v="10.50235294117647"/>
    <n v="-1"/>
  </r>
  <r>
    <x v="105"/>
    <s v="CMP202604072"/>
    <s v="CUST100913"/>
    <x v="3"/>
    <s v="Red Saleable"/>
    <x v="0"/>
    <s v="North"/>
    <s v="45-54"/>
    <n v="3390"/>
    <n v="2837"/>
    <n v="2622"/>
    <n v="98"/>
    <n v="57"/>
    <n v="3"/>
    <n v="466.72"/>
    <x v="499"/>
    <n v="0.92421572083186465"/>
    <n v="3.7376048817696413E-2"/>
    <n v="0.58163265306122447"/>
    <n v="5.2631578947368418E-2"/>
    <n v="1.1441647597254005E-3"/>
    <n v="8.1880701754385967"/>
    <n v="4.762448979591837"/>
    <n v="4.5392312307164895"/>
  </r>
  <r>
    <x v="105"/>
    <s v="CMP202604078"/>
    <s v="CUST101063"/>
    <x v="2"/>
    <s v="Red Non-Saleable"/>
    <x v="1"/>
    <s v="East"/>
    <s v="35-44"/>
    <n v="2501"/>
    <n v="2122"/>
    <n v="1931"/>
    <n v="44"/>
    <n v="27"/>
    <n v="0"/>
    <n v="156.44"/>
    <x v="0"/>
    <n v="0.90999057492931201"/>
    <n v="2.2786121180735371E-2"/>
    <n v="0.61363636363636365"/>
    <n v="0"/>
    <n v="0"/>
    <n v="5.7940740740740742"/>
    <n v="3.5554545454545452"/>
    <n v="-1"/>
  </r>
  <r>
    <x v="106"/>
    <s v="CMP202604004"/>
    <s v="CUST100411"/>
    <x v="2"/>
    <s v="Green"/>
    <x v="0"/>
    <s v="North"/>
    <s v="35-44"/>
    <n v="3330"/>
    <n v="2832"/>
    <n v="2628"/>
    <n v="171"/>
    <n v="79"/>
    <n v="6"/>
    <n v="205.91"/>
    <x v="500"/>
    <n v="0.92796610169491522"/>
    <n v="6.5068493150684928E-2"/>
    <n v="0.46198830409356723"/>
    <n v="7.5949367088607597E-2"/>
    <n v="2.2831050228310501E-3"/>
    <n v="2.6064556962025316"/>
    <n v="1.2041520467836258"/>
    <n v="33.587489679957265"/>
  </r>
  <r>
    <x v="106"/>
    <s v="CMP202604014"/>
    <s v="CUST100565"/>
    <x v="1"/>
    <s v="Green"/>
    <x v="0"/>
    <s v="East"/>
    <s v="25-34"/>
    <n v="1034"/>
    <n v="971"/>
    <n v="945"/>
    <n v="38"/>
    <n v="10"/>
    <n v="1"/>
    <n v="160.30000000000001"/>
    <x v="501"/>
    <n v="0.97322348094747679"/>
    <n v="4.0211640211640212E-2"/>
    <n v="0.26315789473684209"/>
    <n v="0.1"/>
    <n v="1.0582010582010583E-3"/>
    <n v="16.03"/>
    <n v="4.2184210526315793"/>
    <n v="5.4073611977542102"/>
  </r>
  <r>
    <x v="106"/>
    <s v="CMP202604018"/>
    <s v="CUST100608"/>
    <x v="2"/>
    <s v="Amber"/>
    <x v="0"/>
    <s v="West"/>
    <s v="55+"/>
    <n v="1103"/>
    <n v="1023"/>
    <n v="950"/>
    <n v="51"/>
    <n v="22"/>
    <n v="1"/>
    <n v="96.21"/>
    <x v="502"/>
    <n v="0.92864125122189634"/>
    <n v="5.3684210526315793E-2"/>
    <n v="0.43137254901960786"/>
    <n v="4.5454545454545456E-2"/>
    <n v="1.0526315789473684E-3"/>
    <n v="4.3731818181818181"/>
    <n v="1.8864705882352939"/>
    <n v="8.7880677684232413"/>
  </r>
  <r>
    <x v="106"/>
    <s v="CMP202604061"/>
    <s v="CUST101247"/>
    <x v="0"/>
    <s v="Red Non-Saleable"/>
    <x v="0"/>
    <s v="West"/>
    <s v="25-34"/>
    <n v="1686"/>
    <n v="1599"/>
    <n v="1445"/>
    <n v="32"/>
    <n v="18"/>
    <n v="0"/>
    <n v="174.99"/>
    <x v="0"/>
    <n v="0.90368980612883054"/>
    <n v="2.2145328719723183E-2"/>
    <n v="0.5625"/>
    <n v="0"/>
    <n v="0"/>
    <n v="9.7216666666666676"/>
    <n v="5.4684375000000003"/>
    <n v="-1"/>
  </r>
  <r>
    <x v="107"/>
    <s v="CMP202604001"/>
    <s v="CUST101455"/>
    <x v="0"/>
    <s v="Amber"/>
    <x v="0"/>
    <s v="West"/>
    <s v="55+"/>
    <n v="3419"/>
    <n v="3068"/>
    <n v="2790"/>
    <n v="156"/>
    <n v="85"/>
    <n v="5"/>
    <n v="345.53"/>
    <x v="503"/>
    <n v="0.90938722294654495"/>
    <n v="5.5913978494623658E-2"/>
    <n v="0.54487179487179482"/>
    <n v="5.8823529411764705E-2"/>
    <n v="1.7921146953405018E-3"/>
    <n v="4.0650588235294114"/>
    <n v="2.2149358974358972"/>
    <n v="14.650276386999684"/>
  </r>
  <r>
    <x v="107"/>
    <s v="CMP202604016"/>
    <s v="CUST100560"/>
    <x v="3"/>
    <s v="Green"/>
    <x v="0"/>
    <s v="West"/>
    <s v="45-54"/>
    <n v="4312"/>
    <n v="3696"/>
    <n v="3473"/>
    <n v="267"/>
    <n v="135"/>
    <n v="9"/>
    <n v="562.53"/>
    <x v="504"/>
    <n v="0.93966450216450215"/>
    <n v="7.687877915346962E-2"/>
    <n v="0.5056179775280899"/>
    <n v="6.6666666666666666E-2"/>
    <n v="2.5914195220270659E-3"/>
    <n v="4.1668888888888889"/>
    <n v="2.1068539325842695"/>
    <n v="18.2136241622669"/>
  </r>
  <r>
    <x v="107"/>
    <s v="CMP202604018"/>
    <s v="CUST100742"/>
    <x v="0"/>
    <s v="Red Saleable"/>
    <x v="0"/>
    <s v="Central"/>
    <s v="55+"/>
    <n v="1968"/>
    <n v="1894"/>
    <n v="1731"/>
    <n v="54"/>
    <n v="21"/>
    <n v="0"/>
    <n v="213.28"/>
    <x v="0"/>
    <n v="0.91393875395987323"/>
    <n v="3.1195840554592721E-2"/>
    <n v="0.3888888888888889"/>
    <n v="0"/>
    <n v="0"/>
    <n v="10.156190476190476"/>
    <n v="3.9496296296296296"/>
    <n v="-1"/>
  </r>
  <r>
    <x v="107"/>
    <s v="CMP202604021"/>
    <s v="CUST101234"/>
    <x v="0"/>
    <s v="Red Saleable"/>
    <x v="1"/>
    <s v="East"/>
    <s v="35-44"/>
    <n v="900"/>
    <n v="766"/>
    <n v="685"/>
    <n v="37"/>
    <n v="25"/>
    <n v="2"/>
    <n v="82.49"/>
    <x v="505"/>
    <n v="0.89425587467362921"/>
    <n v="5.4014598540145987E-2"/>
    <n v="0.67567567567567566"/>
    <n v="0.08"/>
    <n v="2.9197080291970801E-3"/>
    <n v="3.2995999999999999"/>
    <n v="2.2294594594594592"/>
    <n v="23.854770275184872"/>
  </r>
  <r>
    <x v="107"/>
    <s v="CMP202604056"/>
    <s v="CUST100910"/>
    <x v="0"/>
    <s v="Amber"/>
    <x v="0"/>
    <s v="East"/>
    <s v="35-44"/>
    <n v="4219"/>
    <n v="3209"/>
    <n v="3041"/>
    <n v="216"/>
    <n v="101"/>
    <n v="6"/>
    <n v="392.27"/>
    <x v="506"/>
    <n v="0.9476472421315052"/>
    <n v="7.1029266688589277E-2"/>
    <n v="0.46759259259259262"/>
    <n v="5.9405940594059403E-2"/>
    <n v="1.9730351857941467E-3"/>
    <n v="3.8838613861386135"/>
    <n v="1.8160648148148146"/>
    <n v="20.795141101792133"/>
  </r>
  <r>
    <x v="107"/>
    <s v="CMP202604060"/>
    <s v="CUST100267"/>
    <x v="2"/>
    <s v="Green"/>
    <x v="1"/>
    <s v="Central"/>
    <s v="45-54"/>
    <n v="2730"/>
    <n v="2398"/>
    <n v="2234"/>
    <n v="216"/>
    <n v="109"/>
    <n v="10"/>
    <n v="169.32"/>
    <x v="507"/>
    <n v="0.93160967472894074"/>
    <n v="9.6687555953446733E-2"/>
    <n v="0.50462962962962965"/>
    <n v="9.1743119266055051E-2"/>
    <n v="4.4762757385854966E-3"/>
    <n v="1.553394495412844"/>
    <n v="0.78388888888888886"/>
    <n v="68.895405150011825"/>
  </r>
  <r>
    <x v="107"/>
    <s v="CMP202604064"/>
    <s v="CUST100126"/>
    <x v="1"/>
    <s v="Red Non-Saleable"/>
    <x v="0"/>
    <s v="North"/>
    <s v="25-34"/>
    <n v="3962"/>
    <n v="3198"/>
    <n v="3106"/>
    <n v="51"/>
    <n v="24"/>
    <n v="1"/>
    <n v="564.9"/>
    <x v="508"/>
    <n v="0.97123202001250786"/>
    <n v="1.6419832582099163E-2"/>
    <n v="0.47058823529411764"/>
    <n v="4.1666666666666664E-2"/>
    <n v="3.219575016097875E-4"/>
    <n v="23.537499999999998"/>
    <n v="11.076470588235294"/>
    <n v="0.68390865639936282"/>
  </r>
  <r>
    <x v="107"/>
    <s v="CMP202604076"/>
    <s v="CUST100144"/>
    <x v="2"/>
    <s v="Green"/>
    <x v="1"/>
    <s v="East"/>
    <s v="25-34"/>
    <n v="4479"/>
    <n v="4118"/>
    <n v="3836"/>
    <n v="347"/>
    <n v="188"/>
    <n v="12"/>
    <n v="366.37"/>
    <x v="509"/>
    <n v="0.93152015541525013"/>
    <n v="9.045881126173097E-2"/>
    <n v="0.5417867435158501"/>
    <n v="6.3829787234042548E-2"/>
    <n v="3.1282586027111575E-3"/>
    <n v="1.948776595744681"/>
    <n v="1.055821325648415"/>
    <n v="45.390561454267548"/>
  </r>
  <r>
    <x v="108"/>
    <s v="CMP202604019"/>
    <s v="CUST101232"/>
    <x v="0"/>
    <s v="Red Saleable"/>
    <x v="0"/>
    <s v="Central"/>
    <s v="55+"/>
    <n v="1641"/>
    <n v="1225"/>
    <n v="1098"/>
    <n v="54"/>
    <n v="26"/>
    <n v="1"/>
    <n v="152.71"/>
    <x v="510"/>
    <n v="0.89632653061224488"/>
    <n v="4.9180327868852458E-2"/>
    <n v="0.48148148148148145"/>
    <n v="3.8461538461538464E-2"/>
    <n v="9.1074681238615665E-4"/>
    <n v="5.8734615384615392"/>
    <n v="2.827962962962963"/>
    <n v="5.9180800209547506"/>
  </r>
  <r>
    <x v="108"/>
    <s v="CMP202604019"/>
    <s v="CUST101465"/>
    <x v="3"/>
    <s v="Green"/>
    <x v="1"/>
    <s v="North"/>
    <s v="25-34"/>
    <n v="4701"/>
    <n v="3621"/>
    <n v="3343"/>
    <n v="310"/>
    <n v="185"/>
    <n v="19"/>
    <n v="636.67999999999995"/>
    <x v="511"/>
    <n v="0.92322562827948085"/>
    <n v="9.2731079868381694E-2"/>
    <n v="0.59677419354838712"/>
    <n v="0.10270270270270271"/>
    <n v="5.6835177983846847E-3"/>
    <n v="3.4415135135135131"/>
    <n v="2.0538064516129029"/>
    <n v="32.118191242068228"/>
  </r>
  <r>
    <x v="108"/>
    <s v="CMP202604062"/>
    <s v="CUST100361"/>
    <x v="0"/>
    <s v="Green"/>
    <x v="0"/>
    <s v="East"/>
    <s v="25-34"/>
    <n v="2303"/>
    <n v="2282"/>
    <n v="2113"/>
    <n v="168"/>
    <n v="86"/>
    <n v="5"/>
    <n v="315.95"/>
    <x v="512"/>
    <n v="0.92594215600350571"/>
    <n v="7.9507808802650265E-2"/>
    <n v="0.51190476190476186"/>
    <n v="5.8139534883720929E-2"/>
    <n v="2.3663038334122101E-3"/>
    <n v="3.6738372093023255"/>
    <n v="1.8806547619047618"/>
    <n v="18.788922297831938"/>
  </r>
  <r>
    <x v="109"/>
    <s v="CMP202604005"/>
    <s v="CUST100253"/>
    <x v="0"/>
    <s v="Amber"/>
    <x v="0"/>
    <s v="South"/>
    <s v="35-44"/>
    <n v="1726"/>
    <n v="1250"/>
    <n v="1120"/>
    <n v="65"/>
    <n v="33"/>
    <n v="2"/>
    <n v="164.23"/>
    <x v="513"/>
    <n v="0.89600000000000002"/>
    <n v="5.8035714285714288E-2"/>
    <n v="0.50769230769230766"/>
    <n v="6.0606060606060608E-2"/>
    <n v="1.7857142857142857E-3"/>
    <n v="4.9766666666666666"/>
    <n v="2.5266153846153845"/>
    <n v="10.918468002192048"/>
  </r>
  <r>
    <x v="109"/>
    <s v="CMP202604006"/>
    <s v="CUST101249"/>
    <x v="0"/>
    <s v="Red Non-Saleable"/>
    <x v="0"/>
    <s v="West"/>
    <s v="55+"/>
    <n v="3958"/>
    <n v="3899"/>
    <n v="3608"/>
    <n v="85"/>
    <n v="45"/>
    <n v="0"/>
    <n v="498.91"/>
    <x v="0"/>
    <n v="0.92536547832777638"/>
    <n v="2.3558758314855877E-2"/>
    <n v="0.52941176470588236"/>
    <n v="0"/>
    <n v="0"/>
    <n v="11.08688888888889"/>
    <n v="5.8695294117647059"/>
    <n v="-1"/>
  </r>
  <r>
    <x v="109"/>
    <s v="CMP202604052"/>
    <s v="CUST100802"/>
    <x v="3"/>
    <s v="Green"/>
    <x v="0"/>
    <s v="East"/>
    <s v="18-24"/>
    <n v="3146"/>
    <n v="2505"/>
    <n v="2395"/>
    <n v="182"/>
    <n v="86"/>
    <n v="6"/>
    <n v="428.84"/>
    <x v="514"/>
    <n v="0.95608782435129736"/>
    <n v="7.5991649269311068E-2"/>
    <n v="0.47252747252747251"/>
    <n v="6.9767441860465115E-2"/>
    <n v="2.5052192066805845E-3"/>
    <n v="4.9865116279069763"/>
    <n v="2.356263736263736"/>
    <n v="19.795564779404906"/>
  </r>
  <r>
    <x v="109"/>
    <s v="CMP202604058"/>
    <s v="CUST100860"/>
    <x v="1"/>
    <s v="Red Non-Saleable"/>
    <x v="0"/>
    <s v="North"/>
    <s v="45-54"/>
    <n v="1358"/>
    <n v="1016"/>
    <n v="958"/>
    <n v="26"/>
    <n v="8"/>
    <n v="0"/>
    <n v="199.49"/>
    <x v="0"/>
    <n v="0.94291338582677164"/>
    <n v="2.7139874739039668E-2"/>
    <n v="0.30769230769230771"/>
    <n v="0"/>
    <n v="0"/>
    <n v="24.936250000000001"/>
    <n v="7.6726923076923077"/>
    <n v="-1"/>
  </r>
  <r>
    <x v="109"/>
    <s v="CMP202604058"/>
    <s v="CUST100980"/>
    <x v="1"/>
    <s v="Red Saleable"/>
    <x v="0"/>
    <s v="North"/>
    <s v="35-44"/>
    <n v="1535"/>
    <n v="1484"/>
    <n v="1425"/>
    <n v="36"/>
    <n v="18"/>
    <n v="1"/>
    <n v="265.76"/>
    <x v="515"/>
    <n v="0.96024258760107817"/>
    <n v="2.5263157894736842E-2"/>
    <n v="0.5"/>
    <n v="5.5555555555555552E-2"/>
    <n v="7.0175438596491223E-4"/>
    <n v="14.764444444444443"/>
    <n v="7.3822222222222216"/>
    <n v="2.3453491872366046"/>
  </r>
  <r>
    <x v="109"/>
    <s v="CMP202604061"/>
    <s v="CUST101163"/>
    <x v="1"/>
    <s v="Amber"/>
    <x v="0"/>
    <s v="North"/>
    <s v="45-54"/>
    <n v="2822"/>
    <n v="2629"/>
    <n v="2524"/>
    <n v="59"/>
    <n v="26"/>
    <n v="1"/>
    <n v="505.34"/>
    <x v="516"/>
    <n v="0.96006085964244958"/>
    <n v="2.3375594294770204E-2"/>
    <n v="0.44067796610169491"/>
    <n v="3.8461538461538464E-2"/>
    <n v="3.9619651347068147E-4"/>
    <n v="19.436153846153847"/>
    <n v="8.5650847457627108"/>
    <n v="1.0397949895120118"/>
  </r>
  <r>
    <x v="110"/>
    <s v="CMP202604022"/>
    <s v="CUST101113"/>
    <x v="1"/>
    <s v="Red Non-Saleable"/>
    <x v="0"/>
    <s v="North"/>
    <s v="18-24"/>
    <n v="584"/>
    <n v="561"/>
    <n v="534"/>
    <n v="4"/>
    <n v="2"/>
    <n v="0"/>
    <n v="119.09"/>
    <x v="0"/>
    <n v="0.95187165775401072"/>
    <n v="7.4906367041198503E-3"/>
    <n v="0.5"/>
    <n v="0"/>
    <n v="0"/>
    <n v="59.545000000000002"/>
    <n v="29.772500000000001"/>
    <n v="-1"/>
  </r>
  <r>
    <x v="110"/>
    <s v="CMP202604036"/>
    <s v="CUST100065"/>
    <x v="3"/>
    <s v="Green"/>
    <x v="0"/>
    <s v="East"/>
    <s v="35-44"/>
    <n v="2162"/>
    <n v="2066"/>
    <n v="1933"/>
    <n v="125"/>
    <n v="45"/>
    <n v="3"/>
    <n v="301.54000000000002"/>
    <x v="517"/>
    <n v="0.93562439496611816"/>
    <n v="6.4666321779617175E-2"/>
    <n v="0.36"/>
    <n v="6.6666666666666666E-2"/>
    <n v="1.5519917227108122E-3"/>
    <n v="6.7008888888888896"/>
    <n v="2.4123200000000002"/>
    <n v="9.9225641705909666"/>
  </r>
  <r>
    <x v="110"/>
    <s v="CMP202604052"/>
    <s v="CUST100028"/>
    <x v="2"/>
    <s v="Green"/>
    <x v="0"/>
    <s v="West"/>
    <s v="55+"/>
    <n v="4036"/>
    <n v="3800"/>
    <n v="3532"/>
    <n v="238"/>
    <n v="82"/>
    <n v="7"/>
    <n v="352.85"/>
    <x v="518"/>
    <n v="0.92947368421052634"/>
    <n v="6.7383918459796147E-2"/>
    <n v="0.34453781512605042"/>
    <n v="8.5365853658536592E-2"/>
    <n v="1.9818799546998866E-3"/>
    <n v="4.3030487804878055"/>
    <n v="1.4825630252100841"/>
    <n v="19.680005668130931"/>
  </r>
  <r>
    <x v="110"/>
    <s v="CMP202604072"/>
    <s v="CUST100282"/>
    <x v="1"/>
    <s v="Red Non-Saleable"/>
    <x v="0"/>
    <s v="North"/>
    <s v="25-34"/>
    <n v="4223"/>
    <n v="3374"/>
    <n v="3186"/>
    <n v="13"/>
    <n v="5"/>
    <n v="0"/>
    <n v="693.16"/>
    <x v="0"/>
    <n v="0.94427978660343803"/>
    <n v="4.0803515379786567E-3"/>
    <n v="0.38461538461538464"/>
    <n v="0"/>
    <n v="0"/>
    <n v="138.63200000000001"/>
    <n v="53.32"/>
    <n v="-1"/>
  </r>
  <r>
    <x v="111"/>
    <s v="CMP202604061"/>
    <s v="CUST100552"/>
    <x v="1"/>
    <s v="Red Non-Saleable"/>
    <x v="1"/>
    <s v="North"/>
    <s v="55+"/>
    <n v="2373"/>
    <n v="1817"/>
    <n v="1723"/>
    <n v="11"/>
    <n v="6"/>
    <n v="0"/>
    <n v="389.66"/>
    <x v="0"/>
    <n v="0.9482663731425427"/>
    <n v="6.3842135809634359E-3"/>
    <n v="0.54545454545454541"/>
    <n v="0"/>
    <n v="0"/>
    <n v="64.943333333333342"/>
    <n v="35.423636363636369"/>
    <n v="-1"/>
  </r>
  <r>
    <x v="111"/>
    <s v="CMP202604061"/>
    <s v="CUST101146"/>
    <x v="3"/>
    <s v="Red Non-Saleable"/>
    <x v="0"/>
    <s v="Central"/>
    <s v="55+"/>
    <n v="3061"/>
    <n v="3025"/>
    <n v="2891"/>
    <n v="79"/>
    <n v="39"/>
    <n v="1"/>
    <n v="502.09"/>
    <x v="519"/>
    <n v="0.955702479338843"/>
    <n v="2.7326184711172603E-2"/>
    <n v="0.49367088607594939"/>
    <n v="2.564102564102564E-2"/>
    <n v="3.4590107229332413E-4"/>
    <n v="12.874102564102563"/>
    <n v="6.3555696202531644"/>
    <n v="0.46756557589276837"/>
  </r>
  <r>
    <x v="111"/>
    <s v="CMP202604063"/>
    <s v="CUST101397"/>
    <x v="0"/>
    <s v="Green"/>
    <x v="0"/>
    <s v="South"/>
    <s v="45-54"/>
    <n v="495"/>
    <n v="484"/>
    <n v="442"/>
    <n v="34"/>
    <n v="19"/>
    <n v="1"/>
    <n v="63.02"/>
    <x v="520"/>
    <n v="0.91322314049586772"/>
    <n v="7.6923076923076927E-2"/>
    <n v="0.55882352941176472"/>
    <n v="5.2631578947368418E-2"/>
    <n v="2.2624434389140274E-3"/>
    <n v="3.316842105263158"/>
    <n v="1.8535294117647059"/>
    <n v="13.053316407489685"/>
  </r>
  <r>
    <x v="111"/>
    <s v="CMP202604064"/>
    <s v="CUST100223"/>
    <x v="1"/>
    <s v="Red Non-Saleable"/>
    <x v="0"/>
    <s v="East"/>
    <s v="55+"/>
    <n v="3018"/>
    <n v="2317"/>
    <n v="2230"/>
    <n v="24"/>
    <n v="10"/>
    <n v="0"/>
    <n v="465.25"/>
    <x v="0"/>
    <n v="0.96245144583513165"/>
    <n v="1.0762331838565023E-2"/>
    <n v="0.41666666666666669"/>
    <n v="0"/>
    <n v="0"/>
    <n v="46.524999999999999"/>
    <n v="19.385416666666668"/>
    <n v="-1"/>
  </r>
  <r>
    <x v="111"/>
    <s v="CMP202604067"/>
    <s v="CUST100199"/>
    <x v="0"/>
    <s v="Red Non-Saleable"/>
    <x v="0"/>
    <s v="North"/>
    <s v="45-54"/>
    <n v="1967"/>
    <n v="1630"/>
    <n v="1474"/>
    <n v="31"/>
    <n v="16"/>
    <n v="0"/>
    <n v="223.99"/>
    <x v="0"/>
    <n v="0.90429447852760736"/>
    <n v="2.1031207598371779E-2"/>
    <n v="0.5161290322580645"/>
    <n v="0"/>
    <n v="0"/>
    <n v="13.999375000000001"/>
    <n v="7.225483870967742"/>
    <n v="-1"/>
  </r>
  <r>
    <x v="111"/>
    <s v="CMP202604070"/>
    <s v="CUST100460"/>
    <x v="0"/>
    <s v="Red Saleable"/>
    <x v="0"/>
    <s v="Central"/>
    <s v="35-44"/>
    <n v="4447"/>
    <n v="3544"/>
    <n v="3238"/>
    <n v="146"/>
    <n v="60"/>
    <n v="2"/>
    <n v="419.96"/>
    <x v="521"/>
    <n v="0.91365688487584651"/>
    <n v="4.5089561457689935E-2"/>
    <n v="0.41095890410958902"/>
    <n v="3.3333333333333333E-2"/>
    <n v="6.1766522544780733E-4"/>
    <n v="6.9993333333333334"/>
    <n v="2.8764383561643836"/>
    <n v="2.779979045623393"/>
  </r>
  <r>
    <x v="112"/>
    <s v="CMP202604010"/>
    <s v="CUST100423"/>
    <x v="1"/>
    <s v="Red Saleable"/>
    <x v="0"/>
    <s v="West"/>
    <s v="18-24"/>
    <n v="464"/>
    <n v="344"/>
    <n v="322"/>
    <n v="3"/>
    <n v="1"/>
    <n v="0"/>
    <n v="67.430000000000007"/>
    <x v="0"/>
    <n v="0.93604651162790697"/>
    <n v="9.316770186335404E-3"/>
    <n v="0.33333333333333331"/>
    <n v="0"/>
    <n v="0"/>
    <n v="67.430000000000007"/>
    <n v="22.47666666666667"/>
    <n v="-1"/>
  </r>
  <r>
    <x v="112"/>
    <s v="CMP202604011"/>
    <s v="CUST100726"/>
    <x v="1"/>
    <s v="Amber"/>
    <x v="0"/>
    <s v="North"/>
    <s v="25-34"/>
    <n v="2043"/>
    <n v="1643"/>
    <n v="1615"/>
    <n v="60"/>
    <n v="20"/>
    <n v="1"/>
    <n v="277.89"/>
    <x v="522"/>
    <n v="0.98295800365185637"/>
    <n v="3.7151702786377708E-2"/>
    <n v="0.33333333333333331"/>
    <n v="0.05"/>
    <n v="6.1919504643962852E-4"/>
    <n v="13.894499999999999"/>
    <n v="4.6315"/>
    <n v="2.0720428946705534"/>
  </r>
  <r>
    <x v="112"/>
    <s v="CMP202604014"/>
    <s v="CUST101496"/>
    <x v="0"/>
    <s v="Amber"/>
    <x v="0"/>
    <s v="West"/>
    <s v="35-44"/>
    <n v="2160"/>
    <n v="2094"/>
    <n v="1873"/>
    <n v="112"/>
    <n v="57"/>
    <n v="2"/>
    <n v="234.25"/>
    <x v="523"/>
    <n v="0.89446036294173825"/>
    <n v="5.9797116924719701E-2"/>
    <n v="0.5089285714285714"/>
    <n v="3.5087719298245612E-2"/>
    <n v="1.0678056593699946E-3"/>
    <n v="4.1096491228070171"/>
    <n v="2.0915178571428572"/>
    <n v="6.6066595517609388"/>
  </r>
  <r>
    <x v="112"/>
    <s v="CMP202604034"/>
    <s v="CUST100504"/>
    <x v="2"/>
    <s v="Red Saleable"/>
    <x v="0"/>
    <s v="Central"/>
    <s v="18-24"/>
    <n v="1905"/>
    <n v="1492"/>
    <n v="1377"/>
    <n v="56"/>
    <n v="26"/>
    <n v="1"/>
    <n v="109.22"/>
    <x v="524"/>
    <n v="0.92292225201072386"/>
    <n v="4.0668119099491647E-2"/>
    <n v="0.4642857142857143"/>
    <n v="3.8461538461538464E-2"/>
    <n v="7.2621641249092229E-4"/>
    <n v="4.2007692307692306"/>
    <n v="1.9503571428571429"/>
    <n v="6.5947628639443323"/>
  </r>
  <r>
    <x v="112"/>
    <s v="CMP202604049"/>
    <s v="CUST100353"/>
    <x v="2"/>
    <s v="Red Non-Saleable"/>
    <x v="0"/>
    <s v="East"/>
    <s v="55+"/>
    <n v="2247"/>
    <n v="2075"/>
    <n v="1941"/>
    <n v="38"/>
    <n v="16"/>
    <n v="0"/>
    <n v="164.44"/>
    <x v="0"/>
    <n v="0.935421686746988"/>
    <n v="1.9577537351880475E-2"/>
    <n v="0.42105263157894735"/>
    <n v="0"/>
    <n v="0"/>
    <n v="10.2775"/>
    <n v="4.3273684210526318"/>
    <n v="-1"/>
  </r>
  <r>
    <x v="112"/>
    <s v="CMP202604067"/>
    <s v="CUST101012"/>
    <x v="2"/>
    <s v="Red Saleable"/>
    <x v="1"/>
    <s v="East"/>
    <s v="25-34"/>
    <n v="971"/>
    <n v="813"/>
    <n v="753"/>
    <n v="33"/>
    <n v="17"/>
    <n v="1"/>
    <n v="65.319999999999993"/>
    <x v="525"/>
    <n v="0.92619926199261993"/>
    <n v="4.3824701195219126E-2"/>
    <n v="0.51515151515151514"/>
    <n v="5.8823529411764705E-2"/>
    <n v="1.3280212483399733E-3"/>
    <n v="3.8423529411764701"/>
    <n v="1.9793939393939393"/>
    <n v="14.427740355174528"/>
  </r>
  <r>
    <x v="112"/>
    <s v="CMP202604069"/>
    <s v="CUST100499"/>
    <x v="2"/>
    <s v="Red Saleable"/>
    <x v="0"/>
    <s v="East"/>
    <s v="25-34"/>
    <n v="1474"/>
    <n v="1290"/>
    <n v="1246"/>
    <n v="45"/>
    <n v="18"/>
    <n v="1"/>
    <n v="94.34"/>
    <x v="526"/>
    <n v="0.96589147286821708"/>
    <n v="3.6115569823434994E-2"/>
    <n v="0.4"/>
    <n v="5.5555555555555552E-2"/>
    <n v="8.0256821829855537E-4"/>
    <n v="5.2411111111111115"/>
    <n v="2.0964444444444443"/>
    <n v="9.5504557981768077"/>
  </r>
  <r>
    <x v="112"/>
    <s v="CMP202604079"/>
    <s v="CUST101296"/>
    <x v="2"/>
    <s v="Red Saleable"/>
    <x v="0"/>
    <s v="East"/>
    <s v="25-34"/>
    <n v="463"/>
    <n v="448"/>
    <n v="424"/>
    <n v="5"/>
    <n v="2"/>
    <n v="0"/>
    <n v="41.69"/>
    <x v="0"/>
    <n v="0.9464285714285714"/>
    <n v="1.179245283018868E-2"/>
    <n v="0.4"/>
    <n v="0"/>
    <n v="0"/>
    <n v="20.844999999999999"/>
    <n v="8.3379999999999992"/>
    <n v="-1"/>
  </r>
  <r>
    <x v="113"/>
    <s v="CMP202604032"/>
    <s v="CUST100123"/>
    <x v="3"/>
    <s v="Green"/>
    <x v="0"/>
    <s v="West"/>
    <s v="18-24"/>
    <n v="4388"/>
    <n v="3511"/>
    <n v="3281"/>
    <n v="246"/>
    <n v="125"/>
    <n v="7"/>
    <n v="532.54"/>
    <x v="527"/>
    <n v="0.9344915978353745"/>
    <n v="7.4977141115513568E-2"/>
    <n v="0.50813008130081305"/>
    <n v="5.6000000000000001E-2"/>
    <n v="2.1334958854007926E-3"/>
    <n v="4.2603200000000001"/>
    <n v="2.1647967479674795"/>
    <n v="18.485878995005073"/>
  </r>
  <r>
    <x v="113"/>
    <s v="CMP202604037"/>
    <s v="CUST100670"/>
    <x v="2"/>
    <s v="Red Non-Saleable"/>
    <x v="1"/>
    <s v="East"/>
    <s v="25-34"/>
    <n v="4530"/>
    <n v="3756"/>
    <n v="3619"/>
    <n v="39"/>
    <n v="23"/>
    <n v="0"/>
    <n v="325.36"/>
    <x v="0"/>
    <n v="0.96352502662406814"/>
    <n v="1.0776457584968223E-2"/>
    <n v="0.58974358974358976"/>
    <n v="0"/>
    <n v="0"/>
    <n v="14.14608695652174"/>
    <n v="8.3425641025641024"/>
    <n v="-1"/>
  </r>
  <r>
    <x v="113"/>
    <s v="CMP202604046"/>
    <s v="CUST101124"/>
    <x v="0"/>
    <s v="Green"/>
    <x v="0"/>
    <s v="East"/>
    <s v="18-24"/>
    <n v="2891"/>
    <n v="2437"/>
    <n v="2225"/>
    <n v="164"/>
    <n v="88"/>
    <n v="6"/>
    <n v="286.75"/>
    <x v="528"/>
    <n v="0.913007796471071"/>
    <n v="7.3707865168539333E-2"/>
    <n v="0.53658536585365857"/>
    <n v="6.8181818181818177E-2"/>
    <n v="2.696629213483146E-3"/>
    <n v="3.2585227272727271"/>
    <n v="1.7484756097560976"/>
    <n v="25.198709677419352"/>
  </r>
  <r>
    <x v="114"/>
    <s v="CMP202604025"/>
    <s v="CUST100062"/>
    <x v="0"/>
    <s v="Red Saleable"/>
    <x v="1"/>
    <s v="South"/>
    <s v="35-44"/>
    <n v="2941"/>
    <n v="2928"/>
    <n v="2608"/>
    <n v="145"/>
    <n v="82"/>
    <n v="4"/>
    <n v="366.81"/>
    <x v="529"/>
    <n v="0.89071038251366119"/>
    <n v="5.5598159509202452E-2"/>
    <n v="0.56551724137931036"/>
    <n v="4.878048780487805E-2"/>
    <n v="1.5337423312883436E-3"/>
    <n v="4.4732926829268296"/>
    <n v="2.5297241379310345"/>
    <n v="12.792726479648865"/>
  </r>
  <r>
    <x v="114"/>
    <s v="CMP202604025"/>
    <s v="CUST101454"/>
    <x v="0"/>
    <s v="Red Saleable"/>
    <x v="0"/>
    <s v="South"/>
    <s v="55+"/>
    <n v="3104"/>
    <n v="2505"/>
    <n v="2314"/>
    <n v="93"/>
    <n v="47"/>
    <n v="3"/>
    <n v="305.54000000000002"/>
    <x v="530"/>
    <n v="0.92375249500998002"/>
    <n v="4.0190146931719968E-2"/>
    <n v="0.5053763440860215"/>
    <n v="6.3829787234042548E-2"/>
    <n v="1.2964563526361278E-3"/>
    <n v="6.5008510638297876"/>
    <n v="3.2853763440860217"/>
    <n v="10.814296000523662"/>
  </r>
  <r>
    <x v="114"/>
    <s v="CMP202604048"/>
    <s v="CUST101256"/>
    <x v="0"/>
    <s v="Green"/>
    <x v="0"/>
    <s v="West"/>
    <s v="18-24"/>
    <n v="2994"/>
    <n v="2283"/>
    <n v="2109"/>
    <n v="159"/>
    <n v="81"/>
    <n v="5"/>
    <n v="241.38"/>
    <x v="531"/>
    <n v="0.92378449408672803"/>
    <n v="7.5391180654338544E-2"/>
    <n v="0.50943396226415094"/>
    <n v="6.1728395061728392E-2"/>
    <n v="2.3707918444760552E-3"/>
    <n v="2.98"/>
    <n v="1.5181132075471697"/>
    <n v="22.807067694092304"/>
  </r>
  <r>
    <x v="114"/>
    <s v="CMP202604073"/>
    <s v="CUST101498"/>
    <x v="0"/>
    <s v="Green"/>
    <x v="1"/>
    <s v="Central"/>
    <s v="55+"/>
    <n v="2456"/>
    <n v="2235"/>
    <n v="2023"/>
    <n v="252"/>
    <n v="149"/>
    <n v="11"/>
    <n v="259.37"/>
    <x v="532"/>
    <n v="0.90514541387024605"/>
    <n v="0.1245674740484429"/>
    <n v="0.59126984126984128"/>
    <n v="7.3825503355704702E-2"/>
    <n v="5.4374691052891744E-3"/>
    <n v="1.7407382550335571"/>
    <n v="1.0292460317460317"/>
    <n v="45.660793461078761"/>
  </r>
  <r>
    <x v="115"/>
    <s v="CMP202604017"/>
    <s v="CUST100933"/>
    <x v="2"/>
    <s v="Amber"/>
    <x v="1"/>
    <s v="Central"/>
    <s v="55+"/>
    <n v="2094"/>
    <n v="1609"/>
    <n v="1517"/>
    <n v="91"/>
    <n v="44"/>
    <n v="4"/>
    <n v="149.69999999999999"/>
    <x v="533"/>
    <n v="0.94282162834058425"/>
    <n v="5.9986816084377059E-2"/>
    <n v="0.48351648351648352"/>
    <n v="9.0909090909090912E-2"/>
    <n v="2.6367831245880024E-3"/>
    <n v="3.4022727272727269"/>
    <n v="1.645054945054945"/>
    <n v="19.378089512358052"/>
  </r>
  <r>
    <x v="115"/>
    <s v="CMP202604021"/>
    <s v="CUST100357"/>
    <x v="0"/>
    <s v="Green"/>
    <x v="1"/>
    <s v="North"/>
    <s v="18-24"/>
    <n v="4514"/>
    <n v="3762"/>
    <n v="3379"/>
    <n v="368"/>
    <n v="233"/>
    <n v="18"/>
    <n v="464.38"/>
    <x v="534"/>
    <n v="0.89819245082402976"/>
    <n v="0.10890796093518793"/>
    <n v="0.63315217391304346"/>
    <n v="7.7253218884120178E-2"/>
    <n v="5.3270198283515832E-3"/>
    <n v="1.9930472103004291"/>
    <n v="1.2619021739130434"/>
    <n v="39.182673672423441"/>
  </r>
  <r>
    <x v="116"/>
    <s v="CMP202604001"/>
    <s v="CUST100858"/>
    <x v="1"/>
    <s v="Amber"/>
    <x v="0"/>
    <s v="Central"/>
    <s v="35-44"/>
    <n v="1795"/>
    <n v="1511"/>
    <n v="1435"/>
    <n v="52"/>
    <n v="19"/>
    <n v="1"/>
    <n v="308.95999999999998"/>
    <x v="535"/>
    <n v="0.94970218398411643"/>
    <n v="3.6236933797909411E-2"/>
    <n v="0.36538461538461536"/>
    <n v="5.2631578947368418E-2"/>
    <n v="6.9686411149825784E-4"/>
    <n v="16.261052631578945"/>
    <n v="5.9415384615384612"/>
    <n v="3.2399016053858105"/>
  </r>
  <r>
    <x v="116"/>
    <s v="CMP202604026"/>
    <s v="CUST101489"/>
    <x v="3"/>
    <s v="Red Non-Saleable"/>
    <x v="1"/>
    <s v="North"/>
    <s v="55+"/>
    <n v="1197"/>
    <n v="900"/>
    <n v="837"/>
    <n v="29"/>
    <n v="18"/>
    <n v="0"/>
    <n v="148.34"/>
    <x v="0"/>
    <n v="0.93"/>
    <n v="3.4647550776583033E-2"/>
    <n v="0.62068965517241381"/>
    <n v="0"/>
    <n v="0"/>
    <n v="8.2411111111111115"/>
    <n v="5.1151724137931032"/>
    <n v="-1"/>
  </r>
  <r>
    <x v="116"/>
    <s v="CMP202604027"/>
    <s v="CUST101181"/>
    <x v="3"/>
    <s v="Red Non-Saleable"/>
    <x v="0"/>
    <s v="West"/>
    <s v="55+"/>
    <n v="488"/>
    <n v="429"/>
    <n v="396"/>
    <n v="8"/>
    <n v="4"/>
    <n v="0"/>
    <n v="75.39"/>
    <x v="0"/>
    <n v="0.92307692307692313"/>
    <n v="2.0202020202020204E-2"/>
    <n v="0.5"/>
    <n v="0"/>
    <n v="0"/>
    <n v="18.8475"/>
    <n v="9.4237500000000001"/>
    <n v="-1"/>
  </r>
  <r>
    <x v="116"/>
    <s v="CMP202604036"/>
    <s v="CUST101363"/>
    <x v="0"/>
    <s v="Amber"/>
    <x v="0"/>
    <s v="South"/>
    <s v="25-34"/>
    <n v="3566"/>
    <n v="2833"/>
    <n v="2572"/>
    <n v="156"/>
    <n v="73"/>
    <n v="3"/>
    <n v="366.28"/>
    <x v="536"/>
    <n v="0.90787151429579949"/>
    <n v="6.0653188180404355E-2"/>
    <n v="0.46794871794871795"/>
    <n v="4.1095890410958902E-2"/>
    <n v="1.1664074650077762E-3"/>
    <n v="5.0175342465753419"/>
    <n v="2.347948717948718"/>
    <n v="9.873430162717046"/>
  </r>
  <r>
    <x v="116"/>
    <s v="CMP202604040"/>
    <s v="CUST100359"/>
    <x v="3"/>
    <s v="Green"/>
    <x v="1"/>
    <s v="Central"/>
    <s v="45-54"/>
    <n v="4392"/>
    <n v="4212"/>
    <n v="4076"/>
    <n v="411"/>
    <n v="251"/>
    <n v="18"/>
    <n v="690.71"/>
    <x v="537"/>
    <n v="0.96771130104463443"/>
    <n v="0.10083415112855741"/>
    <n v="0.61070559610705599"/>
    <n v="7.1713147410358571E-2"/>
    <n v="4.416094210009814E-3"/>
    <n v="2.7518326693227091"/>
    <n v="1.6805596107055962"/>
    <n v="32.480939902419244"/>
  </r>
  <r>
    <x v="116"/>
    <s v="CMP202604040"/>
    <s v="CUST101443"/>
    <x v="0"/>
    <s v="Amber"/>
    <x v="0"/>
    <s v="South"/>
    <s v="18-24"/>
    <n v="497"/>
    <n v="436"/>
    <n v="406"/>
    <n v="27"/>
    <n v="12"/>
    <n v="1"/>
    <n v="55.52"/>
    <x v="538"/>
    <n v="0.93119266055045868"/>
    <n v="6.6502463054187194E-2"/>
    <n v="0.44444444444444442"/>
    <n v="8.3333333333333329E-2"/>
    <n v="2.4630541871921183E-3"/>
    <n v="4.6266666666666669"/>
    <n v="2.0562962962962965"/>
    <n v="11.521793948126801"/>
  </r>
  <r>
    <x v="116"/>
    <s v="CMP202604046"/>
    <s v="CUST100381"/>
    <x v="2"/>
    <s v="Red Saleable"/>
    <x v="0"/>
    <s v="West"/>
    <s v="45-54"/>
    <n v="2236"/>
    <n v="2183"/>
    <n v="2037"/>
    <n v="64"/>
    <n v="29"/>
    <n v="2"/>
    <n v="204.18"/>
    <x v="539"/>
    <n v="0.9331195602382043"/>
    <n v="3.1418753068237604E-2"/>
    <n v="0.453125"/>
    <n v="6.8965517241379309E-2"/>
    <n v="9.8183603338242512E-4"/>
    <n v="7.0406896551724136"/>
    <n v="3.1903125000000001"/>
    <n v="6.5158193750612199"/>
  </r>
  <r>
    <x v="116"/>
    <s v="CMP202604058"/>
    <s v="CUST100590"/>
    <x v="2"/>
    <s v="Green"/>
    <x v="0"/>
    <s v="Central"/>
    <s v="18-24"/>
    <n v="2607"/>
    <n v="1980"/>
    <n v="1846"/>
    <n v="150"/>
    <n v="60"/>
    <n v="4"/>
    <n v="162.74"/>
    <x v="540"/>
    <n v="0.93232323232323233"/>
    <n v="8.1256771397616473E-2"/>
    <n v="0.4"/>
    <n v="6.6666666666666666E-2"/>
    <n v="2.1668472372697724E-3"/>
    <n v="2.7123333333333335"/>
    <n v="1.0849333333333333"/>
    <n v="19.680471918397444"/>
  </r>
  <r>
    <x v="116"/>
    <s v="CMP202604062"/>
    <s v="CUST100809"/>
    <x v="2"/>
    <s v="Red Saleable"/>
    <x v="0"/>
    <s v="North"/>
    <s v="45-54"/>
    <n v="1341"/>
    <n v="1270"/>
    <n v="1174"/>
    <n v="39"/>
    <n v="19"/>
    <n v="1"/>
    <n v="114.56"/>
    <x v="541"/>
    <n v="0.92440944881889764"/>
    <n v="3.3219761499148209E-2"/>
    <n v="0.48717948717948717"/>
    <n v="5.2631578947368418E-2"/>
    <n v="8.5178875638841568E-4"/>
    <n v="6.0294736842105268"/>
    <n v="2.9374358974358974"/>
    <n v="8.7150837988826826"/>
  </r>
  <r>
    <x v="116"/>
    <s v="CMP202604064"/>
    <s v="CUST100661"/>
    <x v="2"/>
    <s v="Green"/>
    <x v="1"/>
    <s v="West"/>
    <s v="25-34"/>
    <n v="573"/>
    <n v="460"/>
    <n v="428"/>
    <n v="41"/>
    <n v="26"/>
    <n v="2"/>
    <n v="36.020000000000003"/>
    <x v="542"/>
    <n v="0.93043478260869561"/>
    <n v="9.5794392523364483E-2"/>
    <n v="0.63414634146341464"/>
    <n v="7.6923076923076927E-2"/>
    <n v="4.6728971962616819E-3"/>
    <n v="1.3853846153846154"/>
    <n v="0.87853658536585377"/>
    <n v="74.415324819544693"/>
  </r>
  <r>
    <x v="116"/>
    <s v="CMP202604065"/>
    <s v="CUST101104"/>
    <x v="2"/>
    <s v="Amber"/>
    <x v="0"/>
    <s v="East"/>
    <s v="25-34"/>
    <n v="566"/>
    <n v="495"/>
    <n v="455"/>
    <n v="24"/>
    <n v="8"/>
    <n v="0"/>
    <n v="42.29"/>
    <x v="0"/>
    <n v="0.91919191919191923"/>
    <n v="5.2747252747252747E-2"/>
    <n v="0.33333333333333331"/>
    <n v="0"/>
    <n v="0"/>
    <n v="5.2862499999999999"/>
    <n v="1.7620833333333332"/>
    <n v="-1"/>
  </r>
  <r>
    <x v="116"/>
    <s v="CMP202604067"/>
    <s v="CUST100904"/>
    <x v="2"/>
    <s v="Red Saleable"/>
    <x v="0"/>
    <s v="West"/>
    <s v="25-34"/>
    <n v="3797"/>
    <n v="2833"/>
    <n v="2746"/>
    <n v="101"/>
    <n v="44"/>
    <n v="1"/>
    <n v="260.55"/>
    <x v="543"/>
    <n v="0.96929050476526646"/>
    <n v="3.6780772032046612E-2"/>
    <n v="0.43564356435643564"/>
    <n v="2.2727272727272728E-2"/>
    <n v="3.6416605972323381E-4"/>
    <n v="5.9215909090909093"/>
    <n v="2.57970297029703"/>
    <n v="2.00878909998081"/>
  </r>
  <r>
    <x v="117"/>
    <s v="CMP202604013"/>
    <s v="CUST100992"/>
    <x v="0"/>
    <s v="Amber"/>
    <x v="0"/>
    <s v="East"/>
    <s v="45-54"/>
    <n v="3895"/>
    <n v="3200"/>
    <n v="2913"/>
    <n v="157"/>
    <n v="70"/>
    <n v="3"/>
    <n v="379.28"/>
    <x v="544"/>
    <n v="0.91031249999999997"/>
    <n v="5.3896326810847925E-2"/>
    <n v="0.44585987261146498"/>
    <n v="4.2857142857142858E-2"/>
    <n v="1.0298661174047373E-3"/>
    <n v="5.4182857142857141"/>
    <n v="2.4157961783439488"/>
    <n v="4.9756380510440845"/>
  </r>
  <r>
    <x v="117"/>
    <s v="CMP202604014"/>
    <s v="CUST100627"/>
    <x v="3"/>
    <s v="Red Saleable"/>
    <x v="0"/>
    <s v="South"/>
    <s v="35-44"/>
    <n v="2282"/>
    <n v="2101"/>
    <n v="1913"/>
    <n v="63"/>
    <n v="30"/>
    <n v="1"/>
    <n v="302.14"/>
    <x v="545"/>
    <n v="0.91051880057115664"/>
    <n v="3.2932566649242032E-2"/>
    <n v="0.47619047619047616"/>
    <n v="3.3333333333333333E-2"/>
    <n v="5.2273915316257186E-4"/>
    <n v="10.071333333333333"/>
    <n v="4.7958730158730161"/>
    <n v="2.371880585159198"/>
  </r>
  <r>
    <x v="117"/>
    <s v="CMP202604016"/>
    <s v="CUST100987"/>
    <x v="3"/>
    <s v="Amber"/>
    <x v="1"/>
    <s v="Central"/>
    <s v="25-34"/>
    <n v="531"/>
    <n v="399"/>
    <n v="362"/>
    <n v="20"/>
    <n v="11"/>
    <n v="1"/>
    <n v="71.64"/>
    <x v="546"/>
    <n v="0.90726817042606511"/>
    <n v="5.5248618784530384E-2"/>
    <n v="0.55000000000000004"/>
    <n v="9.0909090909090912E-2"/>
    <n v="2.7624309392265192E-3"/>
    <n v="6.5127272727272727"/>
    <n v="3.5819999999999999"/>
    <n v="11.743299832495811"/>
  </r>
  <r>
    <x v="117"/>
    <s v="CMP202604019"/>
    <s v="CUST101239"/>
    <x v="0"/>
    <s v="Red Non-Saleable"/>
    <x v="0"/>
    <s v="Central"/>
    <s v="25-34"/>
    <n v="1200"/>
    <n v="1038"/>
    <n v="940"/>
    <n v="18"/>
    <n v="9"/>
    <n v="0"/>
    <n v="120.31"/>
    <x v="0"/>
    <n v="0.90558766859344897"/>
    <n v="1.9148936170212766E-2"/>
    <n v="0.5"/>
    <n v="0"/>
    <n v="0"/>
    <n v="13.367777777777778"/>
    <n v="6.6838888888888892"/>
    <n v="-1"/>
  </r>
  <r>
    <x v="117"/>
    <s v="CMP202604024"/>
    <s v="CUST101073"/>
    <x v="1"/>
    <s v="Green"/>
    <x v="0"/>
    <s v="North"/>
    <s v="45-54"/>
    <n v="1728"/>
    <n v="1642"/>
    <n v="1574"/>
    <n v="81"/>
    <n v="32"/>
    <n v="2"/>
    <n v="267.54000000000002"/>
    <x v="547"/>
    <n v="0.95858708891595612"/>
    <n v="5.1461245235069883E-2"/>
    <n v="0.39506172839506171"/>
    <n v="6.25E-2"/>
    <n v="1.2706480304955528E-3"/>
    <n v="8.3606250000000006"/>
    <n v="3.3029629629629631"/>
    <n v="9.3740001495103531"/>
  </r>
  <r>
    <x v="117"/>
    <s v="CMP202604025"/>
    <s v="CUST100925"/>
    <x v="3"/>
    <s v="Red Non-Saleable"/>
    <x v="1"/>
    <s v="East"/>
    <s v="18-24"/>
    <n v="3246"/>
    <n v="2697"/>
    <n v="2470"/>
    <n v="40"/>
    <n v="24"/>
    <n v="0"/>
    <n v="345.18"/>
    <x v="0"/>
    <n v="0.91583240637745644"/>
    <n v="1.6194331983805668E-2"/>
    <n v="0.6"/>
    <n v="0"/>
    <n v="0"/>
    <n v="14.3825"/>
    <n v="8.6295000000000002"/>
    <n v="-1"/>
  </r>
  <r>
    <x v="117"/>
    <s v="CMP202604027"/>
    <s v="CUST101034"/>
    <x v="3"/>
    <s v="Red Non-Saleable"/>
    <x v="0"/>
    <s v="North"/>
    <s v="18-24"/>
    <n v="1285"/>
    <n v="985"/>
    <n v="912"/>
    <n v="19"/>
    <n v="8"/>
    <n v="0"/>
    <n v="173.14"/>
    <x v="0"/>
    <n v="0.92588832487309647"/>
    <n v="2.0833333333333332E-2"/>
    <n v="0.42105263157894735"/>
    <n v="0"/>
    <n v="0"/>
    <n v="21.642499999999998"/>
    <n v="9.1126315789473669"/>
    <n v="-1"/>
  </r>
  <r>
    <x v="117"/>
    <s v="CMP202604036"/>
    <s v="CUST101253"/>
    <x v="2"/>
    <s v="Red Non-Saleable"/>
    <x v="0"/>
    <s v="East"/>
    <s v="45-54"/>
    <n v="992"/>
    <n v="991"/>
    <n v="939"/>
    <n v="10"/>
    <n v="5"/>
    <n v="0"/>
    <n v="75.569999999999993"/>
    <x v="0"/>
    <n v="0.94752774974772958"/>
    <n v="1.0649627263045794E-2"/>
    <n v="0.5"/>
    <n v="0"/>
    <n v="0"/>
    <n v="15.113999999999999"/>
    <n v="7.5569999999999995"/>
    <n v="-1"/>
  </r>
  <r>
    <x v="117"/>
    <s v="CMP202604048"/>
    <s v="CUST100724"/>
    <x v="1"/>
    <s v="Green"/>
    <x v="1"/>
    <s v="Central"/>
    <s v="45-54"/>
    <n v="3771"/>
    <n v="2929"/>
    <n v="2812"/>
    <n v="203"/>
    <n v="103"/>
    <n v="10"/>
    <n v="581.45000000000005"/>
    <x v="548"/>
    <n v="0.96005462615227044"/>
    <n v="7.219061166429587E-2"/>
    <n v="0.5073891625615764"/>
    <n v="9.7087378640776698E-2"/>
    <n v="3.5561877667140826E-3"/>
    <n v="5.6451456310679617"/>
    <n v="2.8642857142857143"/>
    <n v="13.937397884598848"/>
  </r>
  <r>
    <x v="117"/>
    <s v="CMP202604060"/>
    <s v="CUST100309"/>
    <x v="2"/>
    <s v="Red Saleable"/>
    <x v="0"/>
    <s v="West"/>
    <s v="18-24"/>
    <n v="2771"/>
    <n v="2612"/>
    <n v="2499"/>
    <n v="71"/>
    <n v="33"/>
    <n v="1"/>
    <n v="224.54"/>
    <x v="549"/>
    <n v="0.95673813169984689"/>
    <n v="2.8411364545818326E-2"/>
    <n v="0.46478873239436619"/>
    <n v="3.0303030303030304E-2"/>
    <n v="4.0016006402561027E-4"/>
    <n v="6.8042424242424238"/>
    <n v="3.1625352112676057"/>
    <n v="1.9859267836465666"/>
  </r>
  <r>
    <x v="117"/>
    <s v="CMP202604076"/>
    <s v="CUST100412"/>
    <x v="0"/>
    <s v="Red Non-Saleable"/>
    <x v="0"/>
    <s v="West"/>
    <s v="55+"/>
    <n v="1334"/>
    <n v="984"/>
    <n v="908"/>
    <n v="24"/>
    <n v="12"/>
    <n v="0"/>
    <n v="106.76"/>
    <x v="0"/>
    <n v="0.92276422764227639"/>
    <n v="2.643171806167401E-2"/>
    <n v="0.5"/>
    <n v="0"/>
    <n v="0"/>
    <n v="8.8966666666666665"/>
    <n v="4.4483333333333333"/>
    <n v="-1"/>
  </r>
  <r>
    <x v="117"/>
    <s v="CMP202604079"/>
    <s v="CUST101115"/>
    <x v="1"/>
    <s v="Red Saleable"/>
    <x v="1"/>
    <s v="East"/>
    <s v="35-44"/>
    <n v="422"/>
    <n v="377"/>
    <n v="361"/>
    <n v="12"/>
    <n v="6"/>
    <n v="0"/>
    <n v="72.56"/>
    <x v="0"/>
    <n v="0.95755968169761274"/>
    <n v="3.3240997229916899E-2"/>
    <n v="0.5"/>
    <n v="0"/>
    <n v="0"/>
    <n v="12.093333333333334"/>
    <n v="6.0466666666666669"/>
    <n v="-1"/>
  </r>
  <r>
    <x v="118"/>
    <s v="CMP202604013"/>
    <s v="CUST100426"/>
    <x v="2"/>
    <s v="Amber"/>
    <x v="0"/>
    <s v="Central"/>
    <s v="25-34"/>
    <n v="4779"/>
    <n v="4512"/>
    <n v="4245"/>
    <n v="288"/>
    <n v="112"/>
    <n v="6"/>
    <n v="383.42"/>
    <x v="550"/>
    <n v="0.94082446808510634"/>
    <n v="6.7844522968197873E-2"/>
    <n v="0.3888888888888889"/>
    <n v="5.3571428571428568E-2"/>
    <n v="1.4134275618374558E-3"/>
    <n v="3.4233928571428573"/>
    <n v="1.3313194444444445"/>
    <n v="17.652704605915183"/>
  </r>
  <r>
    <x v="118"/>
    <s v="CMP202604033"/>
    <s v="CUST100428"/>
    <x v="0"/>
    <s v="Green"/>
    <x v="0"/>
    <s v="South"/>
    <s v="25-34"/>
    <n v="3709"/>
    <n v="3188"/>
    <n v="2869"/>
    <n v="179"/>
    <n v="94"/>
    <n v="7"/>
    <n v="443.33"/>
    <x v="551"/>
    <n v="0.89993726474278546"/>
    <n v="6.2391077030324156E-2"/>
    <n v="0.52513966480446927"/>
    <n v="7.4468085106382975E-2"/>
    <n v="2.4398745207389336E-3"/>
    <n v="4.7162765957446808"/>
    <n v="2.4767039106145252"/>
    <n v="13.373987774344169"/>
  </r>
  <r>
    <x v="118"/>
    <s v="CMP202604055"/>
    <s v="CUST100656"/>
    <x v="3"/>
    <s v="Red Non-Saleable"/>
    <x v="0"/>
    <s v="Central"/>
    <s v="45-54"/>
    <n v="754"/>
    <n v="644"/>
    <n v="594"/>
    <n v="14"/>
    <n v="7"/>
    <n v="0"/>
    <n v="100.14"/>
    <x v="0"/>
    <n v="0.92236024844720499"/>
    <n v="2.3569023569023569E-2"/>
    <n v="0.5"/>
    <n v="0"/>
    <n v="0"/>
    <n v="14.305714285714286"/>
    <n v="7.152857142857143"/>
    <n v="-1"/>
  </r>
  <r>
    <x v="119"/>
    <s v="CMP202604004"/>
    <s v="CUST100997"/>
    <x v="0"/>
    <s v="Amber"/>
    <x v="0"/>
    <s v="South"/>
    <s v="25-34"/>
    <n v="2270"/>
    <n v="1689"/>
    <n v="1527"/>
    <n v="95"/>
    <n v="45"/>
    <n v="2"/>
    <n v="212.33"/>
    <x v="552"/>
    <n v="0.9040852575488455"/>
    <n v="6.2213490504256709E-2"/>
    <n v="0.47368421052631576"/>
    <n v="4.4444444444444446E-2"/>
    <n v="1.3097576948264572E-3"/>
    <n v="4.7184444444444447"/>
    <n v="2.2350526315789474"/>
    <n v="5.6805915320491689"/>
  </r>
  <r>
    <x v="119"/>
    <s v="CMP202604012"/>
    <s v="CUST100580"/>
    <x v="0"/>
    <s v="Green"/>
    <x v="1"/>
    <s v="Central"/>
    <s v="35-44"/>
    <n v="2306"/>
    <n v="2281"/>
    <n v="2041"/>
    <n v="220"/>
    <n v="131"/>
    <n v="8"/>
    <n v="318.60000000000002"/>
    <x v="553"/>
    <n v="0.89478298991670324"/>
    <n v="0.10779029887310142"/>
    <n v="0.59545454545454546"/>
    <n v="6.1068702290076333E-2"/>
    <n v="3.9196472317491425E-3"/>
    <n v="2.4320610687022901"/>
    <n v="1.4481818181818182"/>
    <n v="28.335373509102318"/>
  </r>
  <r>
    <x v="119"/>
    <s v="CMP202604013"/>
    <s v="CUST101037"/>
    <x v="0"/>
    <s v="Red Non-Saleable"/>
    <x v="0"/>
    <s v="South"/>
    <s v="18-24"/>
    <n v="451"/>
    <n v="376"/>
    <n v="349"/>
    <n v="5"/>
    <n v="2"/>
    <n v="0"/>
    <n v="39.270000000000003"/>
    <x v="0"/>
    <n v="0.92819148936170215"/>
    <n v="1.4326647564469915E-2"/>
    <n v="0.4"/>
    <n v="0"/>
    <n v="0"/>
    <n v="19.635000000000002"/>
    <n v="7.854000000000001"/>
    <n v="-1"/>
  </r>
  <r>
    <x v="119"/>
    <s v="CMP202604015"/>
    <s v="CUST101424"/>
    <x v="0"/>
    <s v="Green"/>
    <x v="0"/>
    <s v="West"/>
    <s v="18-24"/>
    <n v="1354"/>
    <n v="1102"/>
    <n v="1013"/>
    <n v="99"/>
    <n v="55"/>
    <n v="3"/>
    <n v="145.49"/>
    <x v="554"/>
    <n v="0.91923774954627946"/>
    <n v="9.7729516288252716E-2"/>
    <n v="0.55555555555555558"/>
    <n v="5.4545454545454543E-2"/>
    <n v="2.9615004935834156E-3"/>
    <n v="2.6452727272727272"/>
    <n v="1.4695959595959598"/>
    <n v="19.197333150044678"/>
  </r>
  <r>
    <x v="119"/>
    <s v="CMP202604023"/>
    <s v="CUST100611"/>
    <x v="0"/>
    <s v="Green"/>
    <x v="0"/>
    <s v="North"/>
    <s v="18-24"/>
    <n v="4048"/>
    <n v="3405"/>
    <n v="3010"/>
    <n v="232"/>
    <n v="128"/>
    <n v="10"/>
    <n v="381.48"/>
    <x v="555"/>
    <n v="0.88399412628487517"/>
    <n v="7.7076411960132887E-2"/>
    <n v="0.55172413793103448"/>
    <n v="7.8125E-2"/>
    <n v="3.3222591362126247E-3"/>
    <n v="2.9803125000000001"/>
    <n v="1.6443103448275862"/>
    <n v="19.065848799412812"/>
  </r>
  <r>
    <x v="119"/>
    <s v="CMP202604047"/>
    <s v="CUST100617"/>
    <x v="1"/>
    <s v="Green"/>
    <x v="1"/>
    <s v="East"/>
    <s v="45-54"/>
    <n v="4430"/>
    <n v="4348"/>
    <n v="4203"/>
    <n v="297"/>
    <n v="151"/>
    <n v="13"/>
    <n v="928.19"/>
    <x v="556"/>
    <n v="0.96665133394664216"/>
    <n v="7.0663811563169171E-2"/>
    <n v="0.50841750841750843"/>
    <n v="8.6092715231788075E-2"/>
    <n v="3.0930287889602663E-3"/>
    <n v="6.1469536423841067"/>
    <n v="3.1252188552188556"/>
    <n v="19.208297870048156"/>
  </r>
  <r>
    <x v="119"/>
    <s v="CMP202604052"/>
    <s v="CUST100936"/>
    <x v="2"/>
    <s v="Red Saleable"/>
    <x v="1"/>
    <s v="East"/>
    <s v="18-24"/>
    <n v="2131"/>
    <n v="1924"/>
    <n v="1841"/>
    <n v="104"/>
    <n v="66"/>
    <n v="3"/>
    <n v="171.76"/>
    <x v="557"/>
    <n v="0.9568607068607069"/>
    <n v="5.6491037479630635E-2"/>
    <n v="0.63461538461538458"/>
    <n v="4.5454545454545456E-2"/>
    <n v="1.6295491580662683E-3"/>
    <n v="2.6024242424242421"/>
    <n v="1.6515384615384614"/>
    <n v="21.078714485328362"/>
  </r>
  <r>
    <x v="119"/>
    <s v="CMP202604074"/>
    <s v="CUST101141"/>
    <x v="0"/>
    <s v="Amber"/>
    <x v="0"/>
    <s v="West"/>
    <s v="18-24"/>
    <n v="2670"/>
    <n v="2354"/>
    <n v="2156"/>
    <n v="129"/>
    <n v="60"/>
    <n v="4"/>
    <n v="321.3"/>
    <x v="558"/>
    <n v="0.91588785046728971"/>
    <n v="5.9833024118738407E-2"/>
    <n v="0.46511627906976744"/>
    <n v="6.6666666666666666E-2"/>
    <n v="1.8552875695732839E-3"/>
    <n v="5.3550000000000004"/>
    <n v="2.4906976744186049"/>
    <n v="12.468036103330219"/>
  </r>
  <r>
    <x v="119"/>
    <s v="CMP202604075"/>
    <s v="CUST100415"/>
    <x v="1"/>
    <s v="Red Saleable"/>
    <x v="1"/>
    <s v="South"/>
    <s v="25-34"/>
    <n v="955"/>
    <n v="713"/>
    <n v="686"/>
    <n v="26"/>
    <n v="11"/>
    <n v="1"/>
    <n v="143.55000000000001"/>
    <x v="559"/>
    <n v="0.9621318373071529"/>
    <n v="3.7900874635568516E-2"/>
    <n v="0.42307692307692307"/>
    <n v="9.0909090909090912E-2"/>
    <n v="1.4577259475218659E-3"/>
    <n v="13.05"/>
    <n v="5.5211538461538465"/>
    <n v="9.4677115987460816"/>
  </r>
  <r>
    <x v="120"/>
    <s v="CMP202605020"/>
    <s v="CUST100873"/>
    <x v="1"/>
    <s v="Red Non-Saleable"/>
    <x v="0"/>
    <s v="Central"/>
    <s v="25-34"/>
    <n v="4129"/>
    <n v="4075"/>
    <n v="3945"/>
    <n v="107"/>
    <n v="38"/>
    <n v="0"/>
    <n v="688.88"/>
    <x v="0"/>
    <n v="0.96809815950920242"/>
    <n v="2.7122940430925221E-2"/>
    <n v="0.35514018691588783"/>
    <n v="0"/>
    <n v="0"/>
    <n v="18.12842105263158"/>
    <n v="6.4381308411214953"/>
    <n v="-1"/>
  </r>
  <r>
    <x v="120"/>
    <s v="CMP202605049"/>
    <s v="CUST100094"/>
    <x v="1"/>
    <s v="Amber"/>
    <x v="0"/>
    <s v="South"/>
    <s v="45-54"/>
    <n v="2603"/>
    <n v="2504"/>
    <n v="2463"/>
    <n v="133"/>
    <n v="49"/>
    <n v="2"/>
    <n v="391.27"/>
    <x v="560"/>
    <n v="0.98362619808306706"/>
    <n v="5.3999187982135606E-2"/>
    <n v="0.36842105263157893"/>
    <n v="4.0816326530612242E-2"/>
    <n v="8.1201786439301664E-4"/>
    <n v="7.9851020408163258"/>
    <n v="2.94187969924812"/>
    <n v="4.939632478850922"/>
  </r>
  <r>
    <x v="120"/>
    <s v="CMP202605051"/>
    <s v="CUST100868"/>
    <x v="1"/>
    <s v="Green"/>
    <x v="0"/>
    <s v="Central"/>
    <s v="25-34"/>
    <n v="2059"/>
    <n v="1814"/>
    <n v="1753"/>
    <n v="68"/>
    <n v="24"/>
    <n v="1"/>
    <n v="291.32"/>
    <x v="561"/>
    <n v="0.96637265711135611"/>
    <n v="3.8790644609241302E-2"/>
    <n v="0.35294117647058826"/>
    <n v="4.1666666666666664E-2"/>
    <n v="5.7045065601825438E-4"/>
    <n v="12.138333333333334"/>
    <n v="4.2841176470588236"/>
    <n v="1.8678772483866541"/>
  </r>
  <r>
    <x v="120"/>
    <s v="CMP202605062"/>
    <s v="CUST101058"/>
    <x v="2"/>
    <s v="Green"/>
    <x v="0"/>
    <s v="West"/>
    <s v="18-24"/>
    <n v="3619"/>
    <n v="3106"/>
    <n v="2944"/>
    <n v="159"/>
    <n v="54"/>
    <n v="3"/>
    <n v="220.95"/>
    <x v="562"/>
    <n v="0.94784288473921441"/>
    <n v="5.400815217391304E-2"/>
    <n v="0.33962264150943394"/>
    <n v="5.5555555555555552E-2"/>
    <n v="1.0190217391304348E-3"/>
    <n v="4.0916666666666668"/>
    <n v="1.3896226415094339"/>
    <n v="10.600543109300748"/>
  </r>
  <r>
    <x v="121"/>
    <s v="CMP202605027"/>
    <s v="CUST100063"/>
    <x v="1"/>
    <s v="Green"/>
    <x v="0"/>
    <s v="South"/>
    <s v="35-44"/>
    <n v="4663"/>
    <n v="3685"/>
    <n v="3532"/>
    <n v="237"/>
    <n v="106"/>
    <n v="7"/>
    <n v="657.68"/>
    <x v="563"/>
    <n v="0.95848032564450469"/>
    <n v="6.7100792751981886E-2"/>
    <n v="0.4472573839662447"/>
    <n v="6.6037735849056603E-2"/>
    <n v="1.9818799546998866E-3"/>
    <n v="6.2045283018867918"/>
    <n v="2.7750210970464133"/>
    <n v="14.100291935287679"/>
  </r>
  <r>
    <x v="121"/>
    <s v="CMP202605044"/>
    <s v="CUST101089"/>
    <x v="2"/>
    <s v="Amber"/>
    <x v="0"/>
    <s v="West"/>
    <s v="55+"/>
    <n v="1414"/>
    <n v="1202"/>
    <n v="1139"/>
    <n v="47"/>
    <n v="19"/>
    <n v="1"/>
    <n v="109.1"/>
    <x v="564"/>
    <n v="0.94758735440931785"/>
    <n v="4.1264266900790166E-2"/>
    <n v="0.40425531914893614"/>
    <n v="5.2631578947368418E-2"/>
    <n v="8.7796312554872696E-4"/>
    <n v="5.7421052631578942"/>
    <n v="2.3212765957446808"/>
    <n v="11.152520623281394"/>
  </r>
  <r>
    <x v="121"/>
    <s v="CMP202605074"/>
    <s v="CUST100458"/>
    <x v="3"/>
    <s v="Red Saleable"/>
    <x v="0"/>
    <s v="North"/>
    <s v="35-44"/>
    <n v="3749"/>
    <n v="2925"/>
    <n v="2697"/>
    <n v="111"/>
    <n v="56"/>
    <n v="1"/>
    <n v="435.13"/>
    <x v="565"/>
    <n v="0.92205128205128206"/>
    <n v="4.1156840934371525E-2"/>
    <n v="0.50450450450450446"/>
    <n v="1.7857142857142856E-2"/>
    <n v="3.707823507601038E-4"/>
    <n v="7.7701785714285716"/>
    <n v="3.9200900900900901"/>
    <n v="2.2064900144784318"/>
  </r>
  <r>
    <x v="122"/>
    <s v="CMP202605032"/>
    <s v="CUST100087"/>
    <x v="2"/>
    <s v="Red Non-Saleable"/>
    <x v="0"/>
    <s v="South"/>
    <s v="25-34"/>
    <n v="1115"/>
    <n v="1075"/>
    <n v="1025"/>
    <n v="22"/>
    <n v="11"/>
    <n v="0"/>
    <n v="75.510000000000005"/>
    <x v="0"/>
    <n v="0.95348837209302328"/>
    <n v="2.1463414634146343E-2"/>
    <n v="0.5"/>
    <n v="0"/>
    <n v="0"/>
    <n v="6.8645454545454552"/>
    <n v="3.4322727272727276"/>
    <n v="-1"/>
  </r>
  <r>
    <x v="122"/>
    <s v="CMP202605034"/>
    <s v="CUST101235"/>
    <x v="3"/>
    <s v="Red Non-Saleable"/>
    <x v="0"/>
    <s v="South"/>
    <s v="18-24"/>
    <n v="3215"/>
    <n v="3074"/>
    <n v="2772"/>
    <n v="9"/>
    <n v="4"/>
    <n v="0"/>
    <n v="483.31"/>
    <x v="0"/>
    <n v="0.90175666883539363"/>
    <n v="3.246753246753247E-3"/>
    <n v="0.44444444444444442"/>
    <n v="0"/>
    <n v="0"/>
    <n v="120.8275"/>
    <n v="53.701111111111111"/>
    <n v="-1"/>
  </r>
  <r>
    <x v="122"/>
    <s v="CMP202605053"/>
    <s v="CUST100416"/>
    <x v="0"/>
    <s v="Amber"/>
    <x v="0"/>
    <s v="East"/>
    <s v="35-44"/>
    <n v="1392"/>
    <n v="1315"/>
    <n v="1189"/>
    <n v="58"/>
    <n v="26"/>
    <n v="1"/>
    <n v="178.23"/>
    <x v="566"/>
    <n v="0.90418250950570345"/>
    <n v="4.878048780487805E-2"/>
    <n v="0.44827586206896552"/>
    <n v="3.8461538461538464E-2"/>
    <n v="8.4104289318755253E-4"/>
    <n v="6.8549999999999995"/>
    <n v="3.0729310344827585"/>
    <n v="5.821410536946642"/>
  </r>
  <r>
    <x v="122"/>
    <s v="CMP202605057"/>
    <s v="CUST100953"/>
    <x v="0"/>
    <s v="Amber"/>
    <x v="0"/>
    <s v="West"/>
    <s v="35-44"/>
    <n v="4489"/>
    <n v="4097"/>
    <n v="3665"/>
    <n v="243"/>
    <n v="145"/>
    <n v="10"/>
    <n v="472.11"/>
    <x v="567"/>
    <n v="0.89455699292165003"/>
    <n v="6.6302864938608458E-2"/>
    <n v="0.5967078189300411"/>
    <n v="6.8965517241379309E-2"/>
    <n v="2.7285129604365621E-3"/>
    <n v="3.2559310344827588"/>
    <n v="1.9428395061728396"/>
    <n v="18.696299591196965"/>
  </r>
  <r>
    <x v="122"/>
    <s v="CMP202605070"/>
    <s v="CUST101060"/>
    <x v="1"/>
    <s v="Red Saleable"/>
    <x v="1"/>
    <s v="Central"/>
    <s v="45-54"/>
    <n v="1753"/>
    <n v="1507"/>
    <n v="1465"/>
    <n v="37"/>
    <n v="19"/>
    <n v="1"/>
    <n v="263.55"/>
    <x v="568"/>
    <n v="0.97213005972130062"/>
    <n v="2.5255972696245733E-2"/>
    <n v="0.51351351351351349"/>
    <n v="5.2631578947368418E-2"/>
    <n v="6.8259385665529011E-4"/>
    <n v="13.871052631578948"/>
    <n v="7.1229729729729732"/>
    <n v="3.2478467084044773"/>
  </r>
  <r>
    <x v="123"/>
    <s v="CMP202605015"/>
    <s v="CUST100865"/>
    <x v="0"/>
    <s v="Amber"/>
    <x v="0"/>
    <s v="North"/>
    <s v="18-24"/>
    <n v="2056"/>
    <n v="1815"/>
    <n v="1619"/>
    <n v="108"/>
    <n v="45"/>
    <n v="3"/>
    <n v="215.8"/>
    <x v="569"/>
    <n v="0.8920110192837466"/>
    <n v="6.6707844348363188E-2"/>
    <n v="0.41666666666666669"/>
    <n v="6.6666666666666666E-2"/>
    <n v="1.8529956763434219E-3"/>
    <n v="4.7955555555555556"/>
    <n v="1.9981481481481482"/>
    <n v="16.540268767377199"/>
  </r>
  <r>
    <x v="123"/>
    <s v="CMP202605023"/>
    <s v="CUST100443"/>
    <x v="0"/>
    <s v="Red Non-Saleable"/>
    <x v="0"/>
    <s v="West"/>
    <s v="25-34"/>
    <n v="2696"/>
    <n v="2128"/>
    <n v="1910"/>
    <n v="45"/>
    <n v="23"/>
    <n v="0"/>
    <n v="281.89999999999998"/>
    <x v="0"/>
    <n v="0.89755639097744366"/>
    <n v="2.356020942408377E-2"/>
    <n v="0.51111111111111107"/>
    <n v="0"/>
    <n v="0"/>
    <n v="12.256521739130434"/>
    <n v="6.264444444444444"/>
    <n v="-1"/>
  </r>
  <r>
    <x v="123"/>
    <s v="CMP202605025"/>
    <s v="CUST101277"/>
    <x v="1"/>
    <s v="Red Non-Saleable"/>
    <x v="0"/>
    <s v="East"/>
    <s v="45-54"/>
    <n v="2149"/>
    <n v="1720"/>
    <n v="1645"/>
    <n v="18"/>
    <n v="7"/>
    <n v="0"/>
    <n v="317.42"/>
    <x v="0"/>
    <n v="0.95639534883720934"/>
    <n v="1.094224924012158E-2"/>
    <n v="0.3888888888888889"/>
    <n v="0"/>
    <n v="0"/>
    <n v="45.345714285714287"/>
    <n v="17.634444444444444"/>
    <n v="-1"/>
  </r>
  <r>
    <x v="123"/>
    <s v="CMP202605037"/>
    <s v="CUST101295"/>
    <x v="2"/>
    <s v="Green"/>
    <x v="1"/>
    <s v="West"/>
    <s v="45-54"/>
    <n v="4050"/>
    <n v="3758"/>
    <n v="3601"/>
    <n v="311"/>
    <n v="184"/>
    <n v="21"/>
    <n v="337.34"/>
    <x v="570"/>
    <n v="0.95822245875465673"/>
    <n v="8.6364898639266871E-2"/>
    <n v="0.59163987138263663"/>
    <n v="0.11413043478260869"/>
    <n v="5.8317134129408496E-3"/>
    <n v="1.8333695652173911"/>
    <n v="1.0846945337620577"/>
    <n v="82.946404221260451"/>
  </r>
  <r>
    <x v="123"/>
    <s v="CMP202605038"/>
    <s v="CUST100622"/>
    <x v="2"/>
    <s v="Red Non-Saleable"/>
    <x v="1"/>
    <s v="West"/>
    <s v="35-44"/>
    <n v="4855"/>
    <n v="3672"/>
    <n v="3477"/>
    <n v="10"/>
    <n v="6"/>
    <n v="0"/>
    <n v="333.05"/>
    <x v="0"/>
    <n v="0.94689542483660127"/>
    <n v="2.8760425654299686E-3"/>
    <n v="0.6"/>
    <n v="0"/>
    <n v="0"/>
    <n v="55.508333333333333"/>
    <n v="33.305"/>
    <n v="-1"/>
  </r>
  <r>
    <x v="123"/>
    <s v="CMP202605064"/>
    <s v="CUST100236"/>
    <x v="2"/>
    <s v="Red Non-Saleable"/>
    <x v="1"/>
    <s v="North"/>
    <s v="55+"/>
    <n v="4989"/>
    <n v="4131"/>
    <n v="3872"/>
    <n v="39"/>
    <n v="21"/>
    <n v="0"/>
    <n v="300.27999999999997"/>
    <x v="0"/>
    <n v="0.93730331638828368"/>
    <n v="1.0072314049586776E-2"/>
    <n v="0.53846153846153844"/>
    <n v="0"/>
    <n v="0"/>
    <n v="14.299047619047618"/>
    <n v="7.6994871794871784"/>
    <n v="-1"/>
  </r>
  <r>
    <x v="123"/>
    <s v="CMP202605067"/>
    <s v="CUST100146"/>
    <x v="3"/>
    <s v="Green"/>
    <x v="0"/>
    <s v="East"/>
    <s v="25-34"/>
    <n v="1736"/>
    <n v="1398"/>
    <n v="1311"/>
    <n v="97"/>
    <n v="47"/>
    <n v="3"/>
    <n v="236.11"/>
    <x v="571"/>
    <n v="0.9377682403433476"/>
    <n v="7.3989321128909227E-2"/>
    <n v="0.4845360824742268"/>
    <n v="6.3829787234042548E-2"/>
    <n v="2.2883295194508009E-3"/>
    <n v="5.0236170212765963"/>
    <n v="2.4341237113402063"/>
    <n v="15.820465037482528"/>
  </r>
  <r>
    <x v="124"/>
    <s v="CMP202605013"/>
    <s v="CUST100506"/>
    <x v="1"/>
    <s v="Red Saleable"/>
    <x v="0"/>
    <s v="North"/>
    <s v="55+"/>
    <n v="4912"/>
    <n v="4693"/>
    <n v="4574"/>
    <n v="137"/>
    <n v="45"/>
    <n v="1"/>
    <n v="834.42"/>
    <x v="572"/>
    <n v="0.97464308544640954"/>
    <n v="2.9951902055094008E-2"/>
    <n v="0.32846715328467152"/>
    <n v="2.2222222222222223E-2"/>
    <n v="2.1862702229995628E-4"/>
    <n v="18.542666666666666"/>
    <n v="6.0906569343065691"/>
    <n v="-3.7055679394070083E-2"/>
  </r>
  <r>
    <x v="124"/>
    <s v="CMP202605015"/>
    <s v="CUST100091"/>
    <x v="2"/>
    <s v="Red Saleable"/>
    <x v="0"/>
    <s v="South"/>
    <s v="35-44"/>
    <n v="3991"/>
    <n v="3326"/>
    <n v="3209"/>
    <n v="142"/>
    <n v="66"/>
    <n v="1"/>
    <n v="264.63"/>
    <x v="573"/>
    <n v="0.96482260974143119"/>
    <n v="4.4250545341227798E-2"/>
    <n v="0.46478873239436619"/>
    <n v="1.5151515151515152E-2"/>
    <n v="3.1162355874104082E-4"/>
    <n v="4.0095454545454547"/>
    <n v="1.8635915492957746"/>
    <n v="1.6652684880776931"/>
  </r>
  <r>
    <x v="124"/>
    <s v="CMP202605032"/>
    <s v="CUST100260"/>
    <x v="0"/>
    <s v="Green"/>
    <x v="0"/>
    <s v="East"/>
    <s v="55+"/>
    <n v="4437"/>
    <n v="4034"/>
    <n v="3637"/>
    <n v="288"/>
    <n v="128"/>
    <n v="8"/>
    <n v="438.04"/>
    <x v="574"/>
    <n v="0.90158651462568173"/>
    <n v="7.9186142425075615E-2"/>
    <n v="0.44444444444444442"/>
    <n v="6.25E-2"/>
    <n v="2.1996150673632116E-3"/>
    <n v="3.4221875000000002"/>
    <n v="1.5209722222222224"/>
    <n v="25.833394210574376"/>
  </r>
  <r>
    <x v="124"/>
    <s v="CMP202605054"/>
    <s v="CUST100878"/>
    <x v="2"/>
    <s v="Amber"/>
    <x v="1"/>
    <s v="South"/>
    <s v="45-54"/>
    <n v="4829"/>
    <n v="4796"/>
    <n v="4529"/>
    <n v="323"/>
    <n v="192"/>
    <n v="11"/>
    <n v="354.94"/>
    <x v="575"/>
    <n v="0.94432860717264389"/>
    <n v="7.1318171781850292E-2"/>
    <n v="0.59442724458204332"/>
    <n v="5.7291666666666664E-2"/>
    <n v="2.428792227864871E-3"/>
    <n v="1.8486458333333333"/>
    <n v="1.0988854489164086"/>
    <n v="46.926691835239758"/>
  </r>
  <r>
    <x v="124"/>
    <s v="CMP202605076"/>
    <s v="CUST100800"/>
    <x v="0"/>
    <s v="Red Saleable"/>
    <x v="1"/>
    <s v="East"/>
    <s v="55+"/>
    <n v="775"/>
    <n v="560"/>
    <n v="511"/>
    <n v="31"/>
    <n v="21"/>
    <n v="1"/>
    <n v="76.48"/>
    <x v="576"/>
    <n v="0.91249999999999998"/>
    <n v="6.0665362035225046E-2"/>
    <n v="0.67741935483870963"/>
    <n v="4.7619047619047616E-2"/>
    <n v="1.9569471624266144E-3"/>
    <n v="3.6419047619047622"/>
    <n v="2.4670967741935486"/>
    <n v="10.787787656903765"/>
  </r>
  <r>
    <x v="125"/>
    <s v="CMP202605033"/>
    <s v="CUST100047"/>
    <x v="2"/>
    <s v="Amber"/>
    <x v="0"/>
    <s v="North"/>
    <s v="25-34"/>
    <n v="660"/>
    <n v="487"/>
    <n v="453"/>
    <n v="25"/>
    <n v="13"/>
    <n v="1"/>
    <n v="41.24"/>
    <x v="577"/>
    <n v="0.93018480492813138"/>
    <n v="5.518763796909492E-2"/>
    <n v="0.52"/>
    <n v="7.6923076923076927E-2"/>
    <n v="2.2075055187637969E-3"/>
    <n v="3.1723076923076925"/>
    <n v="1.6496000000000002"/>
    <n v="23.909311348205623"/>
  </r>
  <r>
    <x v="125"/>
    <s v="CMP202605047"/>
    <s v="CUST100217"/>
    <x v="3"/>
    <s v="Red Saleable"/>
    <x v="0"/>
    <s v="South"/>
    <s v="18-24"/>
    <n v="418"/>
    <n v="380"/>
    <n v="362"/>
    <n v="12"/>
    <n v="5"/>
    <n v="0"/>
    <n v="59.36"/>
    <x v="0"/>
    <n v="0.95263157894736838"/>
    <n v="3.3149171270718231E-2"/>
    <n v="0.41666666666666669"/>
    <n v="0"/>
    <n v="0"/>
    <n v="11.872"/>
    <n v="4.9466666666666663"/>
    <n v="-1"/>
  </r>
  <r>
    <x v="126"/>
    <s v="CMP202605010"/>
    <s v="CUST100938"/>
    <x v="0"/>
    <s v="Green"/>
    <x v="0"/>
    <s v="East"/>
    <s v="25-34"/>
    <n v="4042"/>
    <n v="3215"/>
    <n v="2863"/>
    <n v="232"/>
    <n v="118"/>
    <n v="8"/>
    <n v="421.64"/>
    <x v="578"/>
    <n v="0.89051321928460347"/>
    <n v="8.1033880544882989E-2"/>
    <n v="0.50862068965517238"/>
    <n v="6.7796610169491525E-2"/>
    <n v="2.7942717429269995E-3"/>
    <n v="3.5732203389830506"/>
    <n v="1.8174137931034482"/>
    <n v="18.539275211080543"/>
  </r>
  <r>
    <x v="126"/>
    <s v="CMP202605057"/>
    <s v="CUST101017"/>
    <x v="2"/>
    <s v="Red Saleable"/>
    <x v="0"/>
    <s v="South"/>
    <s v="35-44"/>
    <n v="1581"/>
    <n v="1388"/>
    <n v="1329"/>
    <n v="28"/>
    <n v="13"/>
    <n v="0"/>
    <n v="103.25"/>
    <x v="0"/>
    <n v="0.95749279538904897"/>
    <n v="2.1068472535741158E-2"/>
    <n v="0.4642857142857143"/>
    <n v="0"/>
    <n v="0"/>
    <n v="7.9423076923076925"/>
    <n v="3.6875"/>
    <n v="-1"/>
  </r>
  <r>
    <x v="126"/>
    <s v="CMP202605064"/>
    <s v="CUST101457"/>
    <x v="0"/>
    <s v="Green"/>
    <x v="1"/>
    <s v="Central"/>
    <s v="18-24"/>
    <n v="3362"/>
    <n v="2984"/>
    <n v="2661"/>
    <n v="235"/>
    <n v="141"/>
    <n v="12"/>
    <n v="331.94"/>
    <x v="579"/>
    <n v="0.89175603217158173"/>
    <n v="8.8312664411875241E-2"/>
    <n v="0.6"/>
    <n v="8.5106382978723402E-2"/>
    <n v="4.5095828635851182E-3"/>
    <n v="2.3541843971631207"/>
    <n v="1.4125106382978723"/>
    <n v="27.816623486172197"/>
  </r>
  <r>
    <x v="126"/>
    <s v="CMP202605065"/>
    <s v="CUST100832"/>
    <x v="2"/>
    <s v="Amber"/>
    <x v="0"/>
    <s v="West"/>
    <s v="25-34"/>
    <n v="3202"/>
    <n v="2822"/>
    <n v="2621"/>
    <n v="137"/>
    <n v="63"/>
    <n v="2"/>
    <n v="213.24"/>
    <x v="580"/>
    <n v="0.92877391920623675"/>
    <n v="5.2270125906142696E-2"/>
    <n v="0.45985401459854014"/>
    <n v="3.1746031746031744E-2"/>
    <n v="7.6306753147653572E-4"/>
    <n v="3.3847619047619051"/>
    <n v="1.5564963503649636"/>
    <n v="8.0407053085725"/>
  </r>
  <r>
    <x v="127"/>
    <s v="CMP202605001"/>
    <s v="CUST101332"/>
    <x v="3"/>
    <s v="Red Non-Saleable"/>
    <x v="0"/>
    <s v="South"/>
    <s v="25-34"/>
    <n v="3098"/>
    <n v="2867"/>
    <n v="2672"/>
    <n v="33"/>
    <n v="17"/>
    <n v="0"/>
    <n v="401.48"/>
    <x v="0"/>
    <n v="0.93198465294733168"/>
    <n v="1.2350299401197605E-2"/>
    <n v="0.51515151515151514"/>
    <n v="0"/>
    <n v="0"/>
    <n v="23.616470588235295"/>
    <n v="12.166060606060606"/>
    <n v="-1"/>
  </r>
  <r>
    <x v="127"/>
    <s v="CMP202605024"/>
    <s v="CUST100619"/>
    <x v="0"/>
    <s v="Green"/>
    <x v="0"/>
    <s v="West"/>
    <s v="35-44"/>
    <n v="2615"/>
    <n v="2461"/>
    <n v="2259"/>
    <n v="215"/>
    <n v="92"/>
    <n v="5"/>
    <n v="336.06"/>
    <x v="581"/>
    <n v="0.91791954490044703"/>
    <n v="9.5174856131031424E-2"/>
    <n v="0.42790697674418604"/>
    <n v="5.434782608695652E-2"/>
    <n v="2.213368747233289E-3"/>
    <n v="3.6528260869565217"/>
    <n v="1.5630697674418605"/>
    <n v="15.849104326608344"/>
  </r>
  <r>
    <x v="127"/>
    <s v="CMP202605038"/>
    <s v="CUST100710"/>
    <x v="2"/>
    <s v="Green"/>
    <x v="0"/>
    <s v="North"/>
    <s v="45-54"/>
    <n v="3261"/>
    <n v="2758"/>
    <n v="2631"/>
    <n v="186"/>
    <n v="76"/>
    <n v="5"/>
    <n v="216.8"/>
    <x v="582"/>
    <n v="0.95395213923132705"/>
    <n v="7.0695553021664762E-2"/>
    <n v="0.40860215053763443"/>
    <n v="6.5789473684210523E-2"/>
    <n v="1.9004180919802356E-3"/>
    <n v="2.8526315789473684"/>
    <n v="1.1655913978494625"/>
    <n v="34.271402214022139"/>
  </r>
  <r>
    <x v="127"/>
    <s v="CMP202605038"/>
    <s v="CUST101406"/>
    <x v="2"/>
    <s v="Amber"/>
    <x v="0"/>
    <s v="East"/>
    <s v="18-24"/>
    <n v="3212"/>
    <n v="2619"/>
    <n v="2470"/>
    <n v="158"/>
    <n v="75"/>
    <n v="3"/>
    <n v="238.1"/>
    <x v="583"/>
    <n v="0.94310805651011842"/>
    <n v="6.396761133603239E-2"/>
    <n v="0.47468354430379744"/>
    <n v="0.04"/>
    <n v="1.2145748987854252E-3"/>
    <n v="3.1746666666666665"/>
    <n v="1.5069620253164557"/>
    <n v="11.182150356992862"/>
  </r>
  <r>
    <x v="127"/>
    <s v="CMP202605061"/>
    <s v="CUST101482"/>
    <x v="2"/>
    <s v="Red Non-Saleable"/>
    <x v="0"/>
    <s v="North"/>
    <s v="18-24"/>
    <n v="1321"/>
    <n v="1275"/>
    <n v="1175"/>
    <n v="4"/>
    <n v="2"/>
    <n v="0"/>
    <n v="111.42"/>
    <x v="0"/>
    <n v="0.92156862745098034"/>
    <n v="3.4042553191489361E-3"/>
    <n v="0.5"/>
    <n v="0"/>
    <n v="0"/>
    <n v="55.71"/>
    <n v="27.855"/>
    <n v="-1"/>
  </r>
  <r>
    <x v="128"/>
    <s v="CMP202605031"/>
    <s v="CUST100012"/>
    <x v="1"/>
    <s v="Red Saleable"/>
    <x v="0"/>
    <s v="North"/>
    <s v="35-44"/>
    <n v="662"/>
    <n v="599"/>
    <n v="577"/>
    <n v="20"/>
    <n v="6"/>
    <n v="0"/>
    <n v="95.16"/>
    <x v="0"/>
    <n v="0.96327212020033393"/>
    <n v="3.4662045060658578E-2"/>
    <n v="0.3"/>
    <n v="0"/>
    <n v="0"/>
    <n v="15.86"/>
    <n v="4.758"/>
    <n v="-1"/>
  </r>
  <r>
    <x v="128"/>
    <s v="CMP202605032"/>
    <s v="CUST100010"/>
    <x v="2"/>
    <s v="Green"/>
    <x v="0"/>
    <s v="East"/>
    <s v="35-44"/>
    <n v="3655"/>
    <n v="2875"/>
    <n v="2668"/>
    <n v="210"/>
    <n v="109"/>
    <n v="9"/>
    <n v="238.63"/>
    <x v="584"/>
    <n v="0.92800000000000005"/>
    <n v="7.8710644677661173E-2"/>
    <n v="0.51904761904761909"/>
    <n v="8.2568807339449546E-2"/>
    <n v="3.373313343328336E-3"/>
    <n v="2.1892660550458714"/>
    <n v="1.1363333333333334"/>
    <n v="29.507899258265937"/>
  </r>
  <r>
    <x v="128"/>
    <s v="CMP202605033"/>
    <s v="CUST100961"/>
    <x v="2"/>
    <s v="Red Non-Saleable"/>
    <x v="0"/>
    <s v="East"/>
    <s v="25-34"/>
    <n v="2142"/>
    <n v="1737"/>
    <n v="1624"/>
    <n v="23"/>
    <n v="9"/>
    <n v="0"/>
    <n v="135.81"/>
    <x v="0"/>
    <n v="0.9349453080023028"/>
    <n v="1.416256157635468E-2"/>
    <n v="0.39130434782608697"/>
    <n v="0"/>
    <n v="0"/>
    <n v="15.09"/>
    <n v="5.9047826086956521"/>
    <n v="-1"/>
  </r>
  <r>
    <x v="128"/>
    <s v="CMP202605071"/>
    <s v="CUST100874"/>
    <x v="0"/>
    <s v="Green"/>
    <x v="0"/>
    <s v="South"/>
    <s v="35-44"/>
    <n v="2047"/>
    <n v="1683"/>
    <n v="1523"/>
    <n v="139"/>
    <n v="84"/>
    <n v="8"/>
    <n v="240.65"/>
    <x v="585"/>
    <n v="0.90493166963755201"/>
    <n v="9.1267235718975701E-2"/>
    <n v="0.60431654676258995"/>
    <n v="9.5238095238095233E-2"/>
    <n v="5.2527905449770186E-3"/>
    <n v="2.8648809523809526"/>
    <n v="1.7312949640287769"/>
    <n v="34.134427591938504"/>
  </r>
  <r>
    <x v="129"/>
    <s v="CMP202605021"/>
    <s v="CUST100117"/>
    <x v="2"/>
    <s v="Amber"/>
    <x v="1"/>
    <s v="North"/>
    <s v="25-34"/>
    <n v="1300"/>
    <n v="1014"/>
    <n v="953"/>
    <n v="70"/>
    <n v="41"/>
    <n v="2"/>
    <n v="81.849999999999994"/>
    <x v="586"/>
    <n v="0.93984220907297833"/>
    <n v="7.3452256033578175E-2"/>
    <n v="0.58571428571428574"/>
    <n v="4.878048780487805E-2"/>
    <n v="2.0986358866736622E-3"/>
    <n v="1.9963414634146339"/>
    <n v="1.1692857142857143"/>
    <n v="33.979230299328044"/>
  </r>
  <r>
    <x v="129"/>
    <s v="CMP202605022"/>
    <s v="CUST100001"/>
    <x v="2"/>
    <s v="Green"/>
    <x v="0"/>
    <s v="Central"/>
    <s v="45-54"/>
    <n v="3304"/>
    <n v="2648"/>
    <n v="2449"/>
    <n v="171"/>
    <n v="69"/>
    <n v="3"/>
    <n v="213.88"/>
    <x v="587"/>
    <n v="0.92484894259818728"/>
    <n v="6.9824418129848922E-2"/>
    <n v="0.40350877192982454"/>
    <n v="4.3478260869565216E-2"/>
    <n v="1.2249897917517355E-3"/>
    <n v="3.0997101449275362"/>
    <n v="1.2507602339181287"/>
    <n v="19.079250046755192"/>
  </r>
  <r>
    <x v="129"/>
    <s v="CMP202605038"/>
    <s v="CUST100711"/>
    <x v="0"/>
    <s v="Amber"/>
    <x v="0"/>
    <s v="West"/>
    <s v="45-54"/>
    <n v="2166"/>
    <n v="1852"/>
    <n v="1742"/>
    <n v="118"/>
    <n v="59"/>
    <n v="5"/>
    <n v="190.29"/>
    <x v="588"/>
    <n v="0.94060475161987045"/>
    <n v="6.7738231917336397E-2"/>
    <n v="0.5"/>
    <n v="8.4745762711864403E-2"/>
    <n v="2.8702640642939152E-3"/>
    <n v="3.2252542372881354"/>
    <n v="1.6126271186440677"/>
    <n v="23.115245152136215"/>
  </r>
  <r>
    <x v="129"/>
    <s v="CMP202605056"/>
    <s v="CUST100838"/>
    <x v="1"/>
    <s v="Green"/>
    <x v="0"/>
    <s v="East"/>
    <s v="25-34"/>
    <n v="3880"/>
    <n v="3506"/>
    <n v="3448"/>
    <n v="174"/>
    <n v="71"/>
    <n v="5"/>
    <n v="540.07000000000005"/>
    <x v="589"/>
    <n v="0.9834569309754706"/>
    <n v="5.0464037122969839E-2"/>
    <n v="0.40804597701149425"/>
    <n v="7.0422535211267609E-2"/>
    <n v="1.4501160092807424E-3"/>
    <n v="7.6066197183098598"/>
    <n v="3.1038505747126441"/>
    <n v="7.2894809932045828"/>
  </r>
  <r>
    <x v="129"/>
    <s v="CMP202605069"/>
    <s v="CUST100316"/>
    <x v="3"/>
    <s v="Red Saleable"/>
    <x v="1"/>
    <s v="Central"/>
    <s v="45-54"/>
    <n v="1951"/>
    <n v="1610"/>
    <n v="1478"/>
    <n v="107"/>
    <n v="68"/>
    <n v="6"/>
    <n v="229.06"/>
    <x v="590"/>
    <n v="0.91801242236024849"/>
    <n v="7.2395128552097426E-2"/>
    <n v="0.63551401869158874"/>
    <n v="8.8235294117647065E-2"/>
    <n v="4.0595399188092015E-3"/>
    <n v="3.368529411764706"/>
    <n v="2.140747663551402"/>
    <n v="35.996551121976779"/>
  </r>
  <r>
    <x v="129"/>
    <s v="CMP202605075"/>
    <s v="CUST100807"/>
    <x v="2"/>
    <s v="Amber"/>
    <x v="0"/>
    <s v="West"/>
    <s v="45-54"/>
    <n v="1489"/>
    <n v="1308"/>
    <n v="1193"/>
    <n v="54"/>
    <n v="19"/>
    <n v="1"/>
    <n v="116.67"/>
    <x v="591"/>
    <n v="0.9120795107033639"/>
    <n v="4.526404023470243E-2"/>
    <n v="0.35185185185185186"/>
    <n v="5.2631578947368418E-2"/>
    <n v="8.3822296730930428E-4"/>
    <n v="6.1405263157894741"/>
    <n v="2.1605555555555558"/>
    <n v="8.3006771235107557"/>
  </r>
  <r>
    <x v="129"/>
    <s v="CMP202605076"/>
    <s v="CUST100345"/>
    <x v="2"/>
    <s v="Red Non-Saleable"/>
    <x v="0"/>
    <s v="North"/>
    <s v="55+"/>
    <n v="4777"/>
    <n v="4578"/>
    <n v="4284"/>
    <n v="66"/>
    <n v="32"/>
    <n v="1"/>
    <n v="331.89"/>
    <x v="592"/>
    <n v="0.93577981651376152"/>
    <n v="1.5406162464985995E-2"/>
    <n v="0.48484848484848486"/>
    <n v="3.125E-2"/>
    <n v="2.3342670401493932E-4"/>
    <n v="10.3715625"/>
    <n v="5.0286363636363633"/>
    <n v="1.863267950224472"/>
  </r>
  <r>
    <x v="129"/>
    <s v="CMP202605079"/>
    <s v="CUST100909"/>
    <x v="0"/>
    <s v="Amber"/>
    <x v="1"/>
    <s v="South"/>
    <s v="35-44"/>
    <n v="2607"/>
    <n v="2314"/>
    <n v="2093"/>
    <n v="167"/>
    <n v="120"/>
    <n v="5"/>
    <n v="307.74"/>
    <x v="593"/>
    <n v="0.9044943820224719"/>
    <n v="7.9789775441949359E-2"/>
    <n v="0.71856287425149701"/>
    <n v="4.1666666666666664E-2"/>
    <n v="2.3889154323936935E-3"/>
    <n v="2.5645000000000002"/>
    <n v="1.8427544910179641"/>
    <n v="14.843796711509718"/>
  </r>
  <r>
    <x v="130"/>
    <s v="CMP202605013"/>
    <s v="CUST100503"/>
    <x v="2"/>
    <s v="Green"/>
    <x v="1"/>
    <s v="South"/>
    <s v="25-34"/>
    <n v="466"/>
    <n v="451"/>
    <n v="418"/>
    <n v="41"/>
    <n v="22"/>
    <n v="2"/>
    <n v="38.29"/>
    <x v="594"/>
    <n v="0.92682926829268297"/>
    <n v="9.8086124401913874E-2"/>
    <n v="0.53658536585365857"/>
    <n v="9.0909090909090912E-2"/>
    <n v="4.7846889952153108E-3"/>
    <n v="1.7404545454545455"/>
    <n v="0.93390243902439019"/>
    <n v="65.52311308435624"/>
  </r>
  <r>
    <x v="130"/>
    <s v="CMP202605031"/>
    <s v="CUST100836"/>
    <x v="3"/>
    <s v="Red Non-Saleable"/>
    <x v="1"/>
    <s v="West"/>
    <s v="25-34"/>
    <n v="1424"/>
    <n v="1080"/>
    <n v="1039"/>
    <n v="34"/>
    <n v="22"/>
    <n v="1"/>
    <n v="154.28"/>
    <x v="595"/>
    <n v="0.96203703703703702"/>
    <n v="3.2723772858517804E-2"/>
    <n v="0.6470588235294118"/>
    <n v="4.5454545454545456E-2"/>
    <n v="9.6246390760346492E-4"/>
    <n v="7.0127272727272727"/>
    <n v="4.5376470588235298"/>
    <n v="4.6319678506611357"/>
  </r>
  <r>
    <x v="130"/>
    <s v="CMP202605034"/>
    <s v="CUST100480"/>
    <x v="1"/>
    <s v="Amber"/>
    <x v="0"/>
    <s v="South"/>
    <s v="35-44"/>
    <n v="4359"/>
    <n v="4226"/>
    <n v="4005"/>
    <n v="143"/>
    <n v="63"/>
    <n v="2"/>
    <n v="710.28"/>
    <x v="596"/>
    <n v="0.94770468528159013"/>
    <n v="3.5705368289637954E-2"/>
    <n v="0.44055944055944057"/>
    <n v="3.1746031746031744E-2"/>
    <n v="4.9937578027465666E-4"/>
    <n v="11.274285714285714"/>
    <n v="4.9669930069930066"/>
    <n v="1.4621839274652249"/>
  </r>
  <r>
    <x v="130"/>
    <s v="CMP202605047"/>
    <s v="CUST100449"/>
    <x v="2"/>
    <s v="Red Saleable"/>
    <x v="0"/>
    <s v="North"/>
    <s v="25-34"/>
    <n v="1839"/>
    <n v="1695"/>
    <n v="1625"/>
    <n v="35"/>
    <n v="13"/>
    <n v="0"/>
    <n v="116.44"/>
    <x v="0"/>
    <n v="0.95870206489675514"/>
    <n v="2.1538461538461538E-2"/>
    <n v="0.37142857142857144"/>
    <n v="0"/>
    <n v="0"/>
    <n v="8.9569230769230774"/>
    <n v="3.326857142857143"/>
    <n v="-1"/>
  </r>
  <r>
    <x v="130"/>
    <s v="CMP202605056"/>
    <s v="CUST100237"/>
    <x v="3"/>
    <s v="Green"/>
    <x v="0"/>
    <s v="West"/>
    <s v="55+"/>
    <n v="1261"/>
    <n v="915"/>
    <n v="845"/>
    <n v="69"/>
    <n v="28"/>
    <n v="2"/>
    <n v="163.52000000000001"/>
    <x v="597"/>
    <n v="0.92349726775956287"/>
    <n v="8.1656804733727814E-2"/>
    <n v="0.40579710144927539"/>
    <n v="7.1428571428571425E-2"/>
    <n v="2.3668639053254438E-3"/>
    <n v="5.8400000000000007"/>
    <n v="2.3698550724637681"/>
    <n v="9.7684075342465739"/>
  </r>
  <r>
    <x v="130"/>
    <s v="CMP202605061"/>
    <s v="CUST101433"/>
    <x v="2"/>
    <s v="Green"/>
    <x v="1"/>
    <s v="Central"/>
    <s v="18-24"/>
    <n v="2982"/>
    <n v="2490"/>
    <n v="2257"/>
    <n v="207"/>
    <n v="107"/>
    <n v="8"/>
    <n v="207.29"/>
    <x v="598"/>
    <n v="0.90642570281124502"/>
    <n v="9.171466548515729E-2"/>
    <n v="0.51690821256038644"/>
    <n v="7.476635514018691E-2"/>
    <n v="3.544528134692069E-3"/>
    <n v="1.9372897196261682"/>
    <n v="1.0014009661835748"/>
    <n v="59.406242462250951"/>
  </r>
  <r>
    <x v="130"/>
    <s v="CMP202605063"/>
    <s v="CUST101155"/>
    <x v="2"/>
    <s v="Red Saleable"/>
    <x v="0"/>
    <s v="South"/>
    <s v="45-54"/>
    <n v="3539"/>
    <n v="3293"/>
    <n v="3137"/>
    <n v="101"/>
    <n v="43"/>
    <n v="1"/>
    <n v="274.76"/>
    <x v="599"/>
    <n v="0.95262678408745827"/>
    <n v="3.2196365954733824E-2"/>
    <n v="0.42574257425742573"/>
    <n v="2.3255813953488372E-2"/>
    <n v="3.1877590054191901E-4"/>
    <n v="6.3897674418604646"/>
    <n v="2.7203960396039601"/>
    <n v="2.2951302955306452"/>
  </r>
  <r>
    <x v="131"/>
    <s v="CMP202605003"/>
    <s v="CUST100628"/>
    <x v="1"/>
    <s v="Red Non-Saleable"/>
    <x v="0"/>
    <s v="North"/>
    <s v="35-44"/>
    <n v="1552"/>
    <n v="1259"/>
    <n v="1180"/>
    <n v="4"/>
    <n v="1"/>
    <n v="0"/>
    <n v="257.83999999999997"/>
    <x v="0"/>
    <n v="0.93725178713264501"/>
    <n v="3.3898305084745762E-3"/>
    <n v="0.25"/>
    <n v="0"/>
    <n v="0"/>
    <n v="257.83999999999997"/>
    <n v="64.459999999999994"/>
    <n v="-1"/>
  </r>
  <r>
    <x v="131"/>
    <s v="CMP202605005"/>
    <s v="CUST101085"/>
    <x v="2"/>
    <s v="Amber"/>
    <x v="1"/>
    <s v="Central"/>
    <s v="18-24"/>
    <n v="1632"/>
    <n v="1257"/>
    <n v="1146"/>
    <n v="71"/>
    <n v="43"/>
    <n v="3"/>
    <n v="113.25"/>
    <x v="600"/>
    <n v="0.91169451073985686"/>
    <n v="6.1954624781849911E-2"/>
    <n v="0.60563380281690138"/>
    <n v="6.9767441860465115E-2"/>
    <n v="2.617801047120419E-3"/>
    <n v="2.6337209302325579"/>
    <n v="1.5950704225352113"/>
    <n v="39.6712582781457"/>
  </r>
  <r>
    <x v="131"/>
    <s v="CMP202605040"/>
    <s v="CUST101237"/>
    <x v="1"/>
    <s v="Amber"/>
    <x v="1"/>
    <s v="East"/>
    <s v="25-34"/>
    <n v="3415"/>
    <n v="2866"/>
    <n v="2774"/>
    <n v="126"/>
    <n v="66"/>
    <n v="5"/>
    <n v="477.27"/>
    <x v="601"/>
    <n v="0.96789951151430564"/>
    <n v="4.542177361211247E-2"/>
    <n v="0.52380952380952384"/>
    <n v="7.575757575757576E-2"/>
    <n v="1.8024513338139869E-3"/>
    <n v="7.2313636363636364"/>
    <n v="3.7878571428571428"/>
    <n v="10.018668678106733"/>
  </r>
  <r>
    <x v="131"/>
    <s v="CMP202605041"/>
    <s v="CUST100088"/>
    <x v="0"/>
    <s v="Red Saleable"/>
    <x v="0"/>
    <s v="East"/>
    <s v="25-34"/>
    <n v="4509"/>
    <n v="3350"/>
    <n v="2997"/>
    <n v="105"/>
    <n v="56"/>
    <n v="3"/>
    <n v="411.8"/>
    <x v="602"/>
    <n v="0.89462686567164174"/>
    <n v="3.5035035035035036E-2"/>
    <n v="0.53333333333333333"/>
    <n v="5.3571428571428568E-2"/>
    <n v="1.001001001001001E-3"/>
    <n v="7.3535714285714286"/>
    <n v="3.921904761904762"/>
    <n v="6.9720009713453122"/>
  </r>
  <r>
    <x v="131"/>
    <s v="CMP202605045"/>
    <s v="CUST100645"/>
    <x v="0"/>
    <s v="Green"/>
    <x v="1"/>
    <s v="Central"/>
    <s v="45-54"/>
    <n v="3846"/>
    <n v="2882"/>
    <n v="2640"/>
    <n v="288"/>
    <n v="173"/>
    <n v="17"/>
    <n v="347.48"/>
    <x v="603"/>
    <n v="0.91603053435114501"/>
    <n v="0.10909090909090909"/>
    <n v="0.60069444444444442"/>
    <n v="9.8265895953757232E-2"/>
    <n v="6.4393939393939392E-3"/>
    <n v="2.0085549132947977"/>
    <n v="1.2065277777777779"/>
    <n v="40.850869114769196"/>
  </r>
  <r>
    <x v="131"/>
    <s v="CMP202605054"/>
    <s v="CUST100030"/>
    <x v="0"/>
    <s v="Red Saleable"/>
    <x v="0"/>
    <s v="West"/>
    <s v="25-34"/>
    <n v="4002"/>
    <n v="3006"/>
    <n v="2722"/>
    <n v="107"/>
    <n v="50"/>
    <n v="2"/>
    <n v="321.61"/>
    <x v="604"/>
    <n v="0.90552228875582164"/>
    <n v="3.930933137398971E-2"/>
    <n v="0.46728971962616822"/>
    <n v="0.04"/>
    <n v="7.347538574577516E-4"/>
    <n v="6.4321999999999999"/>
    <n v="3.0057009345794392"/>
    <n v="3.6268461801560892"/>
  </r>
  <r>
    <x v="131"/>
    <s v="CMP202605062"/>
    <s v="CUST101173"/>
    <x v="1"/>
    <s v="Green"/>
    <x v="0"/>
    <s v="East"/>
    <s v="18-24"/>
    <n v="1143"/>
    <n v="867"/>
    <n v="836"/>
    <n v="26"/>
    <n v="10"/>
    <n v="1"/>
    <n v="186.92"/>
    <x v="605"/>
    <n v="0.96424452133794691"/>
    <n v="3.1100478468899521E-2"/>
    <n v="0.38461538461538464"/>
    <n v="0.1"/>
    <n v="1.1961722488038277E-3"/>
    <n v="18.692"/>
    <n v="7.1892307692307691"/>
    <n v="5.0791782580783229"/>
  </r>
  <r>
    <x v="132"/>
    <s v="CMP202605048"/>
    <s v="CUST100076"/>
    <x v="2"/>
    <s v="Amber"/>
    <x v="1"/>
    <s v="Central"/>
    <s v="45-54"/>
    <n v="4436"/>
    <n v="4425"/>
    <n v="4220"/>
    <n v="291"/>
    <n v="194"/>
    <n v="15"/>
    <n v="368.27"/>
    <x v="606"/>
    <n v="0.95367231638418082"/>
    <n v="6.8957345971563985E-2"/>
    <n v="0.66666666666666663"/>
    <n v="7.7319587628865982E-2"/>
    <n v="3.5545023696682463E-3"/>
    <n v="1.8982989690721648"/>
    <n v="1.26553264604811"/>
    <n v="58.016020854264539"/>
  </r>
  <r>
    <x v="132"/>
    <s v="CMP202605056"/>
    <s v="CUST101049"/>
    <x v="3"/>
    <s v="Red Non-Saleable"/>
    <x v="0"/>
    <s v="Central"/>
    <s v="18-24"/>
    <n v="914"/>
    <n v="811"/>
    <n v="749"/>
    <n v="24"/>
    <n v="11"/>
    <n v="0"/>
    <n v="109.54"/>
    <x v="0"/>
    <n v="0.92355117139334153"/>
    <n v="3.2042723631508681E-2"/>
    <n v="0.45833333333333331"/>
    <n v="0"/>
    <n v="0"/>
    <n v="9.9581818181818189"/>
    <n v="4.5641666666666669"/>
    <n v="-1"/>
  </r>
  <r>
    <x v="132"/>
    <s v="CMP202605061"/>
    <s v="CUST100401"/>
    <x v="3"/>
    <s v="Red Non-Saleable"/>
    <x v="1"/>
    <s v="East"/>
    <s v="25-34"/>
    <n v="1960"/>
    <n v="1687"/>
    <n v="1567"/>
    <n v="58"/>
    <n v="36"/>
    <n v="0"/>
    <n v="230.36"/>
    <x v="0"/>
    <n v="0.9288678126852401"/>
    <n v="3.7013401403956606E-2"/>
    <n v="0.62068965517241381"/>
    <n v="0"/>
    <n v="0"/>
    <n v="6.3988888888888891"/>
    <n v="3.9717241379310346"/>
    <n v="-1"/>
  </r>
  <r>
    <x v="132"/>
    <s v="CMP202605076"/>
    <s v="CUST100803"/>
    <x v="2"/>
    <s v="Red Saleable"/>
    <x v="0"/>
    <s v="West"/>
    <s v="55+"/>
    <n v="4404"/>
    <n v="3340"/>
    <n v="3184"/>
    <n v="114"/>
    <n v="53"/>
    <n v="3"/>
    <n v="266.60000000000002"/>
    <x v="607"/>
    <n v="0.95329341317365268"/>
    <n v="3.5804020100502515E-2"/>
    <n v="0.46491228070175439"/>
    <n v="5.6603773584905662E-2"/>
    <n v="9.4221105527638187E-4"/>
    <n v="5.030188679245283"/>
    <n v="2.3385964912280706"/>
    <n v="11.883795948987247"/>
  </r>
  <r>
    <x v="133"/>
    <s v="CMP202605032"/>
    <s v="CUST100553"/>
    <x v="2"/>
    <s v="Amber"/>
    <x v="0"/>
    <s v="Central"/>
    <s v="35-44"/>
    <n v="1509"/>
    <n v="1151"/>
    <n v="1099"/>
    <n v="65"/>
    <n v="29"/>
    <n v="1"/>
    <n v="89"/>
    <x v="608"/>
    <n v="0.95482189400521289"/>
    <n v="5.9144676979071886E-2"/>
    <n v="0.44615384615384618"/>
    <n v="3.4482758620689655E-2"/>
    <n v="9.099181073703367E-4"/>
    <n v="3.0689655172413794"/>
    <n v="1.3692307692307693"/>
    <n v="12.320561797752809"/>
  </r>
  <r>
    <x v="133"/>
    <s v="CMP202605042"/>
    <s v="CUST100556"/>
    <x v="0"/>
    <s v="Red Non-Saleable"/>
    <x v="0"/>
    <s v="Central"/>
    <s v="45-54"/>
    <n v="3929"/>
    <n v="3310"/>
    <n v="3005"/>
    <n v="58"/>
    <n v="33"/>
    <n v="1"/>
    <n v="453.03"/>
    <x v="609"/>
    <n v="0.90785498489425986"/>
    <n v="1.9301164725457572E-2"/>
    <n v="0.56896551724137934"/>
    <n v="3.0303030303030304E-2"/>
    <n v="3.3277870216306157E-4"/>
    <n v="13.728181818181817"/>
    <n v="7.810862068965517"/>
    <n v="1.7484272564730812"/>
  </r>
  <r>
    <x v="133"/>
    <s v="CMP202605065"/>
    <s v="CUST100687"/>
    <x v="3"/>
    <s v="Green"/>
    <x v="0"/>
    <s v="South"/>
    <s v="35-44"/>
    <n v="827"/>
    <n v="659"/>
    <n v="592"/>
    <n v="44"/>
    <n v="21"/>
    <n v="2"/>
    <n v="88.51"/>
    <x v="610"/>
    <n v="0.89833080424886191"/>
    <n v="7.4324324324324328E-2"/>
    <n v="0.47727272727272729"/>
    <n v="9.5238095238095233E-2"/>
    <n v="3.3783783783783786E-3"/>
    <n v="4.2147619047619047"/>
    <n v="2.0115909090909092"/>
    <n v="30.636086317930175"/>
  </r>
  <r>
    <x v="134"/>
    <s v="CMP202605047"/>
    <s v="CUST101084"/>
    <x v="2"/>
    <s v="Green"/>
    <x v="0"/>
    <s v="North"/>
    <s v="55+"/>
    <n v="1465"/>
    <n v="1174"/>
    <n v="1084"/>
    <n v="84"/>
    <n v="26"/>
    <n v="2"/>
    <n v="90.55"/>
    <x v="611"/>
    <n v="0.92333901192504264"/>
    <n v="7.7490774907749083E-2"/>
    <n v="0.30952380952380953"/>
    <n v="7.6923076923076927E-2"/>
    <n v="1.8450184501845018E-3"/>
    <n v="3.4826923076923078"/>
    <n v="1.0779761904761904"/>
    <n v="27.854776366648263"/>
  </r>
  <r>
    <x v="134"/>
    <s v="CMP202605054"/>
    <s v="CUST100203"/>
    <x v="1"/>
    <s v="Green"/>
    <x v="0"/>
    <s v="Central"/>
    <s v="45-54"/>
    <n v="3161"/>
    <n v="3086"/>
    <n v="2961"/>
    <n v="138"/>
    <n v="56"/>
    <n v="4"/>
    <n v="580.16"/>
    <x v="612"/>
    <n v="0.9594944912508101"/>
    <n v="4.6605876393110438E-2"/>
    <n v="0.40579710144927539"/>
    <n v="7.1428571428571425E-2"/>
    <n v="1.3508949679162446E-3"/>
    <n v="10.36"/>
    <n v="4.2040579710144925"/>
    <n v="5.1919125758411484"/>
  </r>
  <r>
    <x v="135"/>
    <s v="CMP202605015"/>
    <s v="CUST100912"/>
    <x v="0"/>
    <s v="Amber"/>
    <x v="0"/>
    <s v="Central"/>
    <s v="55+"/>
    <n v="849"/>
    <n v="685"/>
    <n v="620"/>
    <n v="39"/>
    <n v="17"/>
    <n v="1"/>
    <n v="73.16"/>
    <x v="613"/>
    <n v="0.9051094890510949"/>
    <n v="6.2903225806451607E-2"/>
    <n v="0.4358974358974359"/>
    <n v="5.8823529411764705E-2"/>
    <n v="1.6129032258064516E-3"/>
    <n v="4.303529411764706"/>
    <n v="1.8758974358974358"/>
    <n v="9.4253690541279393"/>
  </r>
  <r>
    <x v="135"/>
    <s v="CMP202605024"/>
    <s v="CUST101167"/>
    <x v="1"/>
    <s v="Red Saleable"/>
    <x v="1"/>
    <s v="South"/>
    <s v="25-34"/>
    <n v="2075"/>
    <n v="1579"/>
    <n v="1507"/>
    <n v="49"/>
    <n v="24"/>
    <n v="1"/>
    <n v="273.54000000000002"/>
    <x v="614"/>
    <n v="0.95440151994933498"/>
    <n v="3.2514930325149301E-2"/>
    <n v="0.48979591836734693"/>
    <n v="4.1666666666666664E-2"/>
    <n v="6.6357000663570006E-4"/>
    <n v="11.397500000000001"/>
    <n v="5.5824489795918373"/>
    <n v="2.902975798786283"/>
  </r>
  <r>
    <x v="135"/>
    <s v="CMP202605049"/>
    <s v="CUST101065"/>
    <x v="2"/>
    <s v="Green"/>
    <x v="0"/>
    <s v="North"/>
    <s v="18-24"/>
    <n v="1712"/>
    <n v="1691"/>
    <n v="1577"/>
    <n v="106"/>
    <n v="53"/>
    <n v="2"/>
    <n v="130.55000000000001"/>
    <x v="615"/>
    <n v="0.93258426966292129"/>
    <n v="6.7216233354470509E-2"/>
    <n v="0.5"/>
    <n v="3.7735849056603772E-2"/>
    <n v="1.2682308180088776E-3"/>
    <n v="2.4632075471698114"/>
    <n v="1.2316037735849057"/>
    <n v="10.521409421677516"/>
  </r>
  <r>
    <x v="135"/>
    <s v="CMP202605056"/>
    <s v="CUST101078"/>
    <x v="1"/>
    <s v="Red Saleable"/>
    <x v="0"/>
    <s v="East"/>
    <s v="18-24"/>
    <n v="1356"/>
    <n v="1120"/>
    <n v="1074"/>
    <n v="28"/>
    <n v="11"/>
    <n v="0"/>
    <n v="228.52"/>
    <x v="0"/>
    <n v="0.95892857142857146"/>
    <n v="2.6070763500931099E-2"/>
    <n v="0.39285714285714285"/>
    <n v="0"/>
    <n v="0"/>
    <n v="20.774545454545457"/>
    <n v="8.161428571428571"/>
    <n v="-1"/>
  </r>
  <r>
    <x v="135"/>
    <s v="CMP202605075"/>
    <s v="CUST100752"/>
    <x v="2"/>
    <s v="Green"/>
    <x v="1"/>
    <s v="Central"/>
    <s v="25-34"/>
    <n v="4835"/>
    <n v="4322"/>
    <n v="4099"/>
    <n v="407"/>
    <n v="201"/>
    <n v="17"/>
    <n v="308.41000000000003"/>
    <x v="616"/>
    <n v="0.94840351689032854"/>
    <n v="9.9292510368382533E-2"/>
    <n v="0.49385749385749383"/>
    <n v="8.45771144278607E-2"/>
    <n v="4.1473530129299829E-3"/>
    <n v="1.5343781094527364"/>
    <n v="0.75776412776412783"/>
    <n v="90.958821049901104"/>
  </r>
  <r>
    <x v="136"/>
    <s v="CMP202605026"/>
    <s v="CUST100018"/>
    <x v="1"/>
    <s v="Amber"/>
    <x v="0"/>
    <s v="West"/>
    <s v="25-34"/>
    <n v="2855"/>
    <n v="2786"/>
    <n v="2696"/>
    <n v="179"/>
    <n v="74"/>
    <n v="5"/>
    <n v="549.47"/>
    <x v="617"/>
    <n v="0.96769562096195261"/>
    <n v="6.6394658753709201E-2"/>
    <n v="0.41340782122905029"/>
    <n v="6.7567567567567571E-2"/>
    <n v="1.85459940652819E-3"/>
    <n v="7.4252702702702704"/>
    <n v="3.0696648044692738"/>
    <n v="10.707954938395179"/>
  </r>
  <r>
    <x v="136"/>
    <s v="CMP202605033"/>
    <s v="CUST101313"/>
    <x v="3"/>
    <s v="Amber"/>
    <x v="0"/>
    <s v="West"/>
    <s v="25-34"/>
    <n v="924"/>
    <n v="692"/>
    <n v="640"/>
    <n v="39"/>
    <n v="20"/>
    <n v="1"/>
    <n v="103.06"/>
    <x v="618"/>
    <n v="0.92485549132947975"/>
    <n v="6.0937499999999999E-2"/>
    <n v="0.51282051282051277"/>
    <n v="0.05"/>
    <n v="1.5625000000000001E-3"/>
    <n v="5.1530000000000005"/>
    <n v="2.6425641025641027"/>
    <n v="11.570250339607997"/>
  </r>
  <r>
    <x v="136"/>
    <s v="CMP202605035"/>
    <s v="CUST100055"/>
    <x v="2"/>
    <s v="Red Saleable"/>
    <x v="0"/>
    <s v="East"/>
    <s v="18-24"/>
    <n v="2025"/>
    <n v="1980"/>
    <n v="1823"/>
    <n v="43"/>
    <n v="19"/>
    <n v="1"/>
    <n v="147.09"/>
    <x v="619"/>
    <n v="0.9207070707070707"/>
    <n v="2.3587493143170598E-2"/>
    <n v="0.44186046511627908"/>
    <n v="5.2631578947368418E-2"/>
    <n v="5.4854635216675812E-4"/>
    <n v="7.7415789473684216"/>
    <n v="3.4206976744186046"/>
    <n v="5.8798014820857976"/>
  </r>
  <r>
    <x v="136"/>
    <s v="CMP202605040"/>
    <s v="CUST100954"/>
    <x v="3"/>
    <s v="Red Non-Saleable"/>
    <x v="0"/>
    <s v="Central"/>
    <s v="45-54"/>
    <n v="1054"/>
    <n v="1039"/>
    <n v="961"/>
    <n v="21"/>
    <n v="10"/>
    <n v="0"/>
    <n v="169.37"/>
    <x v="0"/>
    <n v="0.92492781520692979"/>
    <n v="2.1852237252861603E-2"/>
    <n v="0.47619047619047616"/>
    <n v="0"/>
    <n v="0"/>
    <n v="16.937000000000001"/>
    <n v="8.0652380952380955"/>
    <n v="-1"/>
  </r>
  <r>
    <x v="136"/>
    <s v="CMP202605042"/>
    <s v="CUST100893"/>
    <x v="0"/>
    <s v="Red Non-Saleable"/>
    <x v="0"/>
    <s v="South"/>
    <s v="35-44"/>
    <n v="1512"/>
    <n v="1481"/>
    <n v="1318"/>
    <n v="12"/>
    <n v="5"/>
    <n v="0"/>
    <n v="191.59"/>
    <x v="0"/>
    <n v="0.88993923024983124"/>
    <n v="9.104704097116844E-3"/>
    <n v="0.41666666666666669"/>
    <n v="0"/>
    <n v="0"/>
    <n v="38.317999999999998"/>
    <n v="15.965833333333334"/>
    <n v="-1"/>
  </r>
  <r>
    <x v="136"/>
    <s v="CMP202605043"/>
    <s v="CUST100790"/>
    <x v="0"/>
    <s v="Green"/>
    <x v="1"/>
    <s v="West"/>
    <s v="18-24"/>
    <n v="991"/>
    <n v="897"/>
    <n v="824"/>
    <n v="91"/>
    <n v="59"/>
    <n v="6"/>
    <n v="121.58"/>
    <x v="620"/>
    <n v="0.91861761426978816"/>
    <n v="0.1104368932038835"/>
    <n v="0.64835164835164838"/>
    <n v="0.10169491525423729"/>
    <n v="7.2815533980582527E-3"/>
    <n v="2.0606779661016947"/>
    <n v="1.3360439560439561"/>
    <n v="83.861490376706683"/>
  </r>
  <r>
    <x v="136"/>
    <s v="CMP202605044"/>
    <s v="CUST100472"/>
    <x v="1"/>
    <s v="Amber"/>
    <x v="0"/>
    <s v="East"/>
    <s v="18-24"/>
    <n v="3891"/>
    <n v="2812"/>
    <n v="2674"/>
    <n v="112"/>
    <n v="39"/>
    <n v="3"/>
    <n v="583.20000000000005"/>
    <x v="621"/>
    <n v="0.95092460881934571"/>
    <n v="4.1884816753926704E-2"/>
    <n v="0.3482142857142857"/>
    <n v="7.6923076923076927E-2"/>
    <n v="1.1219147344801795E-3"/>
    <n v="14.953846153846156"/>
    <n v="5.2071428571428573"/>
    <n v="6.1171296296296296"/>
  </r>
  <r>
    <x v="136"/>
    <s v="CMP202605049"/>
    <s v="CUST100602"/>
    <x v="1"/>
    <s v="Red Saleable"/>
    <x v="0"/>
    <s v="East"/>
    <s v="55+"/>
    <n v="2768"/>
    <n v="2298"/>
    <n v="2180"/>
    <n v="45"/>
    <n v="20"/>
    <n v="1"/>
    <n v="451.11"/>
    <x v="622"/>
    <n v="0.94865100087032206"/>
    <n v="2.0642201834862386E-2"/>
    <n v="0.44444444444444442"/>
    <n v="0.05"/>
    <n v="4.5871559633027525E-4"/>
    <n v="22.555500000000002"/>
    <n v="10.024666666666667"/>
    <n v="1.1015273436634079"/>
  </r>
  <r>
    <x v="136"/>
    <s v="CMP202605069"/>
    <s v="CUST101076"/>
    <x v="2"/>
    <s v="Green"/>
    <x v="1"/>
    <s v="Central"/>
    <s v="55+"/>
    <n v="1313"/>
    <n v="1266"/>
    <n v="1199"/>
    <n v="114"/>
    <n v="69"/>
    <n v="5"/>
    <n v="110.55"/>
    <x v="623"/>
    <n v="0.94707740916271721"/>
    <n v="9.5079232693911594E-2"/>
    <n v="0.60526315789473684"/>
    <n v="7.2463768115942032E-2"/>
    <n v="4.1701417848206837E-3"/>
    <n v="1.6021739130434782"/>
    <n v="0.96973684210526312"/>
    <n v="51.757937584803258"/>
  </r>
  <r>
    <x v="137"/>
    <s v="CMP202605003"/>
    <s v="CUST100815"/>
    <x v="0"/>
    <s v="Red Saleable"/>
    <x v="0"/>
    <s v="Central"/>
    <s v="18-24"/>
    <n v="719"/>
    <n v="521"/>
    <n v="471"/>
    <n v="16"/>
    <n v="8"/>
    <n v="0"/>
    <n v="56.16"/>
    <x v="0"/>
    <n v="0.90403071017274472"/>
    <n v="3.3970276008492568E-2"/>
    <n v="0.5"/>
    <n v="0"/>
    <n v="0"/>
    <n v="7.02"/>
    <n v="3.51"/>
    <n v="-1"/>
  </r>
  <r>
    <x v="137"/>
    <s v="CMP202605015"/>
    <s v="CUST100453"/>
    <x v="3"/>
    <s v="Red Saleable"/>
    <x v="0"/>
    <s v="West"/>
    <s v="18-24"/>
    <n v="1929"/>
    <n v="1690"/>
    <n v="1558"/>
    <n v="54"/>
    <n v="26"/>
    <n v="1"/>
    <n v="304.13"/>
    <x v="624"/>
    <n v="0.92189349112426033"/>
    <n v="3.4659820282413351E-2"/>
    <n v="0.48148148148148145"/>
    <n v="3.8461538461538464E-2"/>
    <n v="6.4184852374839533E-4"/>
    <n v="11.697307692307692"/>
    <n v="5.632037037037037"/>
    <n v="1.8917896951961333"/>
  </r>
  <r>
    <x v="137"/>
    <s v="CMP202605021"/>
    <s v="CUST100435"/>
    <x v="1"/>
    <s v="Green"/>
    <x v="0"/>
    <s v="Central"/>
    <s v="45-54"/>
    <n v="4806"/>
    <n v="3495"/>
    <n v="3391"/>
    <n v="146"/>
    <n v="55"/>
    <n v="4"/>
    <n v="553.4"/>
    <x v="625"/>
    <n v="0.97024320457796853"/>
    <n v="4.3055145974638748E-2"/>
    <n v="0.37671232876712329"/>
    <n v="7.2727272727272724E-2"/>
    <n v="1.1795930404010617E-3"/>
    <n v="10.061818181818181"/>
    <n v="3.7904109589041095"/>
    <n v="9.4924647632815322"/>
  </r>
  <r>
    <x v="137"/>
    <s v="CMP202605021"/>
    <s v="CUST100846"/>
    <x v="3"/>
    <s v="Amber"/>
    <x v="1"/>
    <s v="South"/>
    <s v="45-54"/>
    <n v="3461"/>
    <n v="3325"/>
    <n v="3039"/>
    <n v="207"/>
    <n v="131"/>
    <n v="8"/>
    <n v="524.33000000000004"/>
    <x v="626"/>
    <n v="0.91398496240601501"/>
    <n v="6.8114511352418555E-2"/>
    <n v="0.63285024154589375"/>
    <n v="6.1068702290076333E-2"/>
    <n v="2.6324448831852583E-3"/>
    <n v="4.0025190839694655"/>
    <n v="2.5329951690821257"/>
    <n v="19.442049854099515"/>
  </r>
  <r>
    <x v="137"/>
    <s v="CMP202605022"/>
    <s v="CUST101267"/>
    <x v="0"/>
    <s v="Green"/>
    <x v="0"/>
    <s v="North"/>
    <s v="45-54"/>
    <n v="1822"/>
    <n v="1576"/>
    <n v="1456"/>
    <n v="108"/>
    <n v="60"/>
    <n v="5"/>
    <n v="181.57"/>
    <x v="627"/>
    <n v="0.92385786802030456"/>
    <n v="7.4175824175824176E-2"/>
    <n v="0.55555555555555558"/>
    <n v="8.3333333333333329E-2"/>
    <n v="3.434065934065934E-3"/>
    <n v="3.0261666666666667"/>
    <n v="1.6812037037037035"/>
    <n v="24.666629949881592"/>
  </r>
  <r>
    <x v="137"/>
    <s v="CMP202605025"/>
    <s v="CUST100955"/>
    <x v="3"/>
    <s v="Green"/>
    <x v="1"/>
    <s v="Central"/>
    <s v="45-54"/>
    <n v="642"/>
    <n v="516"/>
    <n v="487"/>
    <n v="47"/>
    <n v="30"/>
    <n v="3"/>
    <n v="68.38"/>
    <x v="628"/>
    <n v="0.94379844961240311"/>
    <n v="9.6509240246406572E-2"/>
    <n v="0.63829787234042556"/>
    <n v="0.1"/>
    <n v="6.1601642710472282E-3"/>
    <n v="2.2793333333333332"/>
    <n v="1.4548936170212765"/>
    <n v="38.217899970751681"/>
  </r>
  <r>
    <x v="137"/>
    <s v="CMP202605038"/>
    <s v="CUST100477"/>
    <x v="0"/>
    <s v="Red Non-Saleable"/>
    <x v="0"/>
    <s v="South"/>
    <s v="45-54"/>
    <n v="1476"/>
    <n v="1475"/>
    <n v="1339"/>
    <n v="4"/>
    <n v="2"/>
    <n v="0"/>
    <n v="210.51"/>
    <x v="0"/>
    <n v="0.90779661016949154"/>
    <n v="2.9873039581777448E-3"/>
    <n v="0.5"/>
    <n v="0"/>
    <n v="0"/>
    <n v="105.255"/>
    <n v="52.627499999999998"/>
    <n v="-1"/>
  </r>
  <r>
    <x v="137"/>
    <s v="CMP202605042"/>
    <s v="CUST100880"/>
    <x v="3"/>
    <s v="Green"/>
    <x v="0"/>
    <s v="West"/>
    <s v="25-34"/>
    <n v="3294"/>
    <n v="2881"/>
    <n v="2690"/>
    <n v="169"/>
    <n v="71"/>
    <n v="5"/>
    <n v="468.4"/>
    <x v="629"/>
    <n v="0.93370357514751823"/>
    <n v="6.2825278810408919E-2"/>
    <n v="0.42011834319526625"/>
    <n v="7.0422535211267609E-2"/>
    <n v="1.8587360594795538E-3"/>
    <n v="6.5971830985915494"/>
    <n v="2.7715976331360945"/>
    <n v="8.5164175918018792"/>
  </r>
  <r>
    <x v="137"/>
    <s v="CMP202605054"/>
    <s v="CUST100128"/>
    <x v="3"/>
    <s v="Red Saleable"/>
    <x v="0"/>
    <s v="Central"/>
    <s v="25-34"/>
    <n v="2485"/>
    <n v="1905"/>
    <n v="1760"/>
    <n v="48"/>
    <n v="25"/>
    <n v="1"/>
    <n v="293.89999999999998"/>
    <x v="630"/>
    <n v="0.92388451443569553"/>
    <n v="2.7272727272727271E-2"/>
    <n v="0.52083333333333337"/>
    <n v="0.04"/>
    <n v="5.6818181818181815E-4"/>
    <n v="11.755999999999998"/>
    <n v="6.1229166666666659"/>
    <n v="3.180741748894182"/>
  </r>
  <r>
    <x v="137"/>
    <s v="CMP202605061"/>
    <s v="CUST100254"/>
    <x v="0"/>
    <s v="Green"/>
    <x v="1"/>
    <s v="Central"/>
    <s v="25-34"/>
    <n v="3708"/>
    <n v="2748"/>
    <n v="2471"/>
    <n v="261"/>
    <n v="149"/>
    <n v="14"/>
    <n v="383.67"/>
    <x v="631"/>
    <n v="0.89919941775836976"/>
    <n v="0.10562525293403481"/>
    <n v="0.57088122605363989"/>
    <n v="9.3959731543624164E-2"/>
    <n v="5.6657223796033997E-3"/>
    <n v="2.5749664429530204"/>
    <n v="1.47"/>
    <n v="55.355305340527018"/>
  </r>
  <r>
    <x v="138"/>
    <s v="CMP202605019"/>
    <s v="CUST100192"/>
    <x v="0"/>
    <s v="Amber"/>
    <x v="0"/>
    <s v="Central"/>
    <s v="45-54"/>
    <n v="2438"/>
    <n v="2401"/>
    <n v="2178"/>
    <n v="140"/>
    <n v="70"/>
    <n v="5"/>
    <n v="295.07"/>
    <x v="632"/>
    <n v="0.90712203248646395"/>
    <n v="6.4279155188246104E-2"/>
    <n v="0.5"/>
    <n v="7.1428571428571425E-2"/>
    <n v="2.295684113865932E-3"/>
    <n v="4.2152857142857139"/>
    <n v="2.1076428571428569"/>
    <n v="12.788999220523943"/>
  </r>
  <r>
    <x v="138"/>
    <s v="CMP202605019"/>
    <s v="CUST101118"/>
    <x v="0"/>
    <s v="Red Non-Saleable"/>
    <x v="1"/>
    <s v="East"/>
    <s v="35-44"/>
    <n v="1375"/>
    <n v="1316"/>
    <n v="1173"/>
    <n v="24"/>
    <n v="16"/>
    <n v="0"/>
    <n v="144.36000000000001"/>
    <x v="0"/>
    <n v="0.89133738601823709"/>
    <n v="2.0460358056265986E-2"/>
    <n v="0.66666666666666663"/>
    <n v="0"/>
    <n v="0"/>
    <n v="9.0225000000000009"/>
    <n v="6.0150000000000006"/>
    <n v="-1"/>
  </r>
  <r>
    <x v="138"/>
    <s v="CMP202605058"/>
    <s v="CUST101082"/>
    <x v="3"/>
    <s v="Amber"/>
    <x v="1"/>
    <s v="North"/>
    <s v="55+"/>
    <n v="2212"/>
    <n v="1997"/>
    <n v="1814"/>
    <n v="166"/>
    <n v="89"/>
    <n v="6"/>
    <n v="344.38"/>
    <x v="633"/>
    <n v="0.90836254381572357"/>
    <n v="9.1510474090407939E-2"/>
    <n v="0.53614457831325302"/>
    <n v="6.741573033707865E-2"/>
    <n v="3.3076074972436605E-3"/>
    <n v="3.8694382022471911"/>
    <n v="2.0745783132530122"/>
    <n v="24.922556478308845"/>
  </r>
  <r>
    <x v="139"/>
    <s v="CMP202605005"/>
    <s v="CUST100402"/>
    <x v="1"/>
    <s v="Green"/>
    <x v="0"/>
    <s v="North"/>
    <s v="55+"/>
    <n v="2834"/>
    <n v="2534"/>
    <n v="2456"/>
    <n v="127"/>
    <n v="62"/>
    <n v="4"/>
    <n v="517.80999999999995"/>
    <x v="634"/>
    <n v="0.96921862667719016"/>
    <n v="5.1710097719869709E-2"/>
    <n v="0.48818897637795278"/>
    <n v="6.4516129032258063E-2"/>
    <n v="1.6286644951140066E-3"/>
    <n v="8.3517741935483869"/>
    <n v="4.0772440944881883"/>
    <n v="6.427936888047741"/>
  </r>
  <r>
    <x v="139"/>
    <s v="CMP202605007"/>
    <s v="CUST101042"/>
    <x v="0"/>
    <s v="Green"/>
    <x v="1"/>
    <s v="East"/>
    <s v="55+"/>
    <n v="4977"/>
    <n v="4696"/>
    <n v="4224"/>
    <n v="426"/>
    <n v="276"/>
    <n v="20"/>
    <n v="542.47"/>
    <x v="635"/>
    <n v="0.89948892674616698"/>
    <n v="0.10085227272727272"/>
    <n v="0.647887323943662"/>
    <n v="7.2463768115942032E-2"/>
    <n v="4.734848484848485E-3"/>
    <n v="1.9654710144927536"/>
    <n v="1.2734037558685447"/>
    <n v="33.487197448706837"/>
  </r>
  <r>
    <x v="139"/>
    <s v="CMP202605020"/>
    <s v="CUST100668"/>
    <x v="2"/>
    <s v="Green"/>
    <x v="0"/>
    <s v="Central"/>
    <s v="45-54"/>
    <n v="433"/>
    <n v="374"/>
    <n v="355"/>
    <n v="16"/>
    <n v="6"/>
    <n v="1"/>
    <n v="28.06"/>
    <x v="636"/>
    <n v="0.94919786096256686"/>
    <n v="4.507042253521127E-2"/>
    <n v="0.375"/>
    <n v="0.16666666666666666"/>
    <n v="2.8169014084507044E-3"/>
    <n v="4.6766666666666667"/>
    <n v="1.7537499999999999"/>
    <n v="30.251603706343552"/>
  </r>
  <r>
    <x v="139"/>
    <s v="CMP202605022"/>
    <s v="CUST100607"/>
    <x v="2"/>
    <s v="Green"/>
    <x v="0"/>
    <s v="North"/>
    <s v="25-34"/>
    <n v="571"/>
    <n v="517"/>
    <n v="510"/>
    <n v="27"/>
    <n v="12"/>
    <n v="1"/>
    <n v="48.58"/>
    <x v="637"/>
    <n v="0.98646034816247585"/>
    <n v="5.2941176470588235E-2"/>
    <n v="0.44444444444444442"/>
    <n v="8.3333333333333329E-2"/>
    <n v="1.9607843137254902E-3"/>
    <n v="4.0483333333333329"/>
    <n v="1.7992592592592591"/>
    <n v="19.661177439275423"/>
  </r>
  <r>
    <x v="139"/>
    <s v="CMP202605041"/>
    <s v="CUST100368"/>
    <x v="1"/>
    <s v="Red Saleable"/>
    <x v="1"/>
    <s v="South"/>
    <s v="55+"/>
    <n v="892"/>
    <n v="795"/>
    <n v="768"/>
    <n v="36"/>
    <n v="17"/>
    <n v="0"/>
    <n v="138.35"/>
    <x v="0"/>
    <n v="0.96603773584905661"/>
    <n v="4.6875E-2"/>
    <n v="0.47222222222222221"/>
    <n v="0"/>
    <n v="0"/>
    <n v="8.1382352941176475"/>
    <n v="3.8430555555555554"/>
    <n v="-1"/>
  </r>
  <r>
    <x v="139"/>
    <s v="CMP202605054"/>
    <s v="CUST100324"/>
    <x v="1"/>
    <s v="Red Saleable"/>
    <x v="0"/>
    <s v="Central"/>
    <s v="25-34"/>
    <n v="1621"/>
    <n v="1527"/>
    <n v="1452"/>
    <n v="29"/>
    <n v="13"/>
    <n v="1"/>
    <n v="315.68"/>
    <x v="638"/>
    <n v="0.9508840864440079"/>
    <n v="1.9972451790633609E-2"/>
    <n v="0.44827586206896552"/>
    <n v="7.6923076923076927E-2"/>
    <n v="6.8870523415977963E-4"/>
    <n v="24.283076923076923"/>
    <n v="10.885517241379311"/>
    <n v="1.352572225038013"/>
  </r>
  <r>
    <x v="139"/>
    <s v="CMP202605055"/>
    <s v="CUST101399"/>
    <x v="2"/>
    <s v="Red Saleable"/>
    <x v="1"/>
    <s v="Central"/>
    <s v="45-54"/>
    <n v="633"/>
    <n v="544"/>
    <n v="524"/>
    <n v="29"/>
    <n v="17"/>
    <n v="1"/>
    <n v="40.39"/>
    <x v="639"/>
    <n v="0.96323529411764708"/>
    <n v="5.5343511450381681E-2"/>
    <n v="0.58620689655172409"/>
    <n v="5.8823529411764705E-2"/>
    <n v="1.9083969465648854E-3"/>
    <n v="2.3758823529411766"/>
    <n v="1.3927586206896552"/>
    <n v="36.53552859618717"/>
  </r>
  <r>
    <x v="140"/>
    <s v="CMP202605008"/>
    <s v="CUST100154"/>
    <x v="0"/>
    <s v="Red Non-Saleable"/>
    <x v="0"/>
    <s v="West"/>
    <s v="45-54"/>
    <n v="740"/>
    <n v="624"/>
    <n v="563"/>
    <n v="4"/>
    <n v="2"/>
    <n v="0"/>
    <n v="85.09"/>
    <x v="0"/>
    <n v="0.90224358974358976"/>
    <n v="7.104795737122558E-3"/>
    <n v="0.5"/>
    <n v="0"/>
    <n v="0"/>
    <n v="42.545000000000002"/>
    <n v="21.272500000000001"/>
    <n v="-1"/>
  </r>
  <r>
    <x v="140"/>
    <s v="CMP202605031"/>
    <s v="CUST100935"/>
    <x v="2"/>
    <s v="Amber"/>
    <x v="0"/>
    <s v="West"/>
    <s v="35-44"/>
    <n v="971"/>
    <n v="731"/>
    <n v="683"/>
    <n v="35"/>
    <n v="16"/>
    <n v="1"/>
    <n v="56.57"/>
    <x v="640"/>
    <n v="0.93433652530779754"/>
    <n v="5.1244509516837483E-2"/>
    <n v="0.45714285714285713"/>
    <n v="6.25E-2"/>
    <n v="1.4641288433382138E-3"/>
    <n v="3.535625"/>
    <n v="1.6162857142857143"/>
    <n v="15.622768251723528"/>
  </r>
  <r>
    <x v="140"/>
    <s v="CMP202605035"/>
    <s v="CUST100567"/>
    <x v="3"/>
    <s v="Green"/>
    <x v="0"/>
    <s v="South"/>
    <s v="55+"/>
    <n v="4710"/>
    <n v="4295"/>
    <n v="4007"/>
    <n v="343"/>
    <n v="168"/>
    <n v="12"/>
    <n v="570.41"/>
    <x v="641"/>
    <n v="0.93294528521536668"/>
    <n v="8.5600199650611428E-2"/>
    <n v="0.48979591836734693"/>
    <n v="7.1428571428571425E-2"/>
    <n v="2.9947591714499623E-3"/>
    <n v="3.3952976190476187"/>
    <n v="1.663002915451895"/>
    <n v="20.136954120720183"/>
  </r>
  <r>
    <x v="140"/>
    <s v="CMP202605046"/>
    <s v="CUST101172"/>
    <x v="2"/>
    <s v="Green"/>
    <x v="0"/>
    <s v="North"/>
    <s v="25-34"/>
    <n v="4109"/>
    <n v="3343"/>
    <n v="3192"/>
    <n v="232"/>
    <n v="111"/>
    <n v="6"/>
    <n v="316.75"/>
    <x v="642"/>
    <n v="0.95483099012862693"/>
    <n v="7.2681704260651625E-2"/>
    <n v="0.47844827586206895"/>
    <n v="5.4054054054054057E-2"/>
    <n v="1.8796992481203006E-3"/>
    <n v="2.8536036036036037"/>
    <n v="1.365301724137931"/>
    <n v="28.18080505130229"/>
  </r>
  <r>
    <x v="140"/>
    <s v="CMP202605051"/>
    <s v="CUST100891"/>
    <x v="0"/>
    <s v="Green"/>
    <x v="0"/>
    <s v="West"/>
    <s v="25-34"/>
    <n v="4297"/>
    <n v="3879"/>
    <n v="3517"/>
    <n v="294"/>
    <n v="141"/>
    <n v="11"/>
    <n v="488.54"/>
    <x v="643"/>
    <n v="0.90667697860273266"/>
    <n v="8.3593972135342615E-2"/>
    <n v="0.47959183673469385"/>
    <n v="7.8014184397163122E-2"/>
    <n v="3.1276656241114587E-3"/>
    <n v="3.464822695035461"/>
    <n v="1.6617006802721088"/>
    <n v="28.473267286199697"/>
  </r>
  <r>
    <x v="140"/>
    <s v="CMP202605061"/>
    <s v="CUST100457"/>
    <x v="0"/>
    <s v="Red Saleable"/>
    <x v="0"/>
    <s v="West"/>
    <s v="18-24"/>
    <n v="1316"/>
    <n v="1156"/>
    <n v="1055"/>
    <n v="38"/>
    <n v="19"/>
    <n v="1"/>
    <n v="120.57"/>
    <x v="644"/>
    <n v="0.91262975778546718"/>
    <n v="3.6018957345971561E-2"/>
    <n v="0.5"/>
    <n v="5.2631578947368418E-2"/>
    <n v="9.4786729857819908E-4"/>
    <n v="6.34578947368421"/>
    <n v="3.172894736842105"/>
    <n v="7.9440159243592952"/>
  </r>
  <r>
    <x v="140"/>
    <s v="CMP202605069"/>
    <s v="CUST100459"/>
    <x v="0"/>
    <s v="Amber"/>
    <x v="1"/>
    <s v="North"/>
    <s v="35-44"/>
    <n v="1562"/>
    <n v="1194"/>
    <n v="1080"/>
    <n v="74"/>
    <n v="56"/>
    <n v="3"/>
    <n v="125.39"/>
    <x v="645"/>
    <n v="0.90452261306532666"/>
    <n v="6.851851851851852E-2"/>
    <n v="0.7567567567567568"/>
    <n v="5.3571428571428568E-2"/>
    <n v="2.7777777777777779E-3"/>
    <n v="2.2391071428571427"/>
    <n v="1.6944594594594595"/>
    <n v="20.483052875029909"/>
  </r>
  <r>
    <x v="141"/>
    <s v="CMP202605010"/>
    <s v="CUST100652"/>
    <x v="2"/>
    <s v="Green"/>
    <x v="0"/>
    <s v="Central"/>
    <s v="25-34"/>
    <n v="3096"/>
    <n v="2791"/>
    <n v="2577"/>
    <n v="169"/>
    <n v="73"/>
    <n v="5"/>
    <n v="247.14"/>
    <x v="646"/>
    <n v="0.92332497312791117"/>
    <n v="6.5580131936360114E-2"/>
    <n v="0.43195266272189348"/>
    <n v="6.8493150684931503E-2"/>
    <n v="1.9402405898331393E-3"/>
    <n v="3.3854794520547942"/>
    <n v="1.4623668639053253"/>
    <n v="15.062312859108198"/>
  </r>
  <r>
    <x v="141"/>
    <s v="CMP202605012"/>
    <s v="CUST100599"/>
    <x v="2"/>
    <s v="Green"/>
    <x v="1"/>
    <s v="Central"/>
    <s v="45-54"/>
    <n v="1526"/>
    <n v="1172"/>
    <n v="1120"/>
    <n v="119"/>
    <n v="64"/>
    <n v="6"/>
    <n v="109.02"/>
    <x v="647"/>
    <n v="0.95563139931740615"/>
    <n v="0.10625"/>
    <n v="0.53781512605042014"/>
    <n v="9.375E-2"/>
    <n v="5.3571428571428572E-3"/>
    <n v="1.7034374999999999"/>
    <n v="0.91613445378151259"/>
    <n v="63.002476609796368"/>
  </r>
  <r>
    <x v="141"/>
    <s v="CMP202605017"/>
    <s v="CUST101494"/>
    <x v="0"/>
    <s v="Amber"/>
    <x v="1"/>
    <s v="South"/>
    <s v="35-44"/>
    <n v="2360"/>
    <n v="2283"/>
    <n v="2058"/>
    <n v="164"/>
    <n v="105"/>
    <n v="8"/>
    <n v="316.14999999999998"/>
    <x v="648"/>
    <n v="0.90144546649145862"/>
    <n v="7.9689018464528666E-2"/>
    <n v="0.6402439024390244"/>
    <n v="7.6190476190476197E-2"/>
    <n v="3.8872691933916422E-3"/>
    <n v="3.0109523809523808"/>
    <n v="1.9277439024390242"/>
    <n v="35.497896568084769"/>
  </r>
  <r>
    <x v="141"/>
    <s v="CMP202605024"/>
    <s v="CUST100303"/>
    <x v="2"/>
    <s v="Green"/>
    <x v="0"/>
    <s v="West"/>
    <s v="25-34"/>
    <n v="1664"/>
    <n v="1367"/>
    <n v="1278"/>
    <n v="81"/>
    <n v="31"/>
    <n v="2"/>
    <n v="111.88"/>
    <x v="649"/>
    <n v="0.93489392831016827"/>
    <n v="6.3380281690140844E-2"/>
    <n v="0.38271604938271603"/>
    <n v="6.4516129032258063E-2"/>
    <n v="1.5649452269170579E-3"/>
    <n v="3.609032258064516"/>
    <n v="1.3812345679012346"/>
    <n v="13.963174830175186"/>
  </r>
  <r>
    <x v="141"/>
    <s v="CMP202605037"/>
    <s v="CUST100657"/>
    <x v="3"/>
    <s v="Amber"/>
    <x v="0"/>
    <s v="East"/>
    <s v="18-24"/>
    <n v="1225"/>
    <n v="1030"/>
    <n v="977"/>
    <n v="63"/>
    <n v="30"/>
    <n v="1"/>
    <n v="162.94"/>
    <x v="650"/>
    <n v="0.94854368932038835"/>
    <n v="6.4483111566018422E-2"/>
    <n v="0.47619047619047616"/>
    <n v="3.3333333333333333E-2"/>
    <n v="1.0235414534288639E-3"/>
    <n v="5.4313333333333329"/>
    <n v="2.5863492063492064"/>
    <n v="3.1763225727261566"/>
  </r>
  <r>
    <x v="141"/>
    <s v="CMP202605039"/>
    <s v="CUST100630"/>
    <x v="2"/>
    <s v="Red Saleable"/>
    <x v="0"/>
    <s v="North"/>
    <s v="55+"/>
    <n v="2967"/>
    <n v="2546"/>
    <n v="2467"/>
    <n v="100"/>
    <n v="42"/>
    <n v="2"/>
    <n v="235.8"/>
    <x v="651"/>
    <n v="0.96897093479968577"/>
    <n v="4.0535062829347386E-2"/>
    <n v="0.42"/>
    <n v="4.7619047619047616E-2"/>
    <n v="8.107012565869477E-4"/>
    <n v="5.6142857142857148"/>
    <n v="2.3580000000000001"/>
    <n v="10.028032230703985"/>
  </r>
  <r>
    <x v="141"/>
    <s v="CMP202605041"/>
    <s v="CUST100957"/>
    <x v="2"/>
    <s v="Amber"/>
    <x v="1"/>
    <s v="South"/>
    <s v="45-54"/>
    <n v="1923"/>
    <n v="1727"/>
    <n v="1652"/>
    <n v="130"/>
    <n v="87"/>
    <n v="5"/>
    <n v="120.81"/>
    <x v="652"/>
    <n v="0.95657209033005208"/>
    <n v="7.8692493946731237E-2"/>
    <n v="0.66923076923076918"/>
    <n v="5.7471264367816091E-2"/>
    <n v="3.0266343825665859E-3"/>
    <n v="1.3886206896551725"/>
    <n v="0.92930769230769228"/>
    <n v="58.801009850177962"/>
  </r>
  <r>
    <x v="141"/>
    <s v="CMP202605042"/>
    <s v="CUST100006"/>
    <x v="0"/>
    <s v="Amber"/>
    <x v="0"/>
    <s v="East"/>
    <s v="55+"/>
    <n v="1263"/>
    <n v="1134"/>
    <n v="1034"/>
    <n v="42"/>
    <n v="21"/>
    <n v="1"/>
    <n v="135.21"/>
    <x v="653"/>
    <n v="0.91181657848324515"/>
    <n v="4.0618955512572531E-2"/>
    <n v="0.5"/>
    <n v="4.7619047619047616E-2"/>
    <n v="9.6711798839458415E-4"/>
    <n v="6.4385714285714286"/>
    <n v="3.2192857142857143"/>
    <n v="8.2777161452555283"/>
  </r>
  <r>
    <x v="141"/>
    <s v="CMP202605044"/>
    <s v="CUST100733"/>
    <x v="1"/>
    <s v="Green"/>
    <x v="0"/>
    <s v="East"/>
    <s v="25-34"/>
    <n v="4694"/>
    <n v="3487"/>
    <n v="3320"/>
    <n v="218"/>
    <n v="84"/>
    <n v="5"/>
    <n v="624.55999999999995"/>
    <x v="654"/>
    <n v="0.95210782907943792"/>
    <n v="6.5662650602409639E-2"/>
    <n v="0.38532110091743121"/>
    <n v="5.9523809523809521E-2"/>
    <n v="1.5060240963855422E-3"/>
    <n v="7.4352380952380948"/>
    <n v="2.8649541284403668"/>
    <n v="5.5935698731907264"/>
  </r>
  <r>
    <x v="141"/>
    <s v="CMP202605077"/>
    <s v="CUST100770"/>
    <x v="2"/>
    <s v="Amber"/>
    <x v="0"/>
    <s v="South"/>
    <s v="45-54"/>
    <n v="4175"/>
    <n v="3739"/>
    <n v="3585"/>
    <n v="143"/>
    <n v="57"/>
    <n v="3"/>
    <n v="344.03"/>
    <x v="655"/>
    <n v="0.95881251671569934"/>
    <n v="3.9888423988842396E-2"/>
    <n v="0.39860139860139859"/>
    <n v="5.2631578947368418E-2"/>
    <n v="8.3682008368200832E-4"/>
    <n v="6.0356140350877192"/>
    <n v="2.4058041958041958"/>
    <n v="5.0768537627532488"/>
  </r>
  <r>
    <x v="142"/>
    <s v="CMP202605007"/>
    <s v="CUST101275"/>
    <x v="2"/>
    <s v="Red Non-Saleable"/>
    <x v="0"/>
    <s v="North"/>
    <s v="45-54"/>
    <n v="4251"/>
    <n v="4076"/>
    <n v="3928"/>
    <n v="65"/>
    <n v="31"/>
    <n v="0"/>
    <n v="382.6"/>
    <x v="0"/>
    <n v="0.96368989205103039"/>
    <n v="1.6547861507128309E-2"/>
    <n v="0.47692307692307695"/>
    <n v="0"/>
    <n v="0"/>
    <n v="12.341935483870968"/>
    <n v="5.8861538461538467"/>
    <n v="-1"/>
  </r>
  <r>
    <x v="142"/>
    <s v="CMP202605015"/>
    <s v="CUST100135"/>
    <x v="2"/>
    <s v="Red Saleable"/>
    <x v="1"/>
    <s v="Central"/>
    <s v="25-34"/>
    <n v="4137"/>
    <n v="3464"/>
    <n v="3302"/>
    <n v="133"/>
    <n v="69"/>
    <n v="4"/>
    <n v="290.38"/>
    <x v="656"/>
    <n v="0.95323325635103928"/>
    <n v="4.0278619018776496E-2"/>
    <n v="0.51879699248120303"/>
    <n v="5.7971014492753624E-2"/>
    <n v="1.2113870381586917E-3"/>
    <n v="4.2084057971014488"/>
    <n v="2.1833082706766915"/>
    <n v="14.191645430126043"/>
  </r>
  <r>
    <x v="142"/>
    <s v="CMP202605024"/>
    <s v="CUST100487"/>
    <x v="3"/>
    <s v="Red Saleable"/>
    <x v="0"/>
    <s v="West"/>
    <s v="55+"/>
    <n v="3181"/>
    <n v="2886"/>
    <n v="2678"/>
    <n v="102"/>
    <n v="50"/>
    <n v="2"/>
    <n v="506.5"/>
    <x v="657"/>
    <n v="0.92792792792792789"/>
    <n v="3.8088125466766244E-2"/>
    <n v="0.49019607843137253"/>
    <n v="0.04"/>
    <n v="7.468259895444362E-4"/>
    <n v="10.130000000000001"/>
    <n v="4.965686274509804"/>
    <n v="2.4046594274432378"/>
  </r>
  <r>
    <x v="142"/>
    <s v="CMP202605030"/>
    <s v="CUST101246"/>
    <x v="2"/>
    <s v="Red Non-Saleable"/>
    <x v="0"/>
    <s v="North"/>
    <s v="35-44"/>
    <n v="3580"/>
    <n v="3327"/>
    <n v="3133"/>
    <n v="93"/>
    <n v="43"/>
    <n v="2"/>
    <n v="228.9"/>
    <x v="658"/>
    <n v="0.94168920949804624"/>
    <n v="2.9684008937120969E-2"/>
    <n v="0.46236559139784944"/>
    <n v="4.6511627906976744E-2"/>
    <n v="6.3836578359399937E-4"/>
    <n v="5.3232558139534882"/>
    <n v="2.4612903225806453"/>
    <n v="4.4038444735692446"/>
  </r>
  <r>
    <x v="142"/>
    <s v="CMP202605041"/>
    <s v="CUST100798"/>
    <x v="2"/>
    <s v="Green"/>
    <x v="0"/>
    <s v="East"/>
    <s v="45-54"/>
    <n v="2387"/>
    <n v="1719"/>
    <n v="1601"/>
    <n v="112"/>
    <n v="46"/>
    <n v="3"/>
    <n v="143.86000000000001"/>
    <x v="659"/>
    <n v="0.93135543920884234"/>
    <n v="6.9956277326670827E-2"/>
    <n v="0.4107142857142857"/>
    <n v="6.5217391304347824E-2"/>
    <n v="1.8738288569643974E-3"/>
    <n v="3.1273913043478263"/>
    <n v="1.2844642857142858"/>
    <n v="21.617197275128593"/>
  </r>
  <r>
    <x v="142"/>
    <s v="CMP202605053"/>
    <s v="CUST101447"/>
    <x v="2"/>
    <s v="Amber"/>
    <x v="0"/>
    <s v="North"/>
    <s v="55+"/>
    <n v="4317"/>
    <n v="4254"/>
    <n v="3972"/>
    <n v="204"/>
    <n v="104"/>
    <n v="7"/>
    <n v="315.33"/>
    <x v="660"/>
    <n v="0.93370944992947813"/>
    <n v="5.1359516616314202E-2"/>
    <n v="0.50980392156862742"/>
    <n v="6.7307692307692304E-2"/>
    <n v="1.7623363544813696E-3"/>
    <n v="3.0320192307692304"/>
    <n v="1.545735294117647"/>
    <n v="26.898709288681697"/>
  </r>
  <r>
    <x v="142"/>
    <s v="CMP202605056"/>
    <s v="CUST100786"/>
    <x v="0"/>
    <s v="Amber"/>
    <x v="0"/>
    <s v="South"/>
    <s v="25-34"/>
    <n v="689"/>
    <n v="661"/>
    <n v="605"/>
    <n v="31"/>
    <n v="14"/>
    <n v="1"/>
    <n v="78.599999999999994"/>
    <x v="661"/>
    <n v="0.91527987897125562"/>
    <n v="5.1239669421487603E-2"/>
    <n v="0.45161290322580644"/>
    <n v="7.1428571428571425E-2"/>
    <n v="1.652892561983471E-3"/>
    <n v="5.6142857142857139"/>
    <n v="2.5354838709677416"/>
    <n v="8.042875318066157"/>
  </r>
  <r>
    <x v="142"/>
    <s v="CMP202605066"/>
    <s v="CUST100050"/>
    <x v="0"/>
    <s v="Amber"/>
    <x v="0"/>
    <s v="Central"/>
    <s v="35-44"/>
    <n v="3510"/>
    <n v="2642"/>
    <n v="2411"/>
    <n v="148"/>
    <n v="68"/>
    <n v="3"/>
    <n v="357.59"/>
    <x v="662"/>
    <n v="0.91256623769871315"/>
    <n v="6.1385317295727916E-2"/>
    <n v="0.45945945945945948"/>
    <n v="4.4117647058823532E-2"/>
    <n v="1.244296972210701E-3"/>
    <n v="5.2586764705882345"/>
    <n v="2.4161486486486483"/>
    <n v="8.614838222545373"/>
  </r>
  <r>
    <x v="142"/>
    <s v="CMP202605069"/>
    <s v="CUST100806"/>
    <x v="2"/>
    <s v="Green"/>
    <x v="0"/>
    <s v="West"/>
    <s v="55+"/>
    <n v="3877"/>
    <n v="3683"/>
    <n v="3486"/>
    <n v="226"/>
    <n v="92"/>
    <n v="5"/>
    <n v="277.69"/>
    <x v="663"/>
    <n v="0.94651099647026882"/>
    <n v="6.4830751577739529E-2"/>
    <n v="0.40707964601769914"/>
    <n v="5.434782608695652E-2"/>
    <n v="1.434308663224326E-3"/>
    <n v="3.0183695652173914"/>
    <n v="1.2287168141592921"/>
    <n v="26.788541179012572"/>
  </r>
  <r>
    <x v="143"/>
    <s v="CMP202605031"/>
    <s v="CUST100461"/>
    <x v="2"/>
    <s v="Green"/>
    <x v="0"/>
    <s v="Central"/>
    <s v="25-34"/>
    <n v="2903"/>
    <n v="2322"/>
    <n v="2136"/>
    <n v="143"/>
    <n v="78"/>
    <n v="5"/>
    <n v="159.83000000000001"/>
    <x v="664"/>
    <n v="0.91989664082687339"/>
    <n v="6.6947565543071158E-2"/>
    <n v="0.54545454545454541"/>
    <n v="6.4102564102564097E-2"/>
    <n v="2.3408239700374533E-3"/>
    <n v="2.0491025641025642"/>
    <n v="1.1176923076923078"/>
    <n v="22.04830132015266"/>
  </r>
  <r>
    <x v="143"/>
    <s v="CMP202605042"/>
    <s v="CUST101156"/>
    <x v="0"/>
    <s v="Red Non-Saleable"/>
    <x v="0"/>
    <s v="North"/>
    <s v="35-44"/>
    <n v="926"/>
    <n v="916"/>
    <n v="847"/>
    <n v="21"/>
    <n v="10"/>
    <n v="0"/>
    <n v="103.69"/>
    <x v="0"/>
    <n v="0.9246724890829694"/>
    <n v="2.4793388429752067E-2"/>
    <n v="0.47619047619047616"/>
    <n v="0"/>
    <n v="0"/>
    <n v="10.369"/>
    <n v="4.9376190476190471"/>
    <n v="-1"/>
  </r>
  <r>
    <x v="143"/>
    <s v="CMP202605057"/>
    <s v="CUST100721"/>
    <x v="3"/>
    <s v="Red Saleable"/>
    <x v="0"/>
    <s v="West"/>
    <s v="55+"/>
    <n v="1295"/>
    <n v="1216"/>
    <n v="1130"/>
    <n v="31"/>
    <n v="17"/>
    <n v="0"/>
    <n v="157.88"/>
    <x v="0"/>
    <n v="0.92927631578947367"/>
    <n v="2.743362831858407E-2"/>
    <n v="0.54838709677419351"/>
    <n v="0"/>
    <n v="0"/>
    <n v="9.2870588235294118"/>
    <n v="5.0929032258064515"/>
    <n v="-1"/>
  </r>
  <r>
    <x v="143"/>
    <s v="CMP202605065"/>
    <s v="CUST101093"/>
    <x v="1"/>
    <s v="Amber"/>
    <x v="0"/>
    <s v="East"/>
    <s v="25-34"/>
    <n v="1248"/>
    <n v="1061"/>
    <n v="1007"/>
    <n v="40"/>
    <n v="15"/>
    <n v="1"/>
    <n v="206.83"/>
    <x v="665"/>
    <n v="0.9491046182846371"/>
    <n v="3.9721946375372394E-2"/>
    <n v="0.375"/>
    <n v="6.6666666666666666E-2"/>
    <n v="9.930486593843098E-4"/>
    <n v="13.788666666666668"/>
    <n v="5.17075"/>
    <n v="4.1021611951844505"/>
  </r>
  <r>
    <x v="144"/>
    <s v="CMP202605019"/>
    <s v="CUST100434"/>
    <x v="2"/>
    <s v="Amber"/>
    <x v="0"/>
    <s v="West"/>
    <s v="25-34"/>
    <n v="2628"/>
    <n v="2350"/>
    <n v="2232"/>
    <n v="110"/>
    <n v="43"/>
    <n v="1"/>
    <n v="206.83"/>
    <x v="666"/>
    <n v="0.94978723404255316"/>
    <n v="4.9283154121863799E-2"/>
    <n v="0.39090909090909093"/>
    <n v="2.3255813953488372E-2"/>
    <n v="4.4802867383512545E-4"/>
    <n v="4.8100000000000005"/>
    <n v="1.8802727272727273"/>
    <n v="4.4780737803993613"/>
  </r>
  <r>
    <x v="144"/>
    <s v="CMP202605022"/>
    <s v="CUST100743"/>
    <x v="1"/>
    <s v="Green"/>
    <x v="1"/>
    <s v="Central"/>
    <s v="25-34"/>
    <n v="4993"/>
    <n v="3664"/>
    <n v="3524"/>
    <n v="179"/>
    <n v="73"/>
    <n v="7"/>
    <n v="771.02"/>
    <x v="667"/>
    <n v="0.96179039301310043"/>
    <n v="5.0794551645856979E-2"/>
    <n v="0.40782122905027934"/>
    <n v="9.5890410958904104E-2"/>
    <n v="1.9863791146424517E-3"/>
    <n v="10.561917808219178"/>
    <n v="4.3073743016759778"/>
    <n v="9.3735311665067051"/>
  </r>
  <r>
    <x v="144"/>
    <s v="CMP202605030"/>
    <s v="CUST100109"/>
    <x v="2"/>
    <s v="Red Non-Saleable"/>
    <x v="0"/>
    <s v="Central"/>
    <s v="45-54"/>
    <n v="1940"/>
    <n v="1797"/>
    <n v="1669"/>
    <n v="38"/>
    <n v="16"/>
    <n v="0"/>
    <n v="135.13"/>
    <x v="0"/>
    <n v="0.92877017250973848"/>
    <n v="2.2768124625524265E-2"/>
    <n v="0.42105263157894735"/>
    <n v="0"/>
    <n v="0"/>
    <n v="8.4456249999999997"/>
    <n v="3.5560526315789471"/>
    <n v="-1"/>
  </r>
  <r>
    <x v="144"/>
    <s v="CMP202605047"/>
    <s v="CUST100671"/>
    <x v="3"/>
    <s v="Red Saleable"/>
    <x v="0"/>
    <s v="South"/>
    <s v="35-44"/>
    <n v="2797"/>
    <n v="2756"/>
    <n v="2601"/>
    <n v="95"/>
    <n v="43"/>
    <n v="2"/>
    <n v="453.86"/>
    <x v="668"/>
    <n v="0.94375907111756163"/>
    <n v="3.6524413687043442E-2"/>
    <n v="0.45263157894736844"/>
    <n v="4.6511627906976744E-2"/>
    <n v="7.6893502499038834E-4"/>
    <n v="10.554883720930233"/>
    <n v="4.7774736842105261"/>
    <n v="3.3994623892830389"/>
  </r>
  <r>
    <x v="144"/>
    <s v="CMP202605057"/>
    <s v="CUST101067"/>
    <x v="0"/>
    <s v="Green"/>
    <x v="0"/>
    <s v="South"/>
    <s v="25-34"/>
    <n v="2818"/>
    <n v="2615"/>
    <n v="2337"/>
    <n v="205"/>
    <n v="100"/>
    <n v="6"/>
    <n v="289.83"/>
    <x v="669"/>
    <n v="0.89369024856596557"/>
    <n v="8.771929824561403E-2"/>
    <n v="0.48780487804878048"/>
    <n v="0.06"/>
    <n v="2.5673940949935813E-3"/>
    <n v="2.8982999999999999"/>
    <n v="1.4138048780487804"/>
    <n v="16.598695787185594"/>
  </r>
  <r>
    <x v="144"/>
    <s v="CMP202605058"/>
    <s v="CUST101379"/>
    <x v="2"/>
    <s v="Red Saleable"/>
    <x v="0"/>
    <s v="North"/>
    <s v="45-54"/>
    <n v="1482"/>
    <n v="1181"/>
    <n v="1121"/>
    <n v="33"/>
    <n v="16"/>
    <n v="1"/>
    <n v="91.7"/>
    <x v="670"/>
    <n v="0.94919559695173583"/>
    <n v="2.9438001784121322E-2"/>
    <n v="0.48484848484848486"/>
    <n v="6.25E-2"/>
    <n v="8.9206066012488853E-4"/>
    <n v="5.7312500000000002"/>
    <n v="2.7787878787878788"/>
    <n v="12.30567066521265"/>
  </r>
  <r>
    <x v="144"/>
    <s v="CMP202605070"/>
    <s v="CUST100370"/>
    <x v="0"/>
    <s v="Green"/>
    <x v="0"/>
    <s v="North"/>
    <s v="45-54"/>
    <n v="3806"/>
    <n v="3427"/>
    <n v="3133"/>
    <n v="273"/>
    <n v="129"/>
    <n v="12"/>
    <n v="425.65"/>
    <x v="671"/>
    <n v="0.91421067989495186"/>
    <n v="8.7136929460580909E-2"/>
    <n v="0.47252747252747251"/>
    <n v="9.3023255813953487E-2"/>
    <n v="3.830194701563996E-3"/>
    <n v="3.2996124031007752"/>
    <n v="1.5591575091575092"/>
    <n v="20.392270644896044"/>
  </r>
  <r>
    <x v="145"/>
    <s v="CMP202605007"/>
    <s v="CUST100795"/>
    <x v="3"/>
    <s v="Amber"/>
    <x v="0"/>
    <s v="Central"/>
    <s v="18-24"/>
    <n v="2088"/>
    <n v="1560"/>
    <n v="1424"/>
    <n v="99"/>
    <n v="51"/>
    <n v="1"/>
    <n v="228.5"/>
    <x v="672"/>
    <n v="0.9128205128205128"/>
    <n v="6.9522471910112363E-2"/>
    <n v="0.51515151515151514"/>
    <n v="1.9607843137254902E-2"/>
    <n v="7.0224719101123594E-4"/>
    <n v="4.4803921568627452"/>
    <n v="2.308080808080808"/>
    <n v="4.0365426695842448"/>
  </r>
  <r>
    <x v="145"/>
    <s v="CMP202605017"/>
    <s v="CUST100029"/>
    <x v="3"/>
    <s v="Red Saleable"/>
    <x v="1"/>
    <s v="Central"/>
    <s v="55+"/>
    <n v="1591"/>
    <n v="1178"/>
    <n v="1105"/>
    <n v="64"/>
    <n v="42"/>
    <n v="2"/>
    <n v="208.78"/>
    <x v="673"/>
    <n v="0.93803056027164688"/>
    <n v="5.7918552036199097E-2"/>
    <n v="0.65625"/>
    <n v="4.7619047619047616E-2"/>
    <n v="1.8099547511312218E-3"/>
    <n v="4.9709523809523812"/>
    <n v="3.2621875"/>
    <n v="13.88557333077881"/>
  </r>
  <r>
    <x v="145"/>
    <s v="CMP202605031"/>
    <s v="CUST101464"/>
    <x v="2"/>
    <s v="Green"/>
    <x v="0"/>
    <s v="Central"/>
    <s v="35-44"/>
    <n v="1254"/>
    <n v="1148"/>
    <n v="1108"/>
    <n v="71"/>
    <n v="32"/>
    <n v="2"/>
    <n v="92.27"/>
    <x v="674"/>
    <n v="0.96515679442508706"/>
    <n v="6.4079422382671475E-2"/>
    <n v="0.45070422535211269"/>
    <n v="6.25E-2"/>
    <n v="1.8050541516245488E-3"/>
    <n v="2.8834374999999999"/>
    <n v="1.2995774647887324"/>
    <n v="17.711932372385391"/>
  </r>
  <r>
    <x v="145"/>
    <s v="CMP202605043"/>
    <s v="CUST100262"/>
    <x v="2"/>
    <s v="Red Saleable"/>
    <x v="0"/>
    <s v="Central"/>
    <s v="55+"/>
    <n v="2797"/>
    <n v="2437"/>
    <n v="2282"/>
    <n v="99"/>
    <n v="48"/>
    <n v="2"/>
    <n v="182.85"/>
    <x v="675"/>
    <n v="0.93639720968403772"/>
    <n v="4.3382997370727434E-2"/>
    <n v="0.48484848484848486"/>
    <n v="4.1666666666666664E-2"/>
    <n v="8.7642418930762491E-4"/>
    <n v="3.8093749999999997"/>
    <n v="1.8469696969696969"/>
    <n v="13.496800656275635"/>
  </r>
  <r>
    <x v="145"/>
    <s v="CMP202605051"/>
    <s v="CUST101414"/>
    <x v="1"/>
    <s v="Green"/>
    <x v="0"/>
    <s v="North"/>
    <s v="45-54"/>
    <n v="2910"/>
    <n v="2224"/>
    <n v="2136"/>
    <n v="80"/>
    <n v="38"/>
    <n v="2"/>
    <n v="347.41"/>
    <x v="676"/>
    <n v="0.96043165467625902"/>
    <n v="3.7453183520599252E-2"/>
    <n v="0.47499999999999998"/>
    <n v="5.2631578947368418E-2"/>
    <n v="9.3632958801498128E-4"/>
    <n v="9.1423684210526321"/>
    <n v="4.342625"/>
    <n v="5.7582683284879526"/>
  </r>
  <r>
    <x v="145"/>
    <s v="CMP202605059"/>
    <s v="CUST100089"/>
    <x v="1"/>
    <s v="Amber"/>
    <x v="0"/>
    <s v="West"/>
    <s v="45-54"/>
    <n v="1154"/>
    <n v="1051"/>
    <n v="1005"/>
    <n v="22"/>
    <n v="9"/>
    <n v="1"/>
    <n v="209.98"/>
    <x v="677"/>
    <n v="0.956232159847764"/>
    <n v="2.1890547263681594E-2"/>
    <n v="0.40909090909090912"/>
    <n v="0.1111111111111111"/>
    <n v="9.9502487562189048E-4"/>
    <n v="23.33111111111111"/>
    <n v="9.5445454545454549"/>
    <n v="3.7165920563863226"/>
  </r>
  <r>
    <x v="145"/>
    <s v="CMP202605061"/>
    <s v="CUST100014"/>
    <x v="2"/>
    <s v="Amber"/>
    <x v="1"/>
    <s v="South"/>
    <s v="45-54"/>
    <n v="560"/>
    <n v="406"/>
    <n v="374"/>
    <n v="26"/>
    <n v="17"/>
    <n v="1"/>
    <n v="35.799999999999997"/>
    <x v="678"/>
    <n v="0.9211822660098522"/>
    <n v="6.9518716577540107E-2"/>
    <n v="0.65384615384615385"/>
    <n v="5.8823529411764705E-2"/>
    <n v="2.6737967914438501E-3"/>
    <n v="2.1058823529411761"/>
    <n v="1.3769230769230769"/>
    <n v="26.043575418994415"/>
  </r>
  <r>
    <x v="145"/>
    <s v="CMP202605072"/>
    <s v="CUST101257"/>
    <x v="1"/>
    <s v="Red Non-Saleable"/>
    <x v="1"/>
    <s v="West"/>
    <s v="25-34"/>
    <n v="3162"/>
    <n v="2655"/>
    <n v="2487"/>
    <n v="31"/>
    <n v="16"/>
    <n v="1"/>
    <n v="566.74"/>
    <x v="679"/>
    <n v="0.93672316384180787"/>
    <n v="1.2464817048652996E-2"/>
    <n v="0.5161290322580645"/>
    <n v="6.25E-2"/>
    <n v="4.020908725371934E-4"/>
    <n v="35.421250000000001"/>
    <n v="18.281935483870967"/>
    <n v="0.42841514627518784"/>
  </r>
  <r>
    <x v="145"/>
    <s v="CMP202605079"/>
    <s v="CUST101368"/>
    <x v="3"/>
    <s v="Red Non-Saleable"/>
    <x v="1"/>
    <s v="North"/>
    <s v="35-44"/>
    <n v="878"/>
    <n v="845"/>
    <n v="783"/>
    <n v="28"/>
    <n v="18"/>
    <n v="0"/>
    <n v="136.88999999999999"/>
    <x v="0"/>
    <n v="0.92662721893491129"/>
    <n v="3.5759897828863345E-2"/>
    <n v="0.6428571428571429"/>
    <n v="0"/>
    <n v="0"/>
    <n v="7.6049999999999995"/>
    <n v="4.8889285714285711"/>
    <n v="-1"/>
  </r>
  <r>
    <x v="146"/>
    <s v="CMP202605041"/>
    <s v="CUST101287"/>
    <x v="2"/>
    <s v="Red Saleable"/>
    <x v="0"/>
    <s v="North"/>
    <s v="45-54"/>
    <n v="2683"/>
    <n v="2317"/>
    <n v="2146"/>
    <n v="94"/>
    <n v="49"/>
    <n v="2"/>
    <n v="166.81"/>
    <x v="680"/>
    <n v="0.9261976694000863"/>
    <n v="4.3802423112767941E-2"/>
    <n v="0.52127659574468088"/>
    <n v="4.0816326530612242E-2"/>
    <n v="9.3196644920782849E-4"/>
    <n v="3.4042857142857144"/>
    <n v="1.7745744680851063"/>
    <n v="8.1368023499790176"/>
  </r>
  <r>
    <x v="146"/>
    <s v="CMP202605043"/>
    <s v="CUST101081"/>
    <x v="2"/>
    <s v="Red Non-Saleable"/>
    <x v="1"/>
    <s v="West"/>
    <s v="35-44"/>
    <n v="3605"/>
    <n v="3032"/>
    <n v="2863"/>
    <n v="98"/>
    <n v="50"/>
    <n v="2"/>
    <n v="219.88"/>
    <x v="681"/>
    <n v="0.94426121372031657"/>
    <n v="3.4229828850855744E-2"/>
    <n v="0.51020408163265307"/>
    <n v="0.04"/>
    <n v="6.9856793573174988E-4"/>
    <n v="4.3975999999999997"/>
    <n v="2.2436734693877551"/>
    <n v="4.7097962525013655"/>
  </r>
  <r>
    <x v="146"/>
    <s v="CMP202605054"/>
    <s v="CUST100837"/>
    <x v="0"/>
    <s v="Amber"/>
    <x v="0"/>
    <s v="North"/>
    <s v="25-34"/>
    <n v="4063"/>
    <n v="2943"/>
    <n v="2659"/>
    <n v="151"/>
    <n v="78"/>
    <n v="6"/>
    <n v="404.02"/>
    <x v="682"/>
    <n v="0.90349983010533474"/>
    <n v="5.6788266265513351E-2"/>
    <n v="0.51655629139072845"/>
    <n v="7.6923076923076927E-2"/>
    <n v="2.2564874012786762E-3"/>
    <n v="5.1797435897435893"/>
    <n v="2.6756291390728477"/>
    <n v="15.564897777337757"/>
  </r>
  <r>
    <x v="146"/>
    <s v="CMP202605058"/>
    <s v="CUST101470"/>
    <x v="0"/>
    <s v="Amber"/>
    <x v="0"/>
    <s v="North"/>
    <s v="55+"/>
    <n v="1275"/>
    <n v="1085"/>
    <n v="1002"/>
    <n v="56"/>
    <n v="28"/>
    <n v="0"/>
    <n v="154.47999999999999"/>
    <x v="0"/>
    <n v="0.92350230414746548"/>
    <n v="5.588822355289421E-2"/>
    <n v="0.5"/>
    <n v="0"/>
    <n v="0"/>
    <n v="5.5171428571428569"/>
    <n v="2.7585714285714285"/>
    <n v="-1"/>
  </r>
  <r>
    <x v="146"/>
    <s v="CMP202605063"/>
    <s v="CUST101110"/>
    <x v="1"/>
    <s v="Green"/>
    <x v="0"/>
    <s v="West"/>
    <s v="35-44"/>
    <n v="2015"/>
    <n v="1572"/>
    <n v="1480"/>
    <n v="79"/>
    <n v="30"/>
    <n v="2"/>
    <n v="328.53"/>
    <x v="683"/>
    <n v="0.94147582697201015"/>
    <n v="5.3378378378378381E-2"/>
    <n v="0.379746835443038"/>
    <n v="6.6666666666666666E-2"/>
    <n v="1.3513513513513514E-3"/>
    <n v="10.950999999999999"/>
    <n v="4.1586075949367087"/>
    <n v="5.9862721821447051"/>
  </r>
  <r>
    <x v="146"/>
    <s v="CMP202605074"/>
    <s v="CUST100419"/>
    <x v="3"/>
    <s v="Green"/>
    <x v="0"/>
    <s v="East"/>
    <s v="35-44"/>
    <n v="683"/>
    <n v="619"/>
    <n v="571"/>
    <n v="44"/>
    <n v="21"/>
    <n v="2"/>
    <n v="110.82"/>
    <x v="684"/>
    <n v="0.92245557350565432"/>
    <n v="7.7057793345008757E-2"/>
    <n v="0.47727272727272729"/>
    <n v="9.5238095238095233E-2"/>
    <n v="3.5026269702276708E-3"/>
    <n v="5.2771428571428567"/>
    <n v="2.5186363636363636"/>
    <n v="13.713048186247971"/>
  </r>
  <r>
    <x v="146"/>
    <s v="CMP202605076"/>
    <s v="CUST100157"/>
    <x v="0"/>
    <s v="Amber"/>
    <x v="1"/>
    <s v="North"/>
    <s v="35-44"/>
    <n v="3102"/>
    <n v="2885"/>
    <n v="2702"/>
    <n v="191"/>
    <n v="131"/>
    <n v="9"/>
    <n v="366.81"/>
    <x v="685"/>
    <n v="0.93656845753899476"/>
    <n v="7.0688378978534416E-2"/>
    <n v="0.68586387434554974"/>
    <n v="6.8702290076335881E-2"/>
    <n v="3.3308660251665434E-3"/>
    <n v="2.8000763358778626"/>
    <n v="1.9204712041884817"/>
    <n v="26.869332897140211"/>
  </r>
  <r>
    <x v="147"/>
    <s v="CMP202605002"/>
    <s v="CUST101231"/>
    <x v="1"/>
    <s v="Amber"/>
    <x v="0"/>
    <s v="East"/>
    <s v="35-44"/>
    <n v="1227"/>
    <n v="1160"/>
    <n v="1140"/>
    <n v="38"/>
    <n v="14"/>
    <n v="1"/>
    <n v="233.31"/>
    <x v="686"/>
    <n v="0.98275862068965514"/>
    <n v="3.3333333333333333E-2"/>
    <n v="0.36842105263157893"/>
    <n v="7.1428571428571425E-2"/>
    <n v="8.7719298245614037E-4"/>
    <n v="16.664999999999999"/>
    <n v="6.1397368421052629"/>
    <n v="4.2092066349492088"/>
  </r>
  <r>
    <x v="147"/>
    <s v="CMP202605052"/>
    <s v="CUST101458"/>
    <x v="0"/>
    <s v="Red Saleable"/>
    <x v="0"/>
    <s v="West"/>
    <s v="45-54"/>
    <n v="3537"/>
    <n v="3136"/>
    <n v="2828"/>
    <n v="107"/>
    <n v="48"/>
    <n v="1"/>
    <n v="388.79"/>
    <x v="687"/>
    <n v="0.9017857142857143"/>
    <n v="3.7835926449787838E-2"/>
    <n v="0.44859813084112149"/>
    <n v="2.0833333333333332E-2"/>
    <n v="3.5360678925035362E-4"/>
    <n v="8.0997916666666665"/>
    <n v="3.633551401869159"/>
    <n v="2.0321510326911696"/>
  </r>
  <r>
    <x v="147"/>
    <s v="CMP202605056"/>
    <s v="CUST101047"/>
    <x v="1"/>
    <s v="Amber"/>
    <x v="0"/>
    <s v="Central"/>
    <s v="45-54"/>
    <n v="3411"/>
    <n v="2900"/>
    <n v="2768"/>
    <n v="97"/>
    <n v="33"/>
    <n v="2"/>
    <n v="596.15"/>
    <x v="688"/>
    <n v="0.95448275862068965"/>
    <n v="3.5043352601156069E-2"/>
    <n v="0.34020618556701032"/>
    <n v="6.0606060606060608E-2"/>
    <n v="7.2254335260115603E-4"/>
    <n v="18.065151515151513"/>
    <n v="6.1458762886597933"/>
    <n v="3.2003354860353941"/>
  </r>
  <r>
    <x v="147"/>
    <s v="CMP202605063"/>
    <s v="CUST100410"/>
    <x v="1"/>
    <s v="Amber"/>
    <x v="0"/>
    <s v="West"/>
    <s v="18-24"/>
    <n v="3967"/>
    <n v="3526"/>
    <n v="3355"/>
    <n v="129"/>
    <n v="61"/>
    <n v="4"/>
    <n v="584.05999999999995"/>
    <x v="689"/>
    <n v="0.95150311968235957"/>
    <n v="3.8450074515648289E-2"/>
    <n v="0.47286821705426357"/>
    <n v="6.5573770491803282E-2"/>
    <n v="1.1922503725782414E-3"/>
    <n v="9.5747540983606552"/>
    <n v="4.5275968992248057"/>
    <n v="8.2738759716467509"/>
  </r>
  <r>
    <x v="147"/>
    <s v="CMP202605072"/>
    <s v="CUST100766"/>
    <x v="0"/>
    <s v="Red Non-Saleable"/>
    <x v="1"/>
    <s v="North"/>
    <s v="18-24"/>
    <n v="2346"/>
    <n v="2241"/>
    <n v="1996"/>
    <n v="58"/>
    <n v="38"/>
    <n v="2"/>
    <n v="266.10000000000002"/>
    <x v="690"/>
    <n v="0.89067380633645699"/>
    <n v="2.9058116232464931E-2"/>
    <n v="0.65517241379310343"/>
    <n v="5.2631578947368418E-2"/>
    <n v="1.002004008016032E-3"/>
    <n v="7.0026315789473692"/>
    <n v="4.5879310344827591"/>
    <n v="4.3266816986095442"/>
  </r>
  <r>
    <x v="148"/>
    <s v="CMP202605021"/>
    <s v="CUST101198"/>
    <x v="3"/>
    <s v="Amber"/>
    <x v="0"/>
    <s v="South"/>
    <s v="25-34"/>
    <n v="4054"/>
    <n v="3255"/>
    <n v="3073"/>
    <n v="137"/>
    <n v="68"/>
    <n v="1"/>
    <n v="571.77"/>
    <x v="691"/>
    <n v="0.94408602150537635"/>
    <n v="4.4581841848356653E-2"/>
    <n v="0.49635036496350365"/>
    <n v="1.4705882352941176E-2"/>
    <n v="3.254149040026033E-4"/>
    <n v="8.4083823529411763"/>
    <n v="4.1735036496350366"/>
    <n v="0.29728737079594947"/>
  </r>
  <r>
    <x v="148"/>
    <s v="CMP202605021"/>
    <s v="CUST101407"/>
    <x v="3"/>
    <s v="Green"/>
    <x v="0"/>
    <s v="North"/>
    <s v="45-54"/>
    <n v="3668"/>
    <n v="3460"/>
    <n v="3183"/>
    <n v="262"/>
    <n v="112"/>
    <n v="8"/>
    <n v="621.4"/>
    <x v="692"/>
    <n v="0.91994219653179188"/>
    <n v="8.2312284008796727E-2"/>
    <n v="0.42748091603053434"/>
    <n v="7.1428571428571425E-2"/>
    <n v="2.5133521834747093E-3"/>
    <n v="5.5482142857142858"/>
    <n v="2.3717557251908397"/>
    <n v="13.916044415835211"/>
  </r>
  <r>
    <x v="148"/>
    <s v="CMP202605032"/>
    <s v="CUST101425"/>
    <x v="0"/>
    <s v="Red Non-Saleable"/>
    <x v="1"/>
    <s v="West"/>
    <s v="55+"/>
    <n v="410"/>
    <n v="307"/>
    <n v="278"/>
    <n v="7"/>
    <n v="5"/>
    <n v="0"/>
    <n v="40.42"/>
    <x v="0"/>
    <n v="0.90553745928338758"/>
    <n v="2.5179856115107913E-2"/>
    <n v="0.7142857142857143"/>
    <n v="0"/>
    <n v="0"/>
    <n v="8.0839999999999996"/>
    <n v="5.7742857142857149"/>
    <n v="-1"/>
  </r>
  <r>
    <x v="148"/>
    <s v="CMP202605033"/>
    <s v="CUST100341"/>
    <x v="0"/>
    <s v="Red Saleable"/>
    <x v="0"/>
    <s v="West"/>
    <s v="25-34"/>
    <n v="3179"/>
    <n v="2383"/>
    <n v="2151"/>
    <n v="95"/>
    <n v="48"/>
    <n v="1"/>
    <n v="320.01"/>
    <x v="693"/>
    <n v="0.90264372639529999"/>
    <n v="4.4165504416550441E-2"/>
    <n v="0.50526315789473686"/>
    <n v="2.0833333333333332E-2"/>
    <n v="4.6490004649000463E-4"/>
    <n v="6.6668750000000001"/>
    <n v="3.3685263157894734"/>
    <n v="1.1860566857285708"/>
  </r>
  <r>
    <x v="148"/>
    <s v="CMP202605035"/>
    <s v="CUST100337"/>
    <x v="1"/>
    <s v="Red Non-Saleable"/>
    <x v="1"/>
    <s v="North"/>
    <s v="45-54"/>
    <n v="763"/>
    <n v="569"/>
    <n v="557"/>
    <n v="10"/>
    <n v="5"/>
    <n v="0"/>
    <n v="116.15"/>
    <x v="0"/>
    <n v="0.97891036906854134"/>
    <n v="1.7953321364452424E-2"/>
    <n v="0.5"/>
    <n v="0"/>
    <n v="0"/>
    <n v="23.23"/>
    <n v="11.615"/>
    <n v="-1"/>
  </r>
  <r>
    <x v="148"/>
    <s v="CMP202605035"/>
    <s v="CUST101190"/>
    <x v="0"/>
    <s v="Red Non-Saleable"/>
    <x v="0"/>
    <s v="North"/>
    <s v="55+"/>
    <n v="2472"/>
    <n v="1834"/>
    <n v="1618"/>
    <n v="53"/>
    <n v="25"/>
    <n v="0"/>
    <n v="235.71"/>
    <x v="0"/>
    <n v="0.88222464558342417"/>
    <n v="3.2756489493201486E-2"/>
    <n v="0.47169811320754718"/>
    <n v="0"/>
    <n v="0"/>
    <n v="9.4283999999999999"/>
    <n v="4.4473584905660379"/>
    <n v="-1"/>
  </r>
  <r>
    <x v="148"/>
    <s v="CMP202605048"/>
    <s v="CUST100229"/>
    <x v="1"/>
    <s v="Red Saleable"/>
    <x v="0"/>
    <s v="Central"/>
    <s v="35-44"/>
    <n v="565"/>
    <n v="410"/>
    <n v="395"/>
    <n v="11"/>
    <n v="4"/>
    <n v="0"/>
    <n v="75.95"/>
    <x v="0"/>
    <n v="0.96341463414634143"/>
    <n v="2.7848101265822784E-2"/>
    <n v="0.36363636363636365"/>
    <n v="0"/>
    <n v="0"/>
    <n v="18.987500000000001"/>
    <n v="6.9045454545454552"/>
    <n v="-1"/>
  </r>
  <r>
    <x v="148"/>
    <s v="CMP202605070"/>
    <s v="CUST101046"/>
    <x v="1"/>
    <s v="Red Saleable"/>
    <x v="0"/>
    <s v="North"/>
    <s v="18-24"/>
    <n v="2875"/>
    <n v="2510"/>
    <n v="2338"/>
    <n v="26"/>
    <n v="11"/>
    <n v="0"/>
    <n v="499.64"/>
    <x v="0"/>
    <n v="0.93147410358565741"/>
    <n v="1.1120615911035072E-2"/>
    <n v="0.42307692307692307"/>
    <n v="0"/>
    <n v="0"/>
    <n v="45.421818181818182"/>
    <n v="19.216923076923077"/>
    <n v="-1"/>
  </r>
  <r>
    <x v="149"/>
    <s v="CMP202605050"/>
    <s v="CUST101393"/>
    <x v="0"/>
    <s v="Red Saleable"/>
    <x v="0"/>
    <s v="Central"/>
    <s v="35-44"/>
    <n v="2311"/>
    <n v="2307"/>
    <n v="2103"/>
    <n v="100"/>
    <n v="48"/>
    <n v="1"/>
    <n v="267.72000000000003"/>
    <x v="694"/>
    <n v="0.91157347204161243"/>
    <n v="4.7551117451260103E-2"/>
    <n v="0.48"/>
    <n v="2.0833333333333332E-2"/>
    <n v="4.7551117451260106E-4"/>
    <n v="5.5775000000000006"/>
    <n v="2.6772000000000005"/>
    <n v="2.4558867473479751"/>
  </r>
  <r>
    <x v="149"/>
    <s v="CMP202605057"/>
    <s v="CUST101224"/>
    <x v="2"/>
    <s v="Green"/>
    <x v="0"/>
    <s v="Central"/>
    <s v="25-34"/>
    <n v="2454"/>
    <n v="2226"/>
    <n v="2137"/>
    <n v="148"/>
    <n v="51"/>
    <n v="4"/>
    <n v="166.5"/>
    <x v="695"/>
    <n v="0.96001796945193174"/>
    <n v="6.9255966307908284E-2"/>
    <n v="0.34459459459459457"/>
    <n v="7.8431372549019607E-2"/>
    <n v="1.8717828731867104E-3"/>
    <n v="3.2647058823529411"/>
    <n v="1.125"/>
    <n v="18.324564564564565"/>
  </r>
  <r>
    <x v="149"/>
    <s v="CMP202605059"/>
    <s v="CUST100293"/>
    <x v="2"/>
    <s v="Red Saleable"/>
    <x v="1"/>
    <s v="North"/>
    <s v="35-44"/>
    <n v="4278"/>
    <n v="3528"/>
    <n v="3339"/>
    <n v="142"/>
    <n v="86"/>
    <n v="3"/>
    <n v="277.95"/>
    <x v="696"/>
    <n v="0.9464285714285714"/>
    <n v="4.2527702905061394E-2"/>
    <n v="0.60563380281690138"/>
    <n v="3.4883720930232558E-2"/>
    <n v="8.9847259658580418E-4"/>
    <n v="3.2319767441860465"/>
    <n v="1.9573943661971831"/>
    <n v="14.548336031660371"/>
  </r>
  <r>
    <x v="150"/>
    <s v="CMP202605007"/>
    <s v="CUST100759"/>
    <x v="2"/>
    <s v="Amber"/>
    <x v="1"/>
    <s v="South"/>
    <s v="18-24"/>
    <n v="2781"/>
    <n v="2156"/>
    <n v="1994"/>
    <n v="139"/>
    <n v="77"/>
    <n v="5"/>
    <n v="153.13999999999999"/>
    <x v="697"/>
    <n v="0.92486085343228197"/>
    <n v="6.9709127382146435E-2"/>
    <n v="0.5539568345323741"/>
    <n v="6.4935064935064929E-2"/>
    <n v="2.5075225677031092E-3"/>
    <n v="1.9888311688311686"/>
    <n v="1.1017266187050359"/>
    <n v="36.275368943450438"/>
  </r>
  <r>
    <x v="150"/>
    <s v="CMP202605037"/>
    <s v="CUST101445"/>
    <x v="0"/>
    <s v="Red Non-Saleable"/>
    <x v="0"/>
    <s v="South"/>
    <s v="18-24"/>
    <n v="860"/>
    <n v="669"/>
    <n v="597"/>
    <n v="11"/>
    <n v="6"/>
    <n v="0"/>
    <n v="76.59"/>
    <x v="0"/>
    <n v="0.8923766816143498"/>
    <n v="1.8425460636515914E-2"/>
    <n v="0.54545454545454541"/>
    <n v="0"/>
    <n v="0"/>
    <n v="12.765000000000001"/>
    <n v="6.9627272727272729"/>
    <n v="-1"/>
  </r>
  <r>
    <x v="150"/>
    <s v="CMP202605040"/>
    <s v="CUST100347"/>
    <x v="0"/>
    <s v="Amber"/>
    <x v="0"/>
    <s v="Central"/>
    <s v="35-44"/>
    <n v="1389"/>
    <n v="1299"/>
    <n v="1215"/>
    <n v="51"/>
    <n v="29"/>
    <n v="1"/>
    <n v="180.79"/>
    <x v="698"/>
    <n v="0.9353348729792148"/>
    <n v="4.1975308641975309E-2"/>
    <n v="0.56862745098039214"/>
    <n v="3.4482758620689655E-2"/>
    <n v="8.2304526748971192E-4"/>
    <n v="6.2341379310344829"/>
    <n v="3.5449019607843137"/>
    <n v="2.9790364511311469"/>
  </r>
  <r>
    <x v="150"/>
    <s v="CMP202605060"/>
    <s v="CUST100299"/>
    <x v="2"/>
    <s v="Green"/>
    <x v="1"/>
    <s v="West"/>
    <s v="18-24"/>
    <n v="3362"/>
    <n v="2912"/>
    <n v="2713"/>
    <n v="299"/>
    <n v="187"/>
    <n v="20"/>
    <n v="244.37"/>
    <x v="699"/>
    <n v="0.93166208791208793"/>
    <n v="0.11021009952082565"/>
    <n v="0.62541806020066892"/>
    <n v="0.10695187165775401"/>
    <n v="7.3719130114264656E-3"/>
    <n v="1.3067914438502675"/>
    <n v="0.81729096989966554"/>
    <n v="68.035028849695138"/>
  </r>
  <r>
    <x v="150"/>
    <s v="CMP202605061"/>
    <s v="CUST100125"/>
    <x v="3"/>
    <s v="Red Saleable"/>
    <x v="0"/>
    <s v="South"/>
    <s v="35-44"/>
    <n v="1102"/>
    <n v="826"/>
    <n v="781"/>
    <n v="30"/>
    <n v="12"/>
    <n v="0"/>
    <n v="129.51"/>
    <x v="0"/>
    <n v="0.94552058111380144"/>
    <n v="3.8412291933418691E-2"/>
    <n v="0.4"/>
    <n v="0"/>
    <n v="0"/>
    <n v="10.792499999999999"/>
    <n v="4.3169999999999993"/>
    <n v="-1"/>
  </r>
  <r>
    <x v="151"/>
    <s v="CMP202606003"/>
    <s v="CUST101483"/>
    <x v="2"/>
    <s v="Green"/>
    <x v="0"/>
    <s v="East"/>
    <s v="18-24"/>
    <n v="4968"/>
    <n v="3982"/>
    <n v="3712"/>
    <n v="256"/>
    <n v="96"/>
    <n v="6"/>
    <n v="335.23"/>
    <x v="700"/>
    <n v="0.93219487694625813"/>
    <n v="6.8965517241379309E-2"/>
    <n v="0.375"/>
    <n v="6.25E-2"/>
    <n v="1.6163793103448276E-3"/>
    <n v="3.4919791666666669"/>
    <n v="1.3094921875000001"/>
    <n v="20.413954598335472"/>
  </r>
  <r>
    <x v="151"/>
    <s v="CMP202606010"/>
    <s v="CUST100332"/>
    <x v="3"/>
    <s v="Amber"/>
    <x v="0"/>
    <s v="North"/>
    <s v="55+"/>
    <n v="4982"/>
    <n v="4085"/>
    <n v="3729"/>
    <n v="214"/>
    <n v="103"/>
    <n v="7"/>
    <n v="564.6"/>
    <x v="701"/>
    <n v="0.91285189718482251"/>
    <n v="5.7388039688924641E-2"/>
    <n v="0.48130841121495327"/>
    <n v="6.7961165048543687E-2"/>
    <n v="1.8771788683293108E-3"/>
    <n v="5.4815533980582529"/>
    <n v="2.6383177570093461"/>
    <n v="9.9541268154445603"/>
  </r>
  <r>
    <x v="151"/>
    <s v="CMP202606011"/>
    <s v="CUST101222"/>
    <x v="2"/>
    <s v="Red Non-Saleable"/>
    <x v="0"/>
    <s v="East"/>
    <s v="25-34"/>
    <n v="2302"/>
    <n v="2212"/>
    <n v="2069"/>
    <n v="28"/>
    <n v="15"/>
    <n v="0"/>
    <n v="163.98"/>
    <x v="0"/>
    <n v="0.93535262206148284"/>
    <n v="1.3533107781536975E-2"/>
    <n v="0.5357142857142857"/>
    <n v="0"/>
    <n v="0"/>
    <n v="10.931999999999999"/>
    <n v="5.8564285714285713"/>
    <n v="-1"/>
  </r>
  <r>
    <x v="151"/>
    <s v="CMP202606023"/>
    <s v="CUST101028"/>
    <x v="0"/>
    <s v="Red Saleable"/>
    <x v="0"/>
    <s v="North"/>
    <s v="18-24"/>
    <n v="734"/>
    <n v="711"/>
    <n v="646"/>
    <n v="25"/>
    <n v="11"/>
    <n v="0"/>
    <n v="91.17"/>
    <x v="0"/>
    <n v="0.90857946554149083"/>
    <n v="3.8699690402476783E-2"/>
    <n v="0.44"/>
    <n v="0"/>
    <n v="0"/>
    <n v="8.288181818181819"/>
    <n v="3.6468000000000003"/>
    <n v="-1"/>
  </r>
  <r>
    <x v="151"/>
    <s v="CMP202606028"/>
    <s v="CUST100166"/>
    <x v="1"/>
    <s v="Green"/>
    <x v="0"/>
    <s v="Central"/>
    <s v="18-24"/>
    <n v="3060"/>
    <n v="2668"/>
    <n v="2571"/>
    <n v="135"/>
    <n v="60"/>
    <n v="4"/>
    <n v="430.16"/>
    <x v="702"/>
    <n v="0.96364317841079461"/>
    <n v="5.2508751458576426E-2"/>
    <n v="0.44444444444444442"/>
    <n v="6.6666666666666666E-2"/>
    <n v="1.5558148580318942E-3"/>
    <n v="7.1693333333333333"/>
    <n v="3.1863703703703705"/>
    <n v="12.35593732564627"/>
  </r>
  <r>
    <x v="151"/>
    <s v="CMP202606032"/>
    <s v="CUST101292"/>
    <x v="2"/>
    <s v="Red Non-Saleable"/>
    <x v="0"/>
    <s v="North"/>
    <s v="45-54"/>
    <n v="4268"/>
    <n v="3341"/>
    <n v="3101"/>
    <n v="52"/>
    <n v="22"/>
    <n v="0"/>
    <n v="307.60000000000002"/>
    <x v="0"/>
    <n v="0.9281652199940138"/>
    <n v="1.6768784263140921E-2"/>
    <n v="0.42307692307692307"/>
    <n v="0"/>
    <n v="0"/>
    <n v="13.981818181818182"/>
    <n v="5.9153846153846157"/>
    <n v="-1"/>
  </r>
  <r>
    <x v="151"/>
    <s v="CMP202606048"/>
    <s v="CUST101441"/>
    <x v="3"/>
    <s v="Red Non-Saleable"/>
    <x v="1"/>
    <s v="North"/>
    <s v="18-24"/>
    <n v="2687"/>
    <n v="2266"/>
    <n v="2086"/>
    <n v="44"/>
    <n v="28"/>
    <n v="0"/>
    <n v="334.25"/>
    <x v="0"/>
    <n v="0.92056487202118276"/>
    <n v="2.109300095877277E-2"/>
    <n v="0.63636363636363635"/>
    <n v="0"/>
    <n v="0"/>
    <n v="11.9375"/>
    <n v="7.5965909090909092"/>
    <n v="-1"/>
  </r>
  <r>
    <x v="151"/>
    <s v="CMP202606053"/>
    <s v="CUST101495"/>
    <x v="1"/>
    <s v="Red Saleable"/>
    <x v="1"/>
    <s v="West"/>
    <s v="45-54"/>
    <n v="4207"/>
    <n v="3046"/>
    <n v="2915"/>
    <n v="118"/>
    <n v="61"/>
    <n v="2"/>
    <n v="608.28"/>
    <x v="703"/>
    <n v="0.95699277741300071"/>
    <n v="4.0480274442538593E-2"/>
    <n v="0.51694915254237284"/>
    <n v="3.2786885245901641E-2"/>
    <n v="6.8610634648370492E-4"/>
    <n v="9.9718032786885242"/>
    <n v="5.154915254237288"/>
    <n v="1.6799007036233318"/>
  </r>
  <r>
    <x v="151"/>
    <s v="CMP202606061"/>
    <s v="CUST100965"/>
    <x v="1"/>
    <s v="Red Non-Saleable"/>
    <x v="0"/>
    <s v="East"/>
    <s v="18-24"/>
    <n v="2512"/>
    <n v="2441"/>
    <n v="2295"/>
    <n v="35"/>
    <n v="13"/>
    <n v="0"/>
    <n v="392.24"/>
    <x v="0"/>
    <n v="0.94018844735764029"/>
    <n v="1.5250544662309368E-2"/>
    <n v="0.37142857142857144"/>
    <n v="0"/>
    <n v="0"/>
    <n v="30.172307692307694"/>
    <n v="11.206857142857142"/>
    <n v="-1"/>
  </r>
  <r>
    <x v="152"/>
    <s v="CMP202606009"/>
    <s v="CUST100738"/>
    <x v="1"/>
    <s v="Red Saleable"/>
    <x v="0"/>
    <s v="East"/>
    <s v="18-24"/>
    <n v="4254"/>
    <n v="3680"/>
    <n v="3544"/>
    <n v="113"/>
    <n v="44"/>
    <n v="2"/>
    <n v="680.34"/>
    <x v="704"/>
    <n v="0.96304347826086956"/>
    <n v="3.1884875846501126E-2"/>
    <n v="0.38938053097345132"/>
    <n v="4.5454545454545456E-2"/>
    <n v="5.6433408577878099E-4"/>
    <n v="15.462272727272728"/>
    <n v="6.0207079646017698"/>
    <n v="1.4337243143134315"/>
  </r>
  <r>
    <x v="152"/>
    <s v="CMP202606023"/>
    <s v="CUST100986"/>
    <x v="3"/>
    <s v="Red Non-Saleable"/>
    <x v="0"/>
    <s v="North"/>
    <s v="35-44"/>
    <n v="1668"/>
    <n v="1251"/>
    <n v="1165"/>
    <n v="25"/>
    <n v="11"/>
    <n v="0"/>
    <n v="212.06"/>
    <x v="0"/>
    <n v="0.93125499600319739"/>
    <n v="2.1459227467811159E-2"/>
    <n v="0.44"/>
    <n v="0"/>
    <n v="0"/>
    <n v="19.278181818181817"/>
    <n v="8.4824000000000002"/>
    <n v="-1"/>
  </r>
  <r>
    <x v="152"/>
    <s v="CMP202606027"/>
    <s v="CUST100153"/>
    <x v="2"/>
    <s v="Green"/>
    <x v="0"/>
    <s v="West"/>
    <s v="45-54"/>
    <n v="4857"/>
    <n v="4818"/>
    <n v="4513"/>
    <n v="230"/>
    <n v="109"/>
    <n v="6"/>
    <n v="365.49"/>
    <x v="705"/>
    <n v="0.93669572436695725"/>
    <n v="5.0963882118324838E-2"/>
    <n v="0.47391304347826085"/>
    <n v="5.5045871559633031E-2"/>
    <n v="1.3294925769997785E-3"/>
    <n v="3.353119266055046"/>
    <n v="1.5890869565217391"/>
    <n v="13.995731757366823"/>
  </r>
  <r>
    <x v="152"/>
    <s v="CMP202606031"/>
    <s v="CUST101297"/>
    <x v="1"/>
    <s v="Red Non-Saleable"/>
    <x v="0"/>
    <s v="East"/>
    <s v="18-24"/>
    <n v="2641"/>
    <n v="2198"/>
    <n v="2061"/>
    <n v="30"/>
    <n v="10"/>
    <n v="0"/>
    <n v="400.1"/>
    <x v="0"/>
    <n v="0.93767060964513194"/>
    <n v="1.4556040756914119E-2"/>
    <n v="0.33333333333333331"/>
    <n v="0"/>
    <n v="0"/>
    <n v="40.010000000000005"/>
    <n v="13.336666666666668"/>
    <n v="-1"/>
  </r>
  <r>
    <x v="152"/>
    <s v="CMP202606053"/>
    <s v="CUST101415"/>
    <x v="1"/>
    <s v="Red Non-Saleable"/>
    <x v="1"/>
    <s v="East"/>
    <s v="18-24"/>
    <n v="4922"/>
    <n v="4281"/>
    <n v="4224"/>
    <n v="87"/>
    <n v="40"/>
    <n v="1"/>
    <n v="822.87"/>
    <x v="706"/>
    <n v="0.98668535388927825"/>
    <n v="2.0596590909090908E-2"/>
    <n v="0.45977011494252873"/>
    <n v="2.5000000000000001E-2"/>
    <n v="2.3674242424242425E-4"/>
    <n v="20.571750000000002"/>
    <n v="9.458275862068966"/>
    <n v="5.0724901867852772E-2"/>
  </r>
  <r>
    <x v="152"/>
    <s v="CMP202606054"/>
    <s v="CUST100427"/>
    <x v="2"/>
    <s v="Red Saleable"/>
    <x v="1"/>
    <s v="Central"/>
    <s v="55+"/>
    <n v="1067"/>
    <n v="974"/>
    <n v="927"/>
    <n v="46"/>
    <n v="27"/>
    <n v="2"/>
    <n v="93.28"/>
    <x v="707"/>
    <n v="0.95174537987679675"/>
    <n v="4.9622437971952538E-2"/>
    <n v="0.58695652173913049"/>
    <n v="7.407407407407407E-2"/>
    <n v="2.1574973031283709E-3"/>
    <n v="3.454814814814815"/>
    <n v="2.0278260869565217"/>
    <n v="18.981024871355061"/>
  </r>
  <r>
    <x v="152"/>
    <s v="CMP202606056"/>
    <s v="CUST101329"/>
    <x v="1"/>
    <s v="Green"/>
    <x v="0"/>
    <s v="North"/>
    <s v="45-54"/>
    <n v="3810"/>
    <n v="3261"/>
    <n v="3133"/>
    <n v="155"/>
    <n v="66"/>
    <n v="4"/>
    <n v="549.73"/>
    <x v="708"/>
    <n v="0.96074823673719723"/>
    <n v="4.9473348228534948E-2"/>
    <n v="0.4258064516129032"/>
    <n v="6.0606060606060608E-2"/>
    <n v="1.2767315671879987E-3"/>
    <n v="8.329242424242425"/>
    <n v="3.5466451612903227"/>
    <n v="9.6795699707128939"/>
  </r>
  <r>
    <x v="152"/>
    <s v="CMP202606066"/>
    <s v="CUST100070"/>
    <x v="1"/>
    <s v="Amber"/>
    <x v="0"/>
    <s v="West"/>
    <s v="25-34"/>
    <n v="945"/>
    <n v="686"/>
    <n v="659"/>
    <n v="29"/>
    <n v="10"/>
    <n v="1"/>
    <n v="125.7"/>
    <x v="709"/>
    <n v="0.96064139941690962"/>
    <n v="4.4006069802731411E-2"/>
    <n v="0.34482758620689657"/>
    <n v="0.1"/>
    <n v="1.5174506828528073E-3"/>
    <n v="12.57"/>
    <n v="4.3344827586206893"/>
    <n v="8.1646778042959429"/>
  </r>
  <r>
    <x v="152"/>
    <s v="CMP202606067"/>
    <s v="CUST100106"/>
    <x v="3"/>
    <s v="Green"/>
    <x v="1"/>
    <s v="North"/>
    <s v="55+"/>
    <n v="4408"/>
    <n v="4028"/>
    <n v="3764"/>
    <n v="365"/>
    <n v="189"/>
    <n v="18"/>
    <n v="530.36"/>
    <x v="710"/>
    <n v="0.93445878848063557"/>
    <n v="9.6971307120085018E-2"/>
    <n v="0.51780821917808217"/>
    <n v="9.5238095238095233E-2"/>
    <n v="4.7821466524973436E-3"/>
    <n v="2.8061375661375663"/>
    <n v="1.453041095890411"/>
    <n v="28.497586544988309"/>
  </r>
  <r>
    <x v="152"/>
    <s v="CMP202606071"/>
    <s v="CUST101053"/>
    <x v="3"/>
    <s v="Amber"/>
    <x v="1"/>
    <s v="East"/>
    <s v="18-24"/>
    <n v="4754"/>
    <n v="3946"/>
    <n v="3711"/>
    <n v="253"/>
    <n v="153"/>
    <n v="6"/>
    <n v="578.34"/>
    <x v="711"/>
    <n v="0.94044602128737964"/>
    <n v="6.8175693883050392E-2"/>
    <n v="0.60474308300395252"/>
    <n v="3.9215686274509803E-2"/>
    <n v="1.6168148746968471E-3"/>
    <n v="3.7800000000000002"/>
    <n v="2.2859288537549407"/>
    <n v="8.587284296434623"/>
  </r>
  <r>
    <x v="152"/>
    <s v="CMP202606074"/>
    <s v="CUST101446"/>
    <x v="3"/>
    <s v="Red Non-Saleable"/>
    <x v="0"/>
    <s v="West"/>
    <s v="55+"/>
    <n v="1973"/>
    <n v="1743"/>
    <n v="1661"/>
    <n v="46"/>
    <n v="19"/>
    <n v="0"/>
    <n v="241.45"/>
    <x v="0"/>
    <n v="0.95295467584624216"/>
    <n v="2.7694160144491272E-2"/>
    <n v="0.41304347826086957"/>
    <n v="0"/>
    <n v="0"/>
    <n v="12.707894736842105"/>
    <n v="5.2489130434782609"/>
    <n v="-1"/>
  </r>
  <r>
    <x v="153"/>
    <s v="CMP202606001"/>
    <s v="CUST100516"/>
    <x v="3"/>
    <s v="Amber"/>
    <x v="0"/>
    <s v="West"/>
    <s v="35-44"/>
    <n v="3926"/>
    <n v="3464"/>
    <n v="3307"/>
    <n v="187"/>
    <n v="71"/>
    <n v="4"/>
    <n v="472.47"/>
    <x v="712"/>
    <n v="0.95467667436489612"/>
    <n v="5.6546719080737828E-2"/>
    <n v="0.37967914438502676"/>
    <n v="5.6338028169014086E-2"/>
    <n v="1.2095554883580285E-3"/>
    <n v="6.6545070422535213"/>
    <n v="2.5265775401069521"/>
    <n v="8.7077486401252973"/>
  </r>
  <r>
    <x v="153"/>
    <s v="CMP202606029"/>
    <s v="CUST100004"/>
    <x v="3"/>
    <s v="Red Saleable"/>
    <x v="0"/>
    <s v="Central"/>
    <s v="18-24"/>
    <n v="2968"/>
    <n v="2779"/>
    <n v="2609"/>
    <n v="115"/>
    <n v="59"/>
    <n v="3"/>
    <n v="365.13"/>
    <x v="713"/>
    <n v="0.93882691615689096"/>
    <n v="4.4078190877730933E-2"/>
    <n v="0.5130434782608696"/>
    <n v="5.0847457627118647E-2"/>
    <n v="1.1498658489842851E-3"/>
    <n v="6.1886440677966101"/>
    <n v="3.1750434782608696"/>
    <n v="6.696765535562677"/>
  </r>
  <r>
    <x v="153"/>
    <s v="CMP202606037"/>
    <s v="CUST100378"/>
    <x v="1"/>
    <s v="Red Saleable"/>
    <x v="1"/>
    <s v="South"/>
    <s v="55+"/>
    <n v="1247"/>
    <n v="1081"/>
    <n v="1035"/>
    <n v="34"/>
    <n v="17"/>
    <n v="1"/>
    <n v="183.13"/>
    <x v="714"/>
    <n v="0.95744680851063835"/>
    <n v="3.2850241545893721E-2"/>
    <n v="0.5"/>
    <n v="5.8823529411764705E-2"/>
    <n v="9.6618357487922703E-4"/>
    <n v="10.77235294117647"/>
    <n v="5.3861764705882349"/>
    <n v="6.7888931360235896"/>
  </r>
  <r>
    <x v="153"/>
    <s v="CMP202606046"/>
    <s v="CUST101241"/>
    <x v="3"/>
    <s v="Red Non-Saleable"/>
    <x v="0"/>
    <s v="West"/>
    <s v="18-24"/>
    <n v="3568"/>
    <n v="3125"/>
    <n v="2923"/>
    <n v="46"/>
    <n v="24"/>
    <n v="1"/>
    <n v="523.94000000000005"/>
    <x v="715"/>
    <n v="0.93535999999999997"/>
    <n v="1.5737256243585358E-2"/>
    <n v="0.52173913043478259"/>
    <n v="4.1666666666666664E-2"/>
    <n v="3.4211426616489907E-4"/>
    <n v="21.830833333333334"/>
    <n v="11.39"/>
    <n v="0.77237851662404078"/>
  </r>
  <r>
    <x v="153"/>
    <s v="CMP202606054"/>
    <s v="CUST100373"/>
    <x v="0"/>
    <s v="Red Saleable"/>
    <x v="1"/>
    <s v="Central"/>
    <s v="25-34"/>
    <n v="2626"/>
    <n v="2212"/>
    <n v="2061"/>
    <n v="110"/>
    <n v="80"/>
    <n v="5"/>
    <n v="318.36"/>
    <x v="716"/>
    <n v="0.93173598553345394"/>
    <n v="5.3372149442018436E-2"/>
    <n v="0.72727272727272729"/>
    <n v="6.25E-2"/>
    <n v="2.4260067928190197E-3"/>
    <n v="3.9795000000000003"/>
    <n v="2.8941818181818184"/>
    <n v="11.042436235708003"/>
  </r>
  <r>
    <x v="153"/>
    <s v="CMP202606055"/>
    <s v="CUST101152"/>
    <x v="3"/>
    <s v="Amber"/>
    <x v="0"/>
    <s v="East"/>
    <s v="45-54"/>
    <n v="3040"/>
    <n v="2354"/>
    <n v="2178"/>
    <n v="122"/>
    <n v="52"/>
    <n v="3"/>
    <n v="417.48"/>
    <x v="717"/>
    <n v="0.92523364485981308"/>
    <n v="5.6014692378328741E-2"/>
    <n v="0.42622950819672129"/>
    <n v="5.7692307692307696E-2"/>
    <n v="1.3774104683195593E-3"/>
    <n v="8.0284615384615385"/>
    <n v="3.4219672131147543"/>
    <n v="7.1391922966369634"/>
  </r>
  <r>
    <x v="154"/>
    <s v="CMP202606008"/>
    <s v="CUST100612"/>
    <x v="0"/>
    <s v="Red Saleable"/>
    <x v="1"/>
    <s v="East"/>
    <s v="25-34"/>
    <n v="4748"/>
    <n v="4041"/>
    <n v="3723"/>
    <n v="212"/>
    <n v="141"/>
    <n v="7"/>
    <n v="482.75"/>
    <x v="718"/>
    <n v="0.9213066072754269"/>
    <n v="5.6943325275315607E-2"/>
    <n v="0.66509433962264153"/>
    <n v="4.9645390070921988E-2"/>
    <n v="1.8802041364491002E-3"/>
    <n v="3.4237588652482271"/>
    <n v="2.2771226415094339"/>
    <n v="16.709684101501814"/>
  </r>
  <r>
    <x v="154"/>
    <s v="CMP202606015"/>
    <s v="CUST100276"/>
    <x v="1"/>
    <s v="Red Non-Saleable"/>
    <x v="0"/>
    <s v="East"/>
    <s v="55+"/>
    <n v="2572"/>
    <n v="1870"/>
    <n v="1815"/>
    <n v="5"/>
    <n v="2"/>
    <n v="0"/>
    <n v="303.86"/>
    <x v="0"/>
    <n v="0.97058823529411764"/>
    <n v="2.7548209366391185E-3"/>
    <n v="0.4"/>
    <n v="0"/>
    <n v="0"/>
    <n v="151.93"/>
    <n v="60.772000000000006"/>
    <n v="-1"/>
  </r>
  <r>
    <x v="154"/>
    <s v="CMP202606024"/>
    <s v="CUST100688"/>
    <x v="3"/>
    <s v="Green"/>
    <x v="1"/>
    <s v="Central"/>
    <s v="45-54"/>
    <n v="1785"/>
    <n v="1746"/>
    <n v="1593"/>
    <n v="171"/>
    <n v="96"/>
    <n v="8"/>
    <n v="250.5"/>
    <x v="719"/>
    <n v="0.91237113402061853"/>
    <n v="0.10734463276836158"/>
    <n v="0.56140350877192979"/>
    <n v="8.3333333333333329E-2"/>
    <n v="5.0219711236660393E-3"/>
    <n v="2.609375"/>
    <n v="1.4649122807017543"/>
    <n v="40.008902195608783"/>
  </r>
  <r>
    <x v="154"/>
    <s v="CMP202606028"/>
    <s v="CUST100530"/>
    <x v="1"/>
    <s v="Amber"/>
    <x v="0"/>
    <s v="Central"/>
    <s v="18-24"/>
    <n v="2395"/>
    <n v="1897"/>
    <n v="1827"/>
    <n v="79"/>
    <n v="28"/>
    <n v="1"/>
    <n v="386.22"/>
    <x v="720"/>
    <n v="0.96309963099630991"/>
    <n v="4.3240284619594963E-2"/>
    <n v="0.35443037974683544"/>
    <n v="3.5714285714285712E-2"/>
    <n v="5.4734537493158185E-4"/>
    <n v="13.793571428571429"/>
    <n v="4.8888607594936708"/>
    <n v="0.77442908187043658"/>
  </r>
  <r>
    <x v="154"/>
    <s v="CMP202606030"/>
    <s v="CUST100808"/>
    <x v="2"/>
    <s v="Green"/>
    <x v="1"/>
    <s v="North"/>
    <s v="25-34"/>
    <n v="2486"/>
    <n v="2378"/>
    <n v="2297"/>
    <n v="209"/>
    <n v="118"/>
    <n v="9"/>
    <n v="227.17"/>
    <x v="721"/>
    <n v="0.96593776282590416"/>
    <n v="9.0988245537657816E-2"/>
    <n v="0.56459330143540665"/>
    <n v="7.6271186440677971E-2"/>
    <n v="3.91815411406182E-3"/>
    <n v="1.9251694915254236"/>
    <n v="1.0869377990430622"/>
    <n v="61.143504864198619"/>
  </r>
  <r>
    <x v="154"/>
    <s v="CMP202606039"/>
    <s v="CUST100757"/>
    <x v="0"/>
    <s v="Red Saleable"/>
    <x v="1"/>
    <s v="Central"/>
    <s v="25-34"/>
    <n v="4639"/>
    <n v="4072"/>
    <n v="3640"/>
    <n v="170"/>
    <n v="120"/>
    <n v="6"/>
    <n v="545.54999999999995"/>
    <x v="722"/>
    <n v="0.89390962671905694"/>
    <n v="4.6703296703296704E-2"/>
    <n v="0.70588235294117652"/>
    <n v="0.05"/>
    <n v="1.6483516483516484E-3"/>
    <n v="4.5462499999999997"/>
    <n v="3.2091176470588234"/>
    <n v="9.2148657318302636"/>
  </r>
  <r>
    <x v="155"/>
    <s v="CMP202606015"/>
    <s v="CUST101280"/>
    <x v="2"/>
    <s v="Green"/>
    <x v="0"/>
    <s v="Central"/>
    <s v="35-44"/>
    <n v="3102"/>
    <n v="2852"/>
    <n v="2731"/>
    <n v="161"/>
    <n v="89"/>
    <n v="6"/>
    <n v="260.68"/>
    <x v="723"/>
    <n v="0.95757363253856942"/>
    <n v="5.895276455510802E-2"/>
    <n v="0.55279503105590067"/>
    <n v="6.741573033707865E-2"/>
    <n v="2.1969974368363236E-3"/>
    <n v="2.9289887640449437"/>
    <n v="1.6191304347826088"/>
    <n v="19.555547030842412"/>
  </r>
  <r>
    <x v="155"/>
    <s v="CMP202606019"/>
    <s v="CUST100754"/>
    <x v="0"/>
    <s v="Amber"/>
    <x v="1"/>
    <s v="Central"/>
    <s v="25-34"/>
    <n v="3050"/>
    <n v="2717"/>
    <n v="2484"/>
    <n v="180"/>
    <n v="116"/>
    <n v="6"/>
    <n v="337.51"/>
    <x v="724"/>
    <n v="0.91424365108575634"/>
    <n v="7.2463768115942032E-2"/>
    <n v="0.64444444444444449"/>
    <n v="5.1724137931034482E-2"/>
    <n v="2.4154589371980675E-3"/>
    <n v="2.9095689655172414"/>
    <n v="1.8750555555555555"/>
    <n v="24.93772036384107"/>
  </r>
  <r>
    <x v="155"/>
    <s v="CMP202606045"/>
    <s v="CUST101136"/>
    <x v="0"/>
    <s v="Green"/>
    <x v="0"/>
    <s v="South"/>
    <s v="35-44"/>
    <n v="3958"/>
    <n v="2953"/>
    <n v="2621"/>
    <n v="182"/>
    <n v="110"/>
    <n v="8"/>
    <n v="388.46"/>
    <x v="725"/>
    <n v="0.887571960717914"/>
    <n v="6.943914536436474E-2"/>
    <n v="0.60439560439560436"/>
    <n v="7.2727272727272724E-2"/>
    <n v="3.0522701259061429E-3"/>
    <n v="3.5314545454545452"/>
    <n v="2.1343956043956043"/>
    <n v="16.515986201925553"/>
  </r>
  <r>
    <x v="155"/>
    <s v="CMP202606073"/>
    <s v="CUST100887"/>
    <x v="2"/>
    <s v="Green"/>
    <x v="1"/>
    <s v="East"/>
    <s v="35-44"/>
    <n v="979"/>
    <n v="861"/>
    <n v="799"/>
    <n v="68"/>
    <n v="40"/>
    <n v="4"/>
    <n v="62.06"/>
    <x v="726"/>
    <n v="0.92799070847851339"/>
    <n v="8.5106382978723402E-2"/>
    <n v="0.58823529411764708"/>
    <n v="0.1"/>
    <n v="5.0062578222778474E-3"/>
    <n v="1.5515000000000001"/>
    <n v="0.91264705882352948"/>
    <n v="94.986625845955516"/>
  </r>
  <r>
    <x v="155"/>
    <s v="CMP202606075"/>
    <s v="CUST100781"/>
    <x v="0"/>
    <s v="Red Non-Saleable"/>
    <x v="1"/>
    <s v="South"/>
    <s v="55+"/>
    <n v="1928"/>
    <n v="1725"/>
    <n v="1505"/>
    <n v="33"/>
    <n v="24"/>
    <n v="0"/>
    <n v="195.48"/>
    <x v="0"/>
    <n v="0.87246376811594206"/>
    <n v="2.1926910299003323E-2"/>
    <n v="0.72727272727272729"/>
    <n v="0"/>
    <n v="0"/>
    <n v="8.1449999999999996"/>
    <n v="5.9236363636363629"/>
    <n v="-1"/>
  </r>
  <r>
    <x v="155"/>
    <s v="CMP202606076"/>
    <s v="CUST100745"/>
    <x v="1"/>
    <s v="Red Saleable"/>
    <x v="1"/>
    <s v="Central"/>
    <s v="35-44"/>
    <n v="1182"/>
    <n v="955"/>
    <n v="929"/>
    <n v="36"/>
    <n v="19"/>
    <n v="1"/>
    <n v="192.24"/>
    <x v="727"/>
    <n v="0.97277486910994759"/>
    <n v="3.8751345532831001E-2"/>
    <n v="0.52777777777777779"/>
    <n v="5.2631578947368418E-2"/>
    <n v="1.076426264800861E-3"/>
    <n v="10.117894736842105"/>
    <n v="5.34"/>
    <n v="4.2794423637120262"/>
  </r>
  <r>
    <x v="156"/>
    <s v="CMP202606004"/>
    <s v="CUST100152"/>
    <x v="1"/>
    <s v="Red Saleable"/>
    <x v="0"/>
    <s v="East"/>
    <s v="55+"/>
    <n v="978"/>
    <n v="883"/>
    <n v="849"/>
    <n v="25"/>
    <n v="10"/>
    <n v="1"/>
    <n v="170.37"/>
    <x v="728"/>
    <n v="0.96149490373725932"/>
    <n v="2.9446407538280331E-2"/>
    <n v="0.4"/>
    <n v="0.1"/>
    <n v="1.1778563015312131E-3"/>
    <n v="17.036999999999999"/>
    <n v="6.8148"/>
    <n v="3.1483242354874683"/>
  </r>
  <r>
    <x v="156"/>
    <s v="CMP202606026"/>
    <s v="CUST100395"/>
    <x v="2"/>
    <s v="Red Non-Saleable"/>
    <x v="0"/>
    <s v="East"/>
    <s v="35-44"/>
    <n v="4381"/>
    <n v="3820"/>
    <n v="3573"/>
    <n v="31"/>
    <n v="14"/>
    <n v="0"/>
    <n v="307.56"/>
    <x v="0"/>
    <n v="0.93534031413612562"/>
    <n v="8.6761824797089281E-3"/>
    <n v="0.45161290322580644"/>
    <n v="0"/>
    <n v="0"/>
    <n v="21.96857142857143"/>
    <n v="9.9212903225806457"/>
    <n v="-1"/>
  </r>
  <r>
    <x v="156"/>
    <s v="CMP202606054"/>
    <s v="CUST100879"/>
    <x v="0"/>
    <s v="Green"/>
    <x v="0"/>
    <s v="Central"/>
    <s v="18-24"/>
    <n v="943"/>
    <n v="828"/>
    <n v="745"/>
    <n v="56"/>
    <n v="33"/>
    <n v="2"/>
    <n v="104.17"/>
    <x v="729"/>
    <n v="0.89975845410628019"/>
    <n v="7.5167785234899323E-2"/>
    <n v="0.5892857142857143"/>
    <n v="6.0606060606060608E-2"/>
    <n v="2.6845637583892616E-3"/>
    <n v="3.1566666666666667"/>
    <n v="1.8601785714285715"/>
    <n v="16.356340597100893"/>
  </r>
  <r>
    <x v="156"/>
    <s v="CMP202606065"/>
    <s v="CUST100317"/>
    <x v="2"/>
    <s v="Green"/>
    <x v="1"/>
    <s v="South"/>
    <s v="18-24"/>
    <n v="615"/>
    <n v="496"/>
    <n v="466"/>
    <n v="43"/>
    <n v="27"/>
    <n v="3"/>
    <n v="36.979999999999997"/>
    <x v="730"/>
    <n v="0.93951612903225812"/>
    <n v="9.2274678111587988E-2"/>
    <n v="0.62790697674418605"/>
    <n v="0.1111111111111111"/>
    <n v="6.4377682403433476E-3"/>
    <n v="1.3696296296296295"/>
    <n v="0.85999999999999988"/>
    <n v="121.61222282314766"/>
  </r>
  <r>
    <x v="156"/>
    <s v="CMP202606068"/>
    <s v="CUST100483"/>
    <x v="2"/>
    <s v="Amber"/>
    <x v="1"/>
    <s v="North"/>
    <s v="18-24"/>
    <n v="3582"/>
    <n v="2755"/>
    <n v="2572"/>
    <n v="164"/>
    <n v="101"/>
    <n v="8"/>
    <n v="249.81"/>
    <x v="731"/>
    <n v="0.93357531760435575"/>
    <n v="6.3763608087091764E-2"/>
    <n v="0.61585365853658536"/>
    <n v="7.9207920792079209E-2"/>
    <n v="3.1104199066874028E-3"/>
    <n v="2.4733663366336636"/>
    <n v="1.5232317073170731"/>
    <n v="46.012889796245155"/>
  </r>
  <r>
    <x v="156"/>
    <s v="CMP202606077"/>
    <s v="CUST100884"/>
    <x v="1"/>
    <s v="Red Saleable"/>
    <x v="0"/>
    <s v="Central"/>
    <s v="45-54"/>
    <n v="1117"/>
    <n v="833"/>
    <n v="800"/>
    <n v="11"/>
    <n v="4"/>
    <n v="0"/>
    <n v="176.53"/>
    <x v="0"/>
    <n v="0.96038415366146457"/>
    <n v="1.375E-2"/>
    <n v="0.36363636363636365"/>
    <n v="0"/>
    <n v="0"/>
    <n v="44.1325"/>
    <n v="16.048181818181817"/>
    <n v="-1"/>
  </r>
  <r>
    <x v="157"/>
    <s v="CMP202606035"/>
    <s v="CUST101148"/>
    <x v="1"/>
    <s v="Green"/>
    <x v="0"/>
    <s v="West"/>
    <s v="55+"/>
    <n v="726"/>
    <n v="634"/>
    <n v="614"/>
    <n v="29"/>
    <n v="9"/>
    <n v="0"/>
    <n v="123.59"/>
    <x v="0"/>
    <n v="0.96845425867507884"/>
    <n v="4.7231270358306189E-2"/>
    <n v="0.31034482758620691"/>
    <n v="0"/>
    <n v="0"/>
    <n v="13.732222222222223"/>
    <n v="4.2617241379310347"/>
    <n v="-1"/>
  </r>
  <r>
    <x v="157"/>
    <s v="CMP202606039"/>
    <s v="CUST100562"/>
    <x v="2"/>
    <s v="Green"/>
    <x v="0"/>
    <s v="West"/>
    <s v="25-34"/>
    <n v="4060"/>
    <n v="3117"/>
    <n v="2973"/>
    <n v="211"/>
    <n v="94"/>
    <n v="4"/>
    <n v="297.10000000000002"/>
    <x v="732"/>
    <n v="0.95380173243503363"/>
    <n v="7.0972082071981163E-2"/>
    <n v="0.44549763033175355"/>
    <n v="4.2553191489361701E-2"/>
    <n v="1.3454423141607804E-3"/>
    <n v="3.1606382978723406"/>
    <n v="1.4080568720379147"/>
    <n v="12.821406933692359"/>
  </r>
  <r>
    <x v="157"/>
    <s v="CMP202606045"/>
    <s v="CUST100841"/>
    <x v="2"/>
    <s v="Red Saleable"/>
    <x v="0"/>
    <s v="East"/>
    <s v="45-54"/>
    <n v="4426"/>
    <n v="3715"/>
    <n v="3467"/>
    <n v="111"/>
    <n v="59"/>
    <n v="3"/>
    <n v="319.5"/>
    <x v="733"/>
    <n v="0.93324360699865405"/>
    <n v="3.2016152293048744E-2"/>
    <n v="0.53153153153153154"/>
    <n v="5.0847457627118647E-2"/>
    <n v="8.6530141332564179E-4"/>
    <n v="5.4152542372881358"/>
    <n v="2.8783783783783785"/>
    <n v="11.571862284820032"/>
  </r>
  <r>
    <x v="157"/>
    <s v="CMP202606068"/>
    <s v="CUST100988"/>
    <x v="0"/>
    <s v="Red Non-Saleable"/>
    <x v="0"/>
    <s v="Central"/>
    <s v="25-34"/>
    <n v="4872"/>
    <n v="4187"/>
    <n v="3868"/>
    <n v="36"/>
    <n v="18"/>
    <n v="0"/>
    <n v="497.14"/>
    <x v="0"/>
    <n v="0.92381179842369243"/>
    <n v="9.3071354705274046E-3"/>
    <n v="0.5"/>
    <n v="0"/>
    <n v="0"/>
    <n v="27.61888888888889"/>
    <n v="13.809444444444445"/>
    <n v="-1"/>
  </r>
  <r>
    <x v="158"/>
    <s v="CMP202606007"/>
    <s v="CUST100425"/>
    <x v="1"/>
    <s v="Red Non-Saleable"/>
    <x v="1"/>
    <s v="Central"/>
    <s v="35-44"/>
    <n v="2160"/>
    <n v="1717"/>
    <n v="1641"/>
    <n v="46"/>
    <n v="24"/>
    <n v="0"/>
    <n v="362.18"/>
    <x v="0"/>
    <n v="0.95573675014560278"/>
    <n v="2.8031687995124923E-2"/>
    <n v="0.52173913043478259"/>
    <n v="0"/>
    <n v="0"/>
    <n v="15.090833333333334"/>
    <n v="7.8734782608695655"/>
    <n v="-1"/>
  </r>
  <r>
    <x v="158"/>
    <s v="CMP202606012"/>
    <s v="CUST100835"/>
    <x v="2"/>
    <s v="Green"/>
    <x v="0"/>
    <s v="Central"/>
    <s v="25-34"/>
    <n v="4003"/>
    <n v="3865"/>
    <n v="3600"/>
    <n v="269"/>
    <n v="115"/>
    <n v="7"/>
    <n v="313.52999999999997"/>
    <x v="734"/>
    <n v="0.93143596377749027"/>
    <n v="7.4722222222222218E-2"/>
    <n v="0.42750929368029739"/>
    <n v="6.0869565217391307E-2"/>
    <n v="1.9444444444444444E-3"/>
    <n v="2.7263478260869562"/>
    <n v="1.1655390334572491"/>
    <n v="23.752878512423059"/>
  </r>
  <r>
    <x v="158"/>
    <s v="CMP202606015"/>
    <s v="CUST100950"/>
    <x v="1"/>
    <s v="Red Non-Saleable"/>
    <x v="1"/>
    <s v="Central"/>
    <s v="18-24"/>
    <n v="4292"/>
    <n v="3183"/>
    <n v="3036"/>
    <n v="43"/>
    <n v="23"/>
    <n v="0"/>
    <n v="556.62"/>
    <x v="0"/>
    <n v="0.95381715362865227"/>
    <n v="1.4163372859025032E-2"/>
    <n v="0.53488372093023251"/>
    <n v="0"/>
    <n v="0"/>
    <n v="24.200869565217392"/>
    <n v="12.944651162790699"/>
    <n v="-1"/>
  </r>
  <r>
    <x v="158"/>
    <s v="CMP202606017"/>
    <s v="CUST100931"/>
    <x v="2"/>
    <s v="Green"/>
    <x v="1"/>
    <s v="South"/>
    <s v="25-34"/>
    <n v="2659"/>
    <n v="2423"/>
    <n v="2300"/>
    <n v="224"/>
    <n v="133"/>
    <n v="12"/>
    <n v="202.28"/>
    <x v="735"/>
    <n v="0.94923648369789515"/>
    <n v="9.7391304347826085E-2"/>
    <n v="0.59375"/>
    <n v="9.0225563909774431E-2"/>
    <n v="5.2173913043478265E-3"/>
    <n v="1.5209022556390976"/>
    <n v="0.90303571428571427"/>
    <n v="85.628435831520676"/>
  </r>
  <r>
    <x v="158"/>
    <s v="CMP202606035"/>
    <s v="CUST100572"/>
    <x v="1"/>
    <s v="Red Non-Saleable"/>
    <x v="0"/>
    <s v="South"/>
    <s v="35-44"/>
    <n v="4920"/>
    <n v="4337"/>
    <n v="4143"/>
    <n v="37"/>
    <n v="16"/>
    <n v="0"/>
    <n v="886.78"/>
    <x v="0"/>
    <n v="0.95526861886096381"/>
    <n v="8.9307265266714946E-3"/>
    <n v="0.43243243243243246"/>
    <n v="0"/>
    <n v="0"/>
    <n v="55.423749999999998"/>
    <n v="23.967027027027026"/>
    <n v="-1"/>
  </r>
  <r>
    <x v="158"/>
    <s v="CMP202606035"/>
    <s v="CUST101335"/>
    <x v="2"/>
    <s v="Green"/>
    <x v="1"/>
    <s v="North"/>
    <s v="55+"/>
    <n v="2839"/>
    <n v="2540"/>
    <n v="2347"/>
    <n v="242"/>
    <n v="142"/>
    <n v="15"/>
    <n v="234.52"/>
    <x v="736"/>
    <n v="0.92401574803149611"/>
    <n v="0.10311035364294845"/>
    <n v="0.58677685950413228"/>
    <n v="0.10563380281690141"/>
    <n v="6.3911376224968048E-3"/>
    <n v="1.651549295774648"/>
    <n v="0.96909090909090911"/>
    <n v="96.530956848030016"/>
  </r>
  <r>
    <x v="158"/>
    <s v="CMP202606045"/>
    <s v="CUST100783"/>
    <x v="3"/>
    <s v="Red Saleable"/>
    <x v="1"/>
    <s v="East"/>
    <s v="25-34"/>
    <n v="1013"/>
    <n v="892"/>
    <n v="836"/>
    <n v="49"/>
    <n v="28"/>
    <n v="1"/>
    <n v="156.13"/>
    <x v="737"/>
    <n v="0.93721973094170408"/>
    <n v="5.861244019138756E-2"/>
    <n v="0.5714285714285714"/>
    <n v="3.5714285714285712E-2"/>
    <n v="1.1961722488038277E-3"/>
    <n v="5.5760714285714288"/>
    <n v="3.186326530612245"/>
    <n v="3.7004419394094668"/>
  </r>
  <r>
    <x v="158"/>
    <s v="CMP202606054"/>
    <s v="CUST100315"/>
    <x v="2"/>
    <s v="Amber"/>
    <x v="0"/>
    <s v="North"/>
    <s v="18-24"/>
    <n v="4039"/>
    <n v="3508"/>
    <n v="3170"/>
    <n v="135"/>
    <n v="64"/>
    <n v="4"/>
    <n v="252.04"/>
    <x v="738"/>
    <n v="0.90364880273660209"/>
    <n v="4.2586750788643532E-2"/>
    <n v="0.47407407407407409"/>
    <n v="6.25E-2"/>
    <n v="1.2618296529968455E-3"/>
    <n v="3.9381249999999999"/>
    <n v="1.8669629629629629"/>
    <n v="12.831058562132995"/>
  </r>
  <r>
    <x v="158"/>
    <s v="CMP202606055"/>
    <s v="CUST100130"/>
    <x v="3"/>
    <s v="Amber"/>
    <x v="0"/>
    <s v="South"/>
    <s v="18-24"/>
    <n v="1569"/>
    <n v="1293"/>
    <n v="1217"/>
    <n v="74"/>
    <n v="31"/>
    <n v="1"/>
    <n v="208.14"/>
    <x v="739"/>
    <n v="0.94122196442382056"/>
    <n v="6.0805258833196388E-2"/>
    <n v="0.41891891891891891"/>
    <n v="3.2258064516129031E-2"/>
    <n v="8.2169268693508624E-4"/>
    <n v="6.7141935483870965"/>
    <n v="2.8127027027027025"/>
    <n v="4.0299317766887679"/>
  </r>
  <r>
    <x v="159"/>
    <s v="CMP202606009"/>
    <s v="CUST101420"/>
    <x v="0"/>
    <s v="Green"/>
    <x v="0"/>
    <s v="South"/>
    <s v="25-34"/>
    <n v="2751"/>
    <n v="2053"/>
    <n v="1893"/>
    <n v="157"/>
    <n v="72"/>
    <n v="5"/>
    <n v="268.88"/>
    <x v="740"/>
    <n v="0.92206527033609353"/>
    <n v="8.2937136819862659E-2"/>
    <n v="0.45859872611464969"/>
    <n v="6.9444444444444448E-2"/>
    <n v="2.6413100898045432E-3"/>
    <n v="3.7344444444444442"/>
    <n v="1.7126114649681528"/>
    <n v="12.716304671228801"/>
  </r>
  <r>
    <x v="159"/>
    <s v="CMP202606035"/>
    <s v="CUST101088"/>
    <x v="3"/>
    <s v="Red Saleable"/>
    <x v="0"/>
    <s v="Central"/>
    <s v="35-44"/>
    <n v="1015"/>
    <n v="980"/>
    <n v="904"/>
    <n v="41"/>
    <n v="21"/>
    <n v="1"/>
    <n v="138.93"/>
    <x v="741"/>
    <n v="0.92244897959183669"/>
    <n v="4.5353982300884957E-2"/>
    <n v="0.51219512195121952"/>
    <n v="4.7619047619047616E-2"/>
    <n v="1.1061946902654867E-3"/>
    <n v="6.6157142857142857"/>
    <n v="3.3885365853658538"/>
    <n v="7.9538616569495426"/>
  </r>
  <r>
    <x v="159"/>
    <s v="CMP202606040"/>
    <s v="CUST101408"/>
    <x v="1"/>
    <s v="Red Saleable"/>
    <x v="1"/>
    <s v="West"/>
    <s v="45-54"/>
    <n v="3253"/>
    <n v="3034"/>
    <n v="2976"/>
    <n v="87"/>
    <n v="37"/>
    <n v="2"/>
    <n v="570.84"/>
    <x v="742"/>
    <n v="0.98088332234673703"/>
    <n v="2.9233870967741934E-2"/>
    <n v="0.42528735632183906"/>
    <n v="5.4054054054054057E-2"/>
    <n v="6.7204301075268823E-4"/>
    <n v="15.428108108108109"/>
    <n v="6.5613793103448277"/>
    <n v="2.8715226683483985"/>
  </r>
  <r>
    <x v="159"/>
    <s v="CMP202606067"/>
    <s v="CUST101272"/>
    <x v="1"/>
    <s v="Green"/>
    <x v="0"/>
    <s v="South"/>
    <s v="45-54"/>
    <n v="1101"/>
    <n v="1080"/>
    <n v="1049"/>
    <n v="52"/>
    <n v="17"/>
    <n v="1"/>
    <n v="192.5"/>
    <x v="743"/>
    <n v="0.97129629629629632"/>
    <n v="4.9571020019065777E-2"/>
    <n v="0.32692307692307693"/>
    <n v="5.8823529411764705E-2"/>
    <n v="9.5328884652049568E-4"/>
    <n v="11.323529411764707"/>
    <n v="3.7019230769230771"/>
    <n v="6.0681038961038958"/>
  </r>
  <r>
    <x v="159"/>
    <s v="CMP202606070"/>
    <s v="CUST101338"/>
    <x v="2"/>
    <s v="Amber"/>
    <x v="1"/>
    <s v="West"/>
    <s v="35-44"/>
    <n v="3607"/>
    <n v="2830"/>
    <n v="2641"/>
    <n v="180"/>
    <n v="100"/>
    <n v="6"/>
    <n v="219.54"/>
    <x v="744"/>
    <n v="0.93321554770318016"/>
    <n v="6.8156001514577805E-2"/>
    <n v="0.55555555555555558"/>
    <n v="0.06"/>
    <n v="2.2718667171525938E-3"/>
    <n v="2.1953999999999998"/>
    <n v="1.2196666666666667"/>
    <n v="39.427484740821718"/>
  </r>
  <r>
    <x v="160"/>
    <s v="CMP202606035"/>
    <s v="CUST101348"/>
    <x v="3"/>
    <s v="Red Saleable"/>
    <x v="0"/>
    <s v="Central"/>
    <s v="35-44"/>
    <n v="3901"/>
    <n v="3750"/>
    <n v="3568"/>
    <n v="104"/>
    <n v="51"/>
    <n v="2"/>
    <n v="652.37"/>
    <x v="745"/>
    <n v="0.95146666666666668"/>
    <n v="2.914798206278027E-2"/>
    <n v="0.49038461538461536"/>
    <n v="3.9215686274509803E-2"/>
    <n v="5.6053811659192824E-4"/>
    <n v="12.79156862745098"/>
    <n v="6.2727884615384619"/>
    <n v="1.6837070987323146"/>
  </r>
  <r>
    <x v="160"/>
    <s v="CMP202606036"/>
    <s v="CUST101044"/>
    <x v="2"/>
    <s v="Red Saleable"/>
    <x v="0"/>
    <s v="South"/>
    <s v="55+"/>
    <n v="2801"/>
    <n v="2328"/>
    <n v="2228"/>
    <n v="105"/>
    <n v="52"/>
    <n v="3"/>
    <n v="165.75"/>
    <x v="746"/>
    <n v="0.95704467353951894"/>
    <n v="4.7127468581687613E-2"/>
    <n v="0.49523809523809526"/>
    <n v="5.7692307692307696E-2"/>
    <n v="1.3464991023339318E-3"/>
    <n v="3.1875"/>
    <n v="1.5785714285714285"/>
    <n v="14.979426847662143"/>
  </r>
  <r>
    <x v="160"/>
    <s v="CMP202606059"/>
    <s v="CUST100828"/>
    <x v="3"/>
    <s v="Green"/>
    <x v="0"/>
    <s v="East"/>
    <s v="55+"/>
    <n v="3995"/>
    <n v="3093"/>
    <n v="2919"/>
    <n v="222"/>
    <n v="95"/>
    <n v="5"/>
    <n v="481.58"/>
    <x v="747"/>
    <n v="0.9437439379243453"/>
    <n v="7.6053442959917783E-2"/>
    <n v="0.42792792792792794"/>
    <n v="5.2631578947368418E-2"/>
    <n v="1.7129153819801302E-3"/>
    <n v="5.0692631578947367"/>
    <n v="2.1692792792792792"/>
    <n v="8.5266622368038547"/>
  </r>
  <r>
    <x v="160"/>
    <s v="CMP202606062"/>
    <s v="CUST100940"/>
    <x v="0"/>
    <s v="Amber"/>
    <x v="0"/>
    <s v="North"/>
    <s v="18-24"/>
    <n v="1663"/>
    <n v="1393"/>
    <n v="1289"/>
    <n v="76"/>
    <n v="30"/>
    <n v="1"/>
    <n v="174.38"/>
    <x v="748"/>
    <n v="0.92534099066762387"/>
    <n v="5.8960434445306437E-2"/>
    <n v="0.39473684210526316"/>
    <n v="3.3333333333333333E-2"/>
    <n v="7.7579519006982156E-4"/>
    <n v="5.8126666666666669"/>
    <n v="2.2944736842105264"/>
    <n v="6.5500630806285116"/>
  </r>
  <r>
    <x v="160"/>
    <s v="CMP202606066"/>
    <s v="CUST101286"/>
    <x v="0"/>
    <s v="Green"/>
    <x v="1"/>
    <s v="South"/>
    <s v="25-34"/>
    <n v="1715"/>
    <n v="1505"/>
    <n v="1366"/>
    <n v="167"/>
    <n v="98"/>
    <n v="9"/>
    <n v="211.33"/>
    <x v="749"/>
    <n v="0.90764119601328908"/>
    <n v="0.12225475841874085"/>
    <n v="0.58682634730538918"/>
    <n v="9.1836734693877556E-2"/>
    <n v="6.5885797950219621E-3"/>
    <n v="2.1564285714285716"/>
    <n v="1.2654491017964073"/>
    <n v="70.757582927175505"/>
  </r>
  <r>
    <x v="160"/>
    <s v="CMP202606070"/>
    <s v="CUST100533"/>
    <x v="2"/>
    <s v="Amber"/>
    <x v="0"/>
    <s v="North"/>
    <s v="18-24"/>
    <n v="4408"/>
    <n v="3376"/>
    <n v="3123"/>
    <n v="146"/>
    <n v="76"/>
    <n v="4"/>
    <n v="317.66000000000003"/>
    <x v="750"/>
    <n v="0.92505924170616116"/>
    <n v="4.6749919948767212E-2"/>
    <n v="0.52054794520547942"/>
    <n v="5.2631578947368418E-2"/>
    <n v="1.2808197246237591E-3"/>
    <n v="4.1797368421052639"/>
    <n v="2.1757534246575343"/>
    <n v="9.9941132027954414"/>
  </r>
  <r>
    <x v="161"/>
    <s v="CMP202606002"/>
    <s v="CUST100850"/>
    <x v="2"/>
    <s v="Red Saleable"/>
    <x v="0"/>
    <s v="East"/>
    <s v="35-44"/>
    <n v="2133"/>
    <n v="1626"/>
    <n v="1518"/>
    <n v="48"/>
    <n v="24"/>
    <n v="1"/>
    <n v="122.06"/>
    <x v="751"/>
    <n v="0.93357933579335795"/>
    <n v="3.1620553359683792E-2"/>
    <n v="0.5"/>
    <n v="4.1666666666666664E-2"/>
    <n v="6.5876152832674575E-4"/>
    <n v="5.0858333333333334"/>
    <n v="2.5429166666666667"/>
    <n v="6.774864820580043"/>
  </r>
  <r>
    <x v="161"/>
    <s v="CMP202606009"/>
    <s v="CUST100362"/>
    <x v="0"/>
    <s v="Green"/>
    <x v="0"/>
    <s v="West"/>
    <s v="18-24"/>
    <n v="1678"/>
    <n v="1490"/>
    <n v="1374"/>
    <n v="138"/>
    <n v="76"/>
    <n v="6"/>
    <n v="172.19"/>
    <x v="752"/>
    <n v="0.92214765100671137"/>
    <n v="0.10043668122270742"/>
    <n v="0.55072463768115942"/>
    <n v="7.8947368421052627E-2"/>
    <n v="4.3668122270742356E-3"/>
    <n v="2.265657894736842"/>
    <n v="1.2477536231884059"/>
    <n v="52.123468261803822"/>
  </r>
  <r>
    <x v="161"/>
    <s v="CMP202606017"/>
    <s v="CUST101305"/>
    <x v="1"/>
    <s v="Red Saleable"/>
    <x v="1"/>
    <s v="Central"/>
    <s v="45-54"/>
    <n v="4428"/>
    <n v="3696"/>
    <n v="3494"/>
    <n v="137"/>
    <n v="69"/>
    <n v="3"/>
    <n v="686.19"/>
    <x v="753"/>
    <n v="0.94534632034632038"/>
    <n v="3.9210074413279908E-2"/>
    <n v="0.5036496350364964"/>
    <n v="4.3478260869565216E-2"/>
    <n v="8.5861476817401263E-4"/>
    <n v="9.9447826086956521"/>
    <n v="5.0086861313868614"/>
    <n v="4.9447091913318459"/>
  </r>
  <r>
    <x v="161"/>
    <s v="CMP202606051"/>
    <s v="CUST101204"/>
    <x v="0"/>
    <s v="Amber"/>
    <x v="0"/>
    <s v="South"/>
    <s v="45-54"/>
    <n v="944"/>
    <n v="752"/>
    <n v="691"/>
    <n v="38"/>
    <n v="17"/>
    <n v="1"/>
    <n v="97.67"/>
    <x v="754"/>
    <n v="0.9188829787234043"/>
    <n v="5.4992764109985527E-2"/>
    <n v="0.44736842105263158"/>
    <n v="5.8823529411764705E-2"/>
    <n v="1.4471780028943559E-3"/>
    <n v="5.7452941176470587"/>
    <n v="2.570263157894737"/>
    <n v="13.770246749257703"/>
  </r>
  <r>
    <x v="162"/>
    <s v="CMP202606036"/>
    <s v="CUST100778"/>
    <x v="0"/>
    <s v="Green"/>
    <x v="0"/>
    <s v="West"/>
    <s v="55+"/>
    <n v="1788"/>
    <n v="1448"/>
    <n v="1347"/>
    <n v="104"/>
    <n v="48"/>
    <n v="4"/>
    <n v="156.88"/>
    <x v="755"/>
    <n v="0.93024861878453036"/>
    <n v="7.7208611729769852E-2"/>
    <n v="0.46153846153846156"/>
    <n v="8.3333333333333329E-2"/>
    <n v="2.9695619896065329E-3"/>
    <n v="3.2683333333333331"/>
    <n v="1.5084615384615385"/>
    <n v="33.569926058133603"/>
  </r>
  <r>
    <x v="162"/>
    <s v="CMP202606042"/>
    <s v="CUST101094"/>
    <x v="3"/>
    <s v="Amber"/>
    <x v="1"/>
    <s v="North"/>
    <s v="25-34"/>
    <n v="4750"/>
    <n v="4542"/>
    <n v="4133"/>
    <n v="281"/>
    <n v="163"/>
    <n v="13"/>
    <n v="583.12"/>
    <x v="756"/>
    <n v="0.90995156318802295"/>
    <n v="6.7989353980159692E-2"/>
    <n v="0.58007117437722422"/>
    <n v="7.9754601226993863E-2"/>
    <n v="3.1454149528187757E-3"/>
    <n v="3.5774233128834356"/>
    <n v="2.0751601423487545"/>
    <n v="22.16801001509123"/>
  </r>
  <r>
    <x v="162"/>
    <s v="CMP202606050"/>
    <s v="CUST100048"/>
    <x v="0"/>
    <s v="Red Non-Saleable"/>
    <x v="1"/>
    <s v="Central"/>
    <s v="35-44"/>
    <n v="3035"/>
    <n v="2507"/>
    <n v="2288"/>
    <n v="66"/>
    <n v="44"/>
    <n v="1"/>
    <n v="339.9"/>
    <x v="609"/>
    <n v="0.91264459513362584"/>
    <n v="2.8846153846153848E-2"/>
    <n v="0.66666666666666663"/>
    <n v="2.2727272727272728E-2"/>
    <n v="4.3706293706293706E-4"/>
    <n v="7.7249999999999996"/>
    <n v="5.1499999999999995"/>
    <n v="2.6631950573698147"/>
  </r>
  <r>
    <x v="162"/>
    <s v="CMP202606052"/>
    <s v="CUST100849"/>
    <x v="3"/>
    <s v="Red Non-Saleable"/>
    <x v="0"/>
    <s v="North"/>
    <s v="35-44"/>
    <n v="4477"/>
    <n v="4322"/>
    <n v="4105"/>
    <n v="12"/>
    <n v="6"/>
    <n v="0"/>
    <n v="660.85"/>
    <x v="0"/>
    <n v="0.94979176307265156"/>
    <n v="2.92326431181486E-3"/>
    <n v="0.5"/>
    <n v="0"/>
    <n v="0"/>
    <n v="110.14166666666667"/>
    <n v="55.070833333333333"/>
    <n v="-1"/>
  </r>
  <r>
    <x v="162"/>
    <s v="CMP202606053"/>
    <s v="CUST100272"/>
    <x v="0"/>
    <s v="Red Non-Saleable"/>
    <x v="0"/>
    <s v="North"/>
    <s v="35-44"/>
    <n v="2307"/>
    <n v="1949"/>
    <n v="1819"/>
    <n v="50"/>
    <n v="31"/>
    <n v="1"/>
    <n v="200.72"/>
    <x v="757"/>
    <n v="0.93329912775782453"/>
    <n v="2.7487630566245189E-2"/>
    <n v="0.62"/>
    <n v="3.2258064516129031E-2"/>
    <n v="5.4975261132490382E-4"/>
    <n v="6.4748387096774191"/>
    <n v="4.0144000000000002"/>
    <n v="3.35656636110004"/>
  </r>
  <r>
    <x v="162"/>
    <s v="CMP202606066"/>
    <s v="CUST101345"/>
    <x v="1"/>
    <s v="Amber"/>
    <x v="0"/>
    <s v="North"/>
    <s v="18-24"/>
    <n v="2728"/>
    <n v="2594"/>
    <n v="2504"/>
    <n v="78"/>
    <n v="28"/>
    <n v="1"/>
    <n v="523.78"/>
    <x v="758"/>
    <n v="0.96530454895913642"/>
    <n v="3.1150159744408944E-2"/>
    <n v="0.35897435897435898"/>
    <n v="3.5714285714285712E-2"/>
    <n v="3.9936102236421724E-4"/>
    <n v="18.706428571428571"/>
    <n v="6.7151282051282051"/>
    <n v="1.6900034365573333"/>
  </r>
  <r>
    <x v="163"/>
    <s v="CMP202606007"/>
    <s v="CUST101428"/>
    <x v="1"/>
    <s v="Green"/>
    <x v="0"/>
    <s v="North"/>
    <s v="25-34"/>
    <n v="1072"/>
    <n v="953"/>
    <n v="899"/>
    <n v="45"/>
    <n v="16"/>
    <n v="1"/>
    <n v="158.22999999999999"/>
    <x v="759"/>
    <n v="0.94333683105981114"/>
    <n v="5.0055617352614018E-2"/>
    <n v="0.35555555555555557"/>
    <n v="6.25E-2"/>
    <n v="1.1123470522803114E-3"/>
    <n v="9.8893749999999994"/>
    <n v="3.5162222222222219"/>
    <n v="9.1018138153321129"/>
  </r>
  <r>
    <x v="163"/>
    <s v="CMP202606038"/>
    <s v="CUST100534"/>
    <x v="2"/>
    <s v="Green"/>
    <x v="1"/>
    <s v="West"/>
    <s v="25-34"/>
    <n v="4590"/>
    <n v="4374"/>
    <n v="4088"/>
    <n v="408"/>
    <n v="233"/>
    <n v="18"/>
    <n v="370.71"/>
    <x v="760"/>
    <n v="0.93461362597165065"/>
    <n v="9.9804305283757333E-2"/>
    <n v="0.57107843137254899"/>
    <n v="7.7253218884120178E-2"/>
    <n v="4.4031311154598823E-3"/>
    <n v="1.591030042918455"/>
    <n v="0.90860294117647056"/>
    <n v="38.631436972296413"/>
  </r>
  <r>
    <x v="163"/>
    <s v="CMP202606046"/>
    <s v="CUST101327"/>
    <x v="1"/>
    <s v="Green"/>
    <x v="0"/>
    <s v="West"/>
    <s v="55+"/>
    <n v="2389"/>
    <n v="2228"/>
    <n v="2118"/>
    <n v="105"/>
    <n v="38"/>
    <n v="2"/>
    <n v="422.15"/>
    <x v="761"/>
    <n v="0.95062836624775582"/>
    <n v="4.9575070821529746E-2"/>
    <n v="0.3619047619047619"/>
    <n v="5.2631578947368418E-2"/>
    <n v="9.4428706326723328E-4"/>
    <n v="11.109210526315788"/>
    <n v="4.0204761904761899"/>
    <n v="5.0059931304038843"/>
  </r>
  <r>
    <x v="163"/>
    <s v="CMP202606074"/>
    <s v="CUST100210"/>
    <x v="3"/>
    <s v="Amber"/>
    <x v="0"/>
    <s v="South"/>
    <s v="35-44"/>
    <n v="4221"/>
    <n v="3384"/>
    <n v="3127"/>
    <n v="204"/>
    <n v="102"/>
    <n v="4"/>
    <n v="490.73"/>
    <x v="762"/>
    <n v="0.92405437352245867"/>
    <n v="6.523824752158619E-2"/>
    <n v="0.5"/>
    <n v="3.9215686274509803E-2"/>
    <n v="1.2791813239526704E-3"/>
    <n v="4.8110784313725494"/>
    <n v="2.4055392156862747"/>
    <n v="9.9400688769791934"/>
  </r>
  <r>
    <x v="163"/>
    <s v="CMP202606078"/>
    <s v="CUST100127"/>
    <x v="2"/>
    <s v="Red Saleable"/>
    <x v="0"/>
    <s v="South"/>
    <s v="25-34"/>
    <n v="3034"/>
    <n v="2827"/>
    <n v="2653"/>
    <n v="117"/>
    <n v="46"/>
    <n v="2"/>
    <n v="222.74"/>
    <x v="763"/>
    <n v="0.9384506544039618"/>
    <n v="4.4101017715793445E-2"/>
    <n v="0.39316239316239315"/>
    <n v="4.3478260869565216E-2"/>
    <n v="7.538635506973238E-4"/>
    <n v="4.8421739130434789"/>
    <n v="1.9037606837606837"/>
    <n v="9.457843225285087"/>
  </r>
  <r>
    <x v="164"/>
    <s v="CMP202606002"/>
    <s v="CUST100471"/>
    <x v="2"/>
    <s v="Red Non-Saleable"/>
    <x v="0"/>
    <s v="West"/>
    <s v="55+"/>
    <n v="3871"/>
    <n v="3049"/>
    <n v="2856"/>
    <n v="32"/>
    <n v="15"/>
    <n v="1"/>
    <n v="277.06"/>
    <x v="764"/>
    <n v="0.93670055755985571"/>
    <n v="1.1204481792717087E-2"/>
    <n v="0.46875"/>
    <n v="6.6666666666666666E-2"/>
    <n v="3.5014005602240897E-4"/>
    <n v="18.470666666666666"/>
    <n v="8.6581250000000001"/>
    <n v="3.5028152746697465"/>
  </r>
  <r>
    <x v="164"/>
    <s v="CMP202606004"/>
    <s v="CUST100049"/>
    <x v="1"/>
    <s v="Red Saleable"/>
    <x v="0"/>
    <s v="South"/>
    <s v="55+"/>
    <n v="1465"/>
    <n v="1216"/>
    <n v="1163"/>
    <n v="41"/>
    <n v="14"/>
    <n v="0"/>
    <n v="209.14"/>
    <x v="0"/>
    <n v="0.95641447368421051"/>
    <n v="3.5253654342218402E-2"/>
    <n v="0.34146341463414637"/>
    <n v="0"/>
    <n v="0"/>
    <n v="14.938571428571427"/>
    <n v="5.1009756097560972"/>
    <n v="-1"/>
  </r>
  <r>
    <x v="164"/>
    <s v="CMP202606012"/>
    <s v="CUST100856"/>
    <x v="0"/>
    <s v="Red Saleable"/>
    <x v="1"/>
    <s v="East"/>
    <s v="18-24"/>
    <n v="3598"/>
    <n v="2952"/>
    <n v="2720"/>
    <n v="181"/>
    <n v="113"/>
    <n v="4"/>
    <n v="359.11"/>
    <x v="765"/>
    <n v="0.92140921409214094"/>
    <n v="6.6544117647058823E-2"/>
    <n v="0.62430939226519333"/>
    <n v="3.5398230088495575E-2"/>
    <n v="1.4705882352941176E-3"/>
    <n v="3.1779646017699115"/>
    <n v="1.9840331491712708"/>
    <n v="10.855448191361978"/>
  </r>
  <r>
    <x v="164"/>
    <s v="CMP202606023"/>
    <s v="CUST101484"/>
    <x v="2"/>
    <s v="Red Saleable"/>
    <x v="0"/>
    <s v="East"/>
    <s v="18-24"/>
    <n v="2240"/>
    <n v="1646"/>
    <n v="1563"/>
    <n v="42"/>
    <n v="16"/>
    <n v="1"/>
    <n v="125.26"/>
    <x v="766"/>
    <n v="0.94957472660996356"/>
    <n v="2.6871401151631478E-2"/>
    <n v="0.38095238095238093"/>
    <n v="6.25E-2"/>
    <n v="6.3979526551503517E-4"/>
    <n v="7.8287500000000003"/>
    <n v="2.9823809523809524"/>
    <n v="6.5351269359731754"/>
  </r>
  <r>
    <x v="164"/>
    <s v="CMP202606027"/>
    <s v="CUST101380"/>
    <x v="1"/>
    <s v="Red Non-Saleable"/>
    <x v="0"/>
    <s v="Central"/>
    <s v="18-24"/>
    <n v="2587"/>
    <n v="2082"/>
    <n v="2031"/>
    <n v="26"/>
    <n v="12"/>
    <n v="0"/>
    <n v="329.24"/>
    <x v="0"/>
    <n v="0.97550432276657062"/>
    <n v="1.2801575578532743E-2"/>
    <n v="0.46153846153846156"/>
    <n v="0"/>
    <n v="0"/>
    <n v="27.436666666666667"/>
    <n v="12.663076923076924"/>
    <n v="-1"/>
  </r>
  <r>
    <x v="164"/>
    <s v="CMP202606029"/>
    <s v="CUST100915"/>
    <x v="2"/>
    <s v="Red Saleable"/>
    <x v="0"/>
    <s v="East"/>
    <s v="55+"/>
    <n v="1215"/>
    <n v="983"/>
    <n v="918"/>
    <n v="35"/>
    <n v="16"/>
    <n v="0"/>
    <n v="81.67"/>
    <x v="0"/>
    <n v="0.93387589013224825"/>
    <n v="3.8126361655773419E-2"/>
    <n v="0.45714285714285713"/>
    <n v="0"/>
    <n v="0"/>
    <n v="5.1043750000000001"/>
    <n v="2.3334285714285716"/>
    <n v="-1"/>
  </r>
  <r>
    <x v="164"/>
    <s v="CMP202606053"/>
    <s v="CUST101100"/>
    <x v="0"/>
    <s v="Green"/>
    <x v="0"/>
    <s v="East"/>
    <s v="55+"/>
    <n v="4894"/>
    <n v="4657"/>
    <n v="4316"/>
    <n v="325"/>
    <n v="151"/>
    <n v="12"/>
    <n v="606.82000000000005"/>
    <x v="767"/>
    <n v="0.92677689499677907"/>
    <n v="7.5301204819277115E-2"/>
    <n v="0.4646153846153846"/>
    <n v="7.9470198675496692E-2"/>
    <n v="2.7803521779425394E-3"/>
    <n v="4.0186754966887417"/>
    <n v="1.8671384615384616"/>
    <n v="14.162156817507663"/>
  </r>
  <r>
    <x v="164"/>
    <s v="CMP202606054"/>
    <s v="CUST100844"/>
    <x v="2"/>
    <s v="Amber"/>
    <x v="1"/>
    <s v="West"/>
    <s v="35-44"/>
    <n v="1519"/>
    <n v="1364"/>
    <n v="1289"/>
    <n v="109"/>
    <n v="56"/>
    <n v="4"/>
    <n v="111.45"/>
    <x v="768"/>
    <n v="0.94501466275659829"/>
    <n v="8.4561675717610557E-2"/>
    <n v="0.51376146788990829"/>
    <n v="7.1428571428571425E-2"/>
    <n v="3.1031807602792862E-3"/>
    <n v="1.9901785714285716"/>
    <n v="1.0224770642201835"/>
    <n v="36.316016150740239"/>
  </r>
  <r>
    <x v="164"/>
    <s v="CMP202606056"/>
    <s v="CUST100528"/>
    <x v="0"/>
    <s v="Amber"/>
    <x v="0"/>
    <s v="East"/>
    <s v="18-24"/>
    <n v="1131"/>
    <n v="1122"/>
    <n v="1012"/>
    <n v="49"/>
    <n v="30"/>
    <n v="2"/>
    <n v="145.25"/>
    <x v="769"/>
    <n v="0.90196078431372551"/>
    <n v="4.8418972332015808E-2"/>
    <n v="0.61224489795918369"/>
    <n v="6.6666666666666666E-2"/>
    <n v="1.976284584980237E-3"/>
    <n v="4.8416666666666668"/>
    <n v="2.9642857142857144"/>
    <n v="12.213631669535284"/>
  </r>
  <r>
    <x v="165"/>
    <s v="CMP202606005"/>
    <s v="CUST100601"/>
    <x v="0"/>
    <s v="Amber"/>
    <x v="0"/>
    <s v="North"/>
    <s v="25-34"/>
    <n v="3302"/>
    <n v="3103"/>
    <n v="2848"/>
    <n v="136"/>
    <n v="71"/>
    <n v="4"/>
    <n v="417.53"/>
    <x v="770"/>
    <n v="0.91782146310022561"/>
    <n v="4.7752808988764044E-2"/>
    <n v="0.5220588235294118"/>
    <n v="5.6338028169014086E-2"/>
    <n v="1.4044943820224719E-3"/>
    <n v="5.8807042253521127"/>
    <n v="3.0700735294117645"/>
    <n v="11.386247694776426"/>
  </r>
  <r>
    <x v="165"/>
    <s v="CMP202606018"/>
    <s v="CUST100446"/>
    <x v="1"/>
    <s v="Red Non-Saleable"/>
    <x v="0"/>
    <s v="North"/>
    <s v="45-54"/>
    <n v="4088"/>
    <n v="3147"/>
    <n v="2999"/>
    <n v="9"/>
    <n v="3"/>
    <n v="0"/>
    <n v="508.25"/>
    <x v="0"/>
    <n v="0.9529710835716555"/>
    <n v="3.0010003334444814E-3"/>
    <n v="0.33333333333333331"/>
    <n v="0"/>
    <n v="0"/>
    <n v="169.41666666666666"/>
    <n v="56.472222222222221"/>
    <n v="-1"/>
  </r>
  <r>
    <x v="165"/>
    <s v="CMP202606024"/>
    <s v="CUST100647"/>
    <x v="2"/>
    <s v="Amber"/>
    <x v="0"/>
    <s v="South"/>
    <s v="25-34"/>
    <n v="1361"/>
    <n v="1030"/>
    <n v="991"/>
    <n v="40"/>
    <n v="18"/>
    <n v="1"/>
    <n v="87.05"/>
    <x v="771"/>
    <n v="0.96213592233009704"/>
    <n v="4.0363269424823413E-2"/>
    <n v="0.45"/>
    <n v="5.5555555555555552E-2"/>
    <n v="1.0090817356205853E-3"/>
    <n v="4.8361111111111112"/>
    <n v="2.17625"/>
    <n v="8.310626076967262"/>
  </r>
  <r>
    <x v="165"/>
    <s v="CMP202606063"/>
    <s v="CUST100976"/>
    <x v="0"/>
    <s v="Amber"/>
    <x v="0"/>
    <s v="South"/>
    <s v="55+"/>
    <n v="2721"/>
    <n v="2326"/>
    <n v="2115"/>
    <n v="111"/>
    <n v="64"/>
    <n v="3"/>
    <n v="271.93"/>
    <x v="772"/>
    <n v="0.90928632846087709"/>
    <n v="5.2482269503546099E-2"/>
    <n v="0.57657657657657657"/>
    <n v="4.6875E-2"/>
    <n v="1.4184397163120568E-3"/>
    <n v="4.2489062500000001"/>
    <n v="2.4498198198198198"/>
    <n v="14.842753649836355"/>
  </r>
  <r>
    <x v="165"/>
    <s v="CMP202606064"/>
    <s v="CUST100371"/>
    <x v="2"/>
    <s v="Red Non-Saleable"/>
    <x v="0"/>
    <s v="North"/>
    <s v="25-34"/>
    <n v="3135"/>
    <n v="3134"/>
    <n v="2933"/>
    <n v="43"/>
    <n v="19"/>
    <n v="1"/>
    <n v="259.11"/>
    <x v="773"/>
    <n v="0.93586470963624757"/>
    <n v="1.4660756904193658E-2"/>
    <n v="0.44186046511627908"/>
    <n v="5.2631578947368418E-2"/>
    <n v="3.4094783498124785E-4"/>
    <n v="13.637368421052633"/>
    <n v="6.0258139534883721"/>
    <n v="3.0196055729226967"/>
  </r>
  <r>
    <x v="165"/>
    <s v="CMP202606069"/>
    <s v="CUST101208"/>
    <x v="2"/>
    <s v="Red Saleable"/>
    <x v="1"/>
    <s v="West"/>
    <s v="45-54"/>
    <n v="2880"/>
    <n v="2229"/>
    <n v="2128"/>
    <n v="116"/>
    <n v="63"/>
    <n v="4"/>
    <n v="199.45"/>
    <x v="774"/>
    <n v="0.9546882009869897"/>
    <n v="5.4511278195488719E-2"/>
    <n v="0.5431034482758621"/>
    <n v="6.3492063492063489E-2"/>
    <n v="1.8796992481203006E-3"/>
    <n v="3.1658730158730157"/>
    <n v="1.7193965517241379"/>
    <n v="30.032338932063176"/>
  </r>
  <r>
    <x v="165"/>
    <s v="CMP202606073"/>
    <s v="CUST100708"/>
    <x v="3"/>
    <s v="Green"/>
    <x v="0"/>
    <s v="South"/>
    <s v="25-34"/>
    <n v="1316"/>
    <n v="1266"/>
    <n v="1162"/>
    <n v="80"/>
    <n v="29"/>
    <n v="1"/>
    <n v="199.68"/>
    <x v="775"/>
    <n v="0.91785150078988942"/>
    <n v="6.8846815834767636E-2"/>
    <n v="0.36249999999999999"/>
    <n v="3.4482758620689655E-2"/>
    <n v="8.6058519793459555E-4"/>
    <n v="6.8855172413793104"/>
    <n v="2.496"/>
    <n v="5.2635717147435894"/>
  </r>
  <r>
    <x v="166"/>
    <s v="CMP202606030"/>
    <s v="CUST100824"/>
    <x v="2"/>
    <s v="Red Saleable"/>
    <x v="1"/>
    <s v="West"/>
    <s v="18-24"/>
    <n v="1914"/>
    <n v="1595"/>
    <n v="1520"/>
    <n v="76"/>
    <n v="44"/>
    <n v="3"/>
    <n v="127.7"/>
    <x v="776"/>
    <n v="0.95297805642633227"/>
    <n v="0.05"/>
    <n v="0.57894736842105265"/>
    <n v="6.8181818181818177E-2"/>
    <n v="1.9736842105263159E-3"/>
    <n v="2.9022727272727273"/>
    <n v="1.6802631578947369"/>
    <n v="34.863038371182462"/>
  </r>
  <r>
    <x v="166"/>
    <s v="CMP202606033"/>
    <s v="CUST100709"/>
    <x v="2"/>
    <s v="Amber"/>
    <x v="1"/>
    <s v="East"/>
    <s v="25-34"/>
    <n v="3895"/>
    <n v="3849"/>
    <n v="3609"/>
    <n v="241"/>
    <n v="139"/>
    <n v="9"/>
    <n v="353.37"/>
    <x v="777"/>
    <n v="0.93764614185502726"/>
    <n v="6.6777500692712669E-2"/>
    <n v="0.57676348547717837"/>
    <n v="6.4748201438848921E-2"/>
    <n v="2.4937655860349127E-3"/>
    <n v="2.5422302158273382"/>
    <n v="1.4662655601659751"/>
    <n v="26.431134504909867"/>
  </r>
  <r>
    <x v="167"/>
    <s v="CMP202606002"/>
    <s v="CUST100420"/>
    <x v="3"/>
    <s v="Red Non-Saleable"/>
    <x v="0"/>
    <s v="Central"/>
    <s v="18-24"/>
    <n v="1137"/>
    <n v="1125"/>
    <n v="1056"/>
    <n v="29"/>
    <n v="15"/>
    <n v="0"/>
    <n v="175.4"/>
    <x v="0"/>
    <n v="0.93866666666666665"/>
    <n v="2.7462121212121212E-2"/>
    <n v="0.51724137931034486"/>
    <n v="0"/>
    <n v="0"/>
    <n v="11.693333333333333"/>
    <n v="6.0482758620689658"/>
    <n v="-1"/>
  </r>
  <r>
    <x v="167"/>
    <s v="CMP202606006"/>
    <s v="CUST100044"/>
    <x v="0"/>
    <s v="Green"/>
    <x v="0"/>
    <s v="East"/>
    <s v="25-34"/>
    <n v="2161"/>
    <n v="1704"/>
    <n v="1497"/>
    <n v="116"/>
    <n v="55"/>
    <n v="3"/>
    <n v="208.72"/>
    <x v="778"/>
    <n v="0.87852112676056338"/>
    <n v="7.7488309953239812E-2"/>
    <n v="0.47413793103448276"/>
    <n v="5.4545454545454543E-2"/>
    <n v="2.004008016032064E-3"/>
    <n v="3.794909090909091"/>
    <n v="1.7993103448275862"/>
    <n v="20.421042545036411"/>
  </r>
  <r>
    <x v="167"/>
    <s v="CMP202606006"/>
    <s v="CUST100263"/>
    <x v="0"/>
    <s v="Green"/>
    <x v="1"/>
    <s v="West"/>
    <s v="35-44"/>
    <n v="3577"/>
    <n v="2582"/>
    <n v="2408"/>
    <n v="246"/>
    <n v="175"/>
    <n v="13"/>
    <n v="350.71"/>
    <x v="779"/>
    <n v="0.93261037955073589"/>
    <n v="0.10215946843853821"/>
    <n v="0.71138211382113825"/>
    <n v="7.4285714285714288E-2"/>
    <n v="5.3986710963455148E-3"/>
    <n v="2.0040571428571425"/>
    <n v="1.4256504065040649"/>
    <n v="62.103874996435806"/>
  </r>
  <r>
    <x v="167"/>
    <s v="CMP202606035"/>
    <s v="CUST101041"/>
    <x v="2"/>
    <s v="Green"/>
    <x v="1"/>
    <s v="South"/>
    <s v="55+"/>
    <n v="664"/>
    <n v="598"/>
    <n v="562"/>
    <n v="59"/>
    <n v="32"/>
    <n v="3"/>
    <n v="41.71"/>
    <x v="780"/>
    <n v="0.93979933110367897"/>
    <n v="0.10498220640569395"/>
    <n v="0.5423728813559322"/>
    <n v="9.375E-2"/>
    <n v="5.3380782918149468E-3"/>
    <n v="1.3034375"/>
    <n v="0.70694915254237289"/>
    <n v="79.831695037161339"/>
  </r>
  <r>
    <x v="167"/>
    <s v="CMP202606041"/>
    <s v="CUST101340"/>
    <x v="1"/>
    <s v="Green"/>
    <x v="1"/>
    <s v="South"/>
    <s v="35-44"/>
    <n v="4331"/>
    <n v="3821"/>
    <n v="3690"/>
    <n v="242"/>
    <n v="130"/>
    <n v="13"/>
    <n v="654.25"/>
    <x v="781"/>
    <n v="0.96571578120910762"/>
    <n v="6.558265582655827E-2"/>
    <n v="0.53719008264462809"/>
    <n v="0.1"/>
    <n v="3.5230352303523035E-3"/>
    <n v="5.032692307692308"/>
    <n v="2.7035123966942147"/>
    <n v="15.815254107756973"/>
  </r>
  <r>
    <x v="167"/>
    <s v="CMP202606047"/>
    <s v="CUST101035"/>
    <x v="1"/>
    <s v="Amber"/>
    <x v="0"/>
    <s v="Central"/>
    <s v="25-34"/>
    <n v="4166"/>
    <n v="3427"/>
    <n v="3330"/>
    <n v="124"/>
    <n v="50"/>
    <n v="3"/>
    <n v="540.79"/>
    <x v="782"/>
    <n v="0.97169536037350457"/>
    <n v="3.7237237237237236E-2"/>
    <n v="0.40322580645161288"/>
    <n v="0.06"/>
    <n v="9.0090090090090091E-4"/>
    <n v="10.815799999999999"/>
    <n v="4.3612096774193549"/>
    <n v="5.5025980509994641"/>
  </r>
  <r>
    <x v="167"/>
    <s v="CMP202606048"/>
    <s v="CUST100148"/>
    <x v="1"/>
    <s v="Red Non-Saleable"/>
    <x v="0"/>
    <s v="South"/>
    <s v="35-44"/>
    <n v="3346"/>
    <n v="3115"/>
    <n v="3032"/>
    <n v="23"/>
    <n v="10"/>
    <n v="0"/>
    <n v="498.69"/>
    <x v="0"/>
    <n v="0.97335473515248794"/>
    <n v="7.5857519788918209E-3"/>
    <n v="0.43478260869565216"/>
    <n v="0"/>
    <n v="0"/>
    <n v="49.869"/>
    <n v="21.682173913043478"/>
    <n v="-1"/>
  </r>
  <r>
    <x v="167"/>
    <s v="CMP202606050"/>
    <s v="CUST100943"/>
    <x v="2"/>
    <s v="Red Non-Saleable"/>
    <x v="0"/>
    <s v="South"/>
    <s v="45-54"/>
    <n v="2072"/>
    <n v="1562"/>
    <n v="1484"/>
    <n v="4"/>
    <n v="2"/>
    <n v="0"/>
    <n v="148.72999999999999"/>
    <x v="0"/>
    <n v="0.95006402048655569"/>
    <n v="2.6954177897574125E-3"/>
    <n v="0.5"/>
    <n v="0"/>
    <n v="0"/>
    <n v="74.364999999999995"/>
    <n v="37.182499999999997"/>
    <n v="-1"/>
  </r>
  <r>
    <x v="167"/>
    <s v="CMP202606051"/>
    <s v="CUST100750"/>
    <x v="0"/>
    <s v="Red Saleable"/>
    <x v="0"/>
    <s v="North"/>
    <s v="18-24"/>
    <n v="743"/>
    <n v="579"/>
    <n v="533"/>
    <n v="13"/>
    <n v="5"/>
    <n v="0"/>
    <n v="65.87"/>
    <x v="0"/>
    <n v="0.92055267702936094"/>
    <n v="2.4390243902439025E-2"/>
    <n v="0.38461538461538464"/>
    <n v="0"/>
    <n v="0"/>
    <n v="13.174000000000001"/>
    <n v="5.0669230769230769"/>
    <n v="-1"/>
  </r>
  <r>
    <x v="167"/>
    <s v="CMP202606060"/>
    <s v="CUST101211"/>
    <x v="0"/>
    <s v="Green"/>
    <x v="0"/>
    <s v="North"/>
    <s v="45-54"/>
    <n v="2593"/>
    <n v="2234"/>
    <n v="2008"/>
    <n v="166"/>
    <n v="83"/>
    <n v="6"/>
    <n v="303.57"/>
    <x v="783"/>
    <n v="0.89883616830796775"/>
    <n v="8.2669322709163343E-2"/>
    <n v="0.5"/>
    <n v="7.2289156626506021E-2"/>
    <n v="2.9880478087649402E-3"/>
    <n v="3.657469879518072"/>
    <n v="1.828734939759036"/>
    <n v="19.820634450044473"/>
  </r>
  <r>
    <x v="168"/>
    <s v="CMP202606024"/>
    <s v="CUST100876"/>
    <x v="0"/>
    <s v="Green"/>
    <x v="0"/>
    <s v="South"/>
    <s v="25-34"/>
    <n v="3876"/>
    <n v="3443"/>
    <n v="3192"/>
    <n v="300"/>
    <n v="155"/>
    <n v="12"/>
    <n v="409.57"/>
    <x v="784"/>
    <n v="0.92709846064478652"/>
    <n v="9.3984962406015032E-2"/>
    <n v="0.51666666666666672"/>
    <n v="7.7419354838709681E-2"/>
    <n v="3.7593984962406013E-3"/>
    <n v="2.6423870967741934"/>
    <n v="1.3652333333333333"/>
    <n v="42.968820958566305"/>
  </r>
  <r>
    <x v="168"/>
    <s v="CMP202606025"/>
    <s v="CUST100537"/>
    <x v="3"/>
    <s v="Red Saleable"/>
    <x v="0"/>
    <s v="North"/>
    <s v="25-34"/>
    <n v="672"/>
    <n v="657"/>
    <n v="592"/>
    <n v="27"/>
    <n v="12"/>
    <n v="1"/>
    <n v="107.69"/>
    <x v="785"/>
    <n v="0.90106544901065444"/>
    <n v="4.5608108108108107E-2"/>
    <n v="0.44444444444444442"/>
    <n v="8.3333333333333329E-2"/>
    <n v="1.6891891891891893E-3"/>
    <n v="8.9741666666666671"/>
    <n v="3.9885185185185184"/>
    <n v="5.3308570897947805"/>
  </r>
  <r>
    <x v="168"/>
    <s v="CMP202606029"/>
    <s v="CUST101404"/>
    <x v="1"/>
    <s v="Green"/>
    <x v="1"/>
    <s v="East"/>
    <s v="25-34"/>
    <n v="1076"/>
    <n v="923"/>
    <n v="870"/>
    <n v="58"/>
    <n v="27"/>
    <n v="3"/>
    <n v="167.62"/>
    <x v="786"/>
    <n v="0.94257854821235099"/>
    <n v="6.6666666666666666E-2"/>
    <n v="0.46551724137931033"/>
    <n v="0.1111111111111111"/>
    <n v="3.4482758620689655E-3"/>
    <n v="6.2081481481481484"/>
    <n v="2.89"/>
    <n v="20.497434673666628"/>
  </r>
  <r>
    <x v="168"/>
    <s v="CMP202606061"/>
    <s v="CUST101166"/>
    <x v="2"/>
    <s v="Amber"/>
    <x v="0"/>
    <s v="East"/>
    <s v="45-54"/>
    <n v="2849"/>
    <n v="2194"/>
    <n v="2056"/>
    <n v="101"/>
    <n v="43"/>
    <n v="2"/>
    <n v="154.19999999999999"/>
    <x v="787"/>
    <n v="0.93710118505013673"/>
    <n v="4.9124513618677042E-2"/>
    <n v="0.42574257425742573"/>
    <n v="4.6511627906976744E-2"/>
    <n v="9.727626459143969E-4"/>
    <n v="3.5860465116279068"/>
    <n v="1.5267326732673265"/>
    <n v="12.427626459143969"/>
  </r>
  <r>
    <x v="168"/>
    <s v="CMP202606068"/>
    <s v="CUST100699"/>
    <x v="1"/>
    <s v="Red Saleable"/>
    <x v="0"/>
    <s v="East"/>
    <s v="45-54"/>
    <n v="1331"/>
    <n v="1167"/>
    <n v="1116"/>
    <n v="16"/>
    <n v="5"/>
    <n v="0"/>
    <n v="235.97"/>
    <x v="0"/>
    <n v="0.95629820051413883"/>
    <n v="1.4336917562724014E-2"/>
    <n v="0.3125"/>
    <n v="0"/>
    <n v="0"/>
    <n v="47.194000000000003"/>
    <n v="14.748125"/>
    <n v="-1"/>
  </r>
  <r>
    <x v="168"/>
    <s v="CMP202606070"/>
    <s v="CUST100137"/>
    <x v="1"/>
    <s v="Amber"/>
    <x v="0"/>
    <s v="North"/>
    <s v="18-24"/>
    <n v="3988"/>
    <n v="3927"/>
    <n v="3796"/>
    <n v="163"/>
    <n v="44"/>
    <n v="2"/>
    <n v="761.88"/>
    <x v="788"/>
    <n v="0.96664120193531955"/>
    <n v="4.2939936775553217E-2"/>
    <n v="0.26993865030674846"/>
    <n v="4.5454545454545456E-2"/>
    <n v="5.2687038988408848E-4"/>
    <n v="17.315454545454546"/>
    <n v="4.674110429447853"/>
    <n v="1.8517483068199716"/>
  </r>
  <r>
    <x v="168"/>
    <s v="CMP202606078"/>
    <s v="CUST100220"/>
    <x v="0"/>
    <s v="Amber"/>
    <x v="1"/>
    <s v="Central"/>
    <s v="35-44"/>
    <n v="1058"/>
    <n v="1015"/>
    <n v="922"/>
    <n v="80"/>
    <n v="51"/>
    <n v="3"/>
    <n v="137.78"/>
    <x v="789"/>
    <n v="0.90837438423645323"/>
    <n v="8.6767895878524945E-2"/>
    <n v="0.63749999999999996"/>
    <n v="5.8823529411764705E-2"/>
    <n v="3.2537960954446853E-3"/>
    <n v="2.7015686274509805"/>
    <n v="1.7222500000000001"/>
    <n v="31.249963710262737"/>
  </r>
  <r>
    <x v="169"/>
    <s v="CMP202606001"/>
    <s v="CUST101229"/>
    <x v="2"/>
    <s v="Amber"/>
    <x v="0"/>
    <s v="West"/>
    <s v="55+"/>
    <n v="3094"/>
    <n v="2278"/>
    <n v="2064"/>
    <n v="113"/>
    <n v="52"/>
    <n v="4"/>
    <n v="155.74"/>
    <x v="790"/>
    <n v="0.90605794556628627"/>
    <n v="5.4748062015503876E-2"/>
    <n v="0.46017699115044247"/>
    <n v="7.6923076923076927E-2"/>
    <n v="1.937984496124031E-3"/>
    <n v="2.9950000000000001"/>
    <n v="1.3782300884955754"/>
    <n v="30.822011044047773"/>
  </r>
  <r>
    <x v="169"/>
    <s v="CMP202606022"/>
    <s v="CUST101346"/>
    <x v="1"/>
    <s v="Red Non-Saleable"/>
    <x v="1"/>
    <s v="Central"/>
    <s v="45-54"/>
    <n v="3572"/>
    <n v="3131"/>
    <n v="3100"/>
    <n v="64"/>
    <n v="30"/>
    <n v="1"/>
    <n v="544.83000000000004"/>
    <x v="791"/>
    <n v="0.99009900990099009"/>
    <n v="2.0645161290322581E-2"/>
    <n v="0.46875"/>
    <n v="3.3333333333333333E-2"/>
    <n v="3.2258064516129032E-4"/>
    <n v="18.161000000000001"/>
    <n v="8.5129687500000006"/>
    <n v="0.814621074463594"/>
  </r>
  <r>
    <x v="169"/>
    <s v="CMP202606029"/>
    <s v="CUST101273"/>
    <x v="0"/>
    <s v="Green"/>
    <x v="1"/>
    <s v="Central"/>
    <s v="35-44"/>
    <n v="3202"/>
    <n v="2535"/>
    <n v="2321"/>
    <n v="271"/>
    <n v="187"/>
    <n v="14"/>
    <n v="362.98"/>
    <x v="792"/>
    <n v="0.91558185404339254"/>
    <n v="0.11676001723395088"/>
    <n v="0.69003690036900367"/>
    <n v="7.4866310160427801E-2"/>
    <n v="6.0318828091339939E-3"/>
    <n v="1.9410695187165776"/>
    <n v="1.339409594095941"/>
    <n v="30.793983139566919"/>
  </r>
  <r>
    <x v="169"/>
    <s v="CMP202606034"/>
    <s v="CUST100615"/>
    <x v="2"/>
    <s v="Amber"/>
    <x v="0"/>
    <s v="South"/>
    <s v="25-34"/>
    <n v="3933"/>
    <n v="3679"/>
    <n v="3481"/>
    <n v="169"/>
    <n v="79"/>
    <n v="4"/>
    <n v="267.91000000000003"/>
    <x v="793"/>
    <n v="0.94618102745311228"/>
    <n v="4.8549267451881643E-2"/>
    <n v="0.46745562130177515"/>
    <n v="5.0632911392405063E-2"/>
    <n v="1.1490950876185005E-3"/>
    <n v="3.3912658227848103"/>
    <n v="1.5852662721893493"/>
    <n v="11.941211600910753"/>
  </r>
  <r>
    <x v="169"/>
    <s v="CMP202606071"/>
    <s v="CUST101071"/>
    <x v="2"/>
    <s v="Red Saleable"/>
    <x v="0"/>
    <s v="West"/>
    <s v="45-54"/>
    <n v="4818"/>
    <n v="3469"/>
    <n v="3236"/>
    <n v="110"/>
    <n v="46"/>
    <n v="2"/>
    <n v="286.60000000000002"/>
    <x v="794"/>
    <n v="0.93283366964543091"/>
    <n v="3.3992583436341164E-2"/>
    <n v="0.41818181818181815"/>
    <n v="4.3478260869565216E-2"/>
    <n v="6.1804697156983925E-4"/>
    <n v="6.2304347826086959"/>
    <n v="2.6054545454545455"/>
    <n v="5.6571179344033489"/>
  </r>
  <r>
    <x v="170"/>
    <s v="CMP202606021"/>
    <s v="CUST101008"/>
    <x v="0"/>
    <s v="Red Non-Saleable"/>
    <x v="1"/>
    <s v="West"/>
    <s v="35-44"/>
    <n v="2711"/>
    <n v="2517"/>
    <n v="2306"/>
    <n v="44"/>
    <n v="28"/>
    <n v="0"/>
    <n v="258.52"/>
    <x v="0"/>
    <n v="0.91617004370282085"/>
    <n v="1.9080659150043366E-2"/>
    <n v="0.63636363636363635"/>
    <n v="0"/>
    <n v="0"/>
    <n v="9.2328571428571422"/>
    <n v="5.875454545454545"/>
    <n v="-1"/>
  </r>
  <r>
    <x v="170"/>
    <s v="CMP202606041"/>
    <s v="CUST100620"/>
    <x v="0"/>
    <s v="Red Non-Saleable"/>
    <x v="0"/>
    <s v="South"/>
    <s v="25-34"/>
    <n v="4579"/>
    <n v="4487"/>
    <n v="4197"/>
    <n v="67"/>
    <n v="33"/>
    <n v="1"/>
    <n v="476.62"/>
    <x v="795"/>
    <n v="0.93536884332516157"/>
    <n v="1.596378365499166E-2"/>
    <n v="0.4925373134328358"/>
    <n v="3.0303030303030304E-2"/>
    <n v="2.3826542768644269E-4"/>
    <n v="14.443030303030303"/>
    <n v="7.1137313432835825"/>
    <n v="0.93307037052578579"/>
  </r>
  <r>
    <x v="170"/>
    <s v="CMP202606066"/>
    <s v="CUST100545"/>
    <x v="2"/>
    <s v="Amber"/>
    <x v="0"/>
    <s v="South"/>
    <s v="45-54"/>
    <n v="802"/>
    <n v="616"/>
    <n v="562"/>
    <n v="29"/>
    <n v="12"/>
    <n v="1"/>
    <n v="53.18"/>
    <x v="796"/>
    <n v="0.91233766233766234"/>
    <n v="5.1601423487544484E-2"/>
    <n v="0.41379310344827586"/>
    <n v="8.3333333333333329E-2"/>
    <n v="1.7793594306049821E-3"/>
    <n v="4.4316666666666666"/>
    <n v="1.833793103448276"/>
    <n v="15.484392628807823"/>
  </r>
  <r>
    <x v="170"/>
    <s v="CMP202606068"/>
    <s v="CUST101284"/>
    <x v="0"/>
    <s v="Amber"/>
    <x v="0"/>
    <s v="Central"/>
    <s v="45-54"/>
    <n v="525"/>
    <n v="384"/>
    <n v="358"/>
    <n v="19"/>
    <n v="10"/>
    <n v="0"/>
    <n v="39.74"/>
    <x v="0"/>
    <n v="0.93229166666666663"/>
    <n v="5.3072625698324022E-2"/>
    <n v="0.52631578947368418"/>
    <n v="0"/>
    <n v="0"/>
    <n v="3.9740000000000002"/>
    <n v="2.0915789473684212"/>
    <n v="-1"/>
  </r>
  <r>
    <x v="170"/>
    <s v="CMP202606078"/>
    <s v="CUST100350"/>
    <x v="3"/>
    <s v="Green"/>
    <x v="0"/>
    <s v="East"/>
    <s v="55+"/>
    <n v="4924"/>
    <n v="3880"/>
    <n v="3633"/>
    <n v="259"/>
    <n v="111"/>
    <n v="6"/>
    <n v="569.94000000000005"/>
    <x v="797"/>
    <n v="0.93634020618556701"/>
    <n v="7.1290944123314062E-2"/>
    <n v="0.42857142857142855"/>
    <n v="5.4054054054054057E-2"/>
    <n v="1.6515276630883566E-3"/>
    <n v="5.1345945945945948"/>
    <n v="2.2005405405405409"/>
    <n v="12.924764010246692"/>
  </r>
  <r>
    <x v="171"/>
    <s v="CMP202606052"/>
    <s v="CUST100096"/>
    <x v="0"/>
    <s v="Green"/>
    <x v="0"/>
    <s v="North"/>
    <s v="25-34"/>
    <n v="1291"/>
    <n v="1173"/>
    <n v="1056"/>
    <n v="98"/>
    <n v="48"/>
    <n v="3"/>
    <n v="153.77000000000001"/>
    <x v="798"/>
    <n v="0.90025575447570327"/>
    <n v="9.2803030303030304E-2"/>
    <n v="0.48979591836734693"/>
    <n v="6.25E-2"/>
    <n v="2.840909090909091E-3"/>
    <n v="3.2035416666666667"/>
    <n v="1.5690816326530612"/>
    <n v="27.853807634779212"/>
  </r>
  <r>
    <x v="171"/>
    <s v="CMP202606059"/>
    <s v="CUST101069"/>
    <x v="0"/>
    <s v="Amber"/>
    <x v="0"/>
    <s v="North"/>
    <s v="45-54"/>
    <n v="1065"/>
    <n v="1045"/>
    <n v="981"/>
    <n v="57"/>
    <n v="28"/>
    <n v="2"/>
    <n v="143.24"/>
    <x v="799"/>
    <n v="0.93875598086124401"/>
    <n v="5.8103975535168197E-2"/>
    <n v="0.49122807017543857"/>
    <n v="7.1428571428571425E-2"/>
    <n v="2.0387359836901123E-3"/>
    <n v="5.1157142857142857"/>
    <n v="2.5129824561403509"/>
    <n v="10.059690030717677"/>
  </r>
  <r>
    <x v="171"/>
    <s v="CMP202606066"/>
    <s v="CUST100343"/>
    <x v="2"/>
    <s v="Amber"/>
    <x v="1"/>
    <s v="North"/>
    <s v="25-34"/>
    <n v="3635"/>
    <n v="3143"/>
    <n v="2961"/>
    <n v="160"/>
    <n v="96"/>
    <n v="7"/>
    <n v="239.25"/>
    <x v="800"/>
    <n v="0.94209354120267264"/>
    <n v="5.4035798716649777E-2"/>
    <n v="0.6"/>
    <n v="7.2916666666666671E-2"/>
    <n v="2.3640661938534278E-3"/>
    <n v="2.4921875"/>
    <n v="1.4953125"/>
    <n v="24.631974921630093"/>
  </r>
  <r>
    <x v="171"/>
    <s v="CMP202606074"/>
    <s v="CUST100998"/>
    <x v="1"/>
    <s v="Green"/>
    <x v="0"/>
    <s v="North"/>
    <s v="25-34"/>
    <n v="4380"/>
    <n v="3163"/>
    <n v="2986"/>
    <n v="140"/>
    <n v="59"/>
    <n v="3"/>
    <n v="645.13"/>
    <x v="801"/>
    <n v="0.94404046791021179"/>
    <n v="4.6885465505693238E-2"/>
    <n v="0.42142857142857143"/>
    <n v="5.0847457627118647E-2"/>
    <n v="1.0046885465505692E-3"/>
    <n v="10.934406779661018"/>
    <n v="4.6080714285714288"/>
    <n v="4.2708911382202031"/>
  </r>
  <r>
    <x v="172"/>
    <s v="CMP202606002"/>
    <s v="CUST101349"/>
    <x v="1"/>
    <s v="Amber"/>
    <x v="0"/>
    <s v="Central"/>
    <s v="25-34"/>
    <n v="968"/>
    <n v="821"/>
    <n v="784"/>
    <n v="21"/>
    <n v="9"/>
    <n v="0"/>
    <n v="175.9"/>
    <x v="0"/>
    <n v="0.95493300852618757"/>
    <n v="2.6785714285714284E-2"/>
    <n v="0.42857142857142855"/>
    <n v="0"/>
    <n v="0"/>
    <n v="19.544444444444444"/>
    <n v="8.3761904761904766"/>
    <n v="-1"/>
  </r>
  <r>
    <x v="172"/>
    <s v="CMP202606011"/>
    <s v="CUST100603"/>
    <x v="1"/>
    <s v="Red Saleable"/>
    <x v="0"/>
    <s v="East"/>
    <s v="45-54"/>
    <n v="4462"/>
    <n v="3682"/>
    <n v="3451"/>
    <n v="100"/>
    <n v="36"/>
    <n v="1"/>
    <n v="673.89"/>
    <x v="802"/>
    <n v="0.93726235741444863"/>
    <n v="2.8977108084613155E-2"/>
    <n v="0.36"/>
    <n v="2.7777777777777776E-2"/>
    <n v="2.8977108084613158E-4"/>
    <n v="18.719166666666666"/>
    <n v="6.7389000000000001"/>
    <n v="0.31601596699758128"/>
  </r>
  <r>
    <x v="172"/>
    <s v="CMP202606011"/>
    <s v="CUST101264"/>
    <x v="0"/>
    <s v="Red Saleable"/>
    <x v="0"/>
    <s v="Central"/>
    <s v="35-44"/>
    <n v="4585"/>
    <n v="4028"/>
    <n v="3656"/>
    <n v="116"/>
    <n v="57"/>
    <n v="2"/>
    <n v="563.16999999999996"/>
    <x v="803"/>
    <n v="0.90764647467725923"/>
    <n v="3.1728665207877461E-2"/>
    <n v="0.49137931034482757"/>
    <n v="3.5087719298245612E-2"/>
    <n v="5.4704595185995622E-4"/>
    <n v="9.8801754385964902"/>
    <n v="4.8549137931034476"/>
    <n v="2.9406395937283594"/>
  </r>
  <r>
    <x v="172"/>
    <s v="CMP202606019"/>
    <s v="CUST100169"/>
    <x v="0"/>
    <s v="Red Non-Saleable"/>
    <x v="1"/>
    <s v="West"/>
    <s v="35-44"/>
    <n v="1342"/>
    <n v="1202"/>
    <n v="1129"/>
    <n v="27"/>
    <n v="19"/>
    <n v="1"/>
    <n v="129.38999999999999"/>
    <x v="804"/>
    <n v="0.93926788685524132"/>
    <n v="2.3914968999114262E-2"/>
    <n v="0.70370370370370372"/>
    <n v="5.2631578947368418E-2"/>
    <n v="8.8573959255978745E-4"/>
    <n v="6.81"/>
    <n v="4.7922222222222217"/>
    <n v="5.533735219105032"/>
  </r>
  <r>
    <x v="172"/>
    <s v="CMP202606022"/>
    <s v="CUST100952"/>
    <x v="0"/>
    <s v="Amber"/>
    <x v="1"/>
    <s v="North"/>
    <s v="45-54"/>
    <n v="2561"/>
    <n v="2172"/>
    <n v="1967"/>
    <n v="171"/>
    <n v="106"/>
    <n v="6"/>
    <n v="266.11"/>
    <x v="805"/>
    <n v="0.90561694290976058"/>
    <n v="8.6934417895271981E-2"/>
    <n v="0.61988304093567248"/>
    <n v="5.6603773584905662E-2"/>
    <n v="3.0503304524656838E-3"/>
    <n v="2.5104716981132076"/>
    <n v="1.5561988304093568"/>
    <n v="28.493705610461838"/>
  </r>
  <r>
    <x v="172"/>
    <s v="CMP202606056"/>
    <s v="CUST100277"/>
    <x v="2"/>
    <s v="Amber"/>
    <x v="1"/>
    <s v="South"/>
    <s v="18-24"/>
    <n v="3388"/>
    <n v="3084"/>
    <n v="2894"/>
    <n v="205"/>
    <n v="125"/>
    <n v="7"/>
    <n v="264.43"/>
    <x v="806"/>
    <n v="0.93839169909208819"/>
    <n v="7.0836212854181069E-2"/>
    <n v="0.6097560975609756"/>
    <n v="5.6000000000000001E-2"/>
    <n v="2.4187975120939877E-3"/>
    <n v="2.11544"/>
    <n v="1.2899024390243903"/>
    <n v="31.156903528343982"/>
  </r>
  <r>
    <x v="172"/>
    <s v="CMP202606056"/>
    <s v="CUST100706"/>
    <x v="0"/>
    <s v="Red Saleable"/>
    <x v="0"/>
    <s v="South"/>
    <s v="45-54"/>
    <n v="1109"/>
    <n v="1028"/>
    <n v="940"/>
    <n v="51"/>
    <n v="28"/>
    <n v="1"/>
    <n v="123.52"/>
    <x v="807"/>
    <n v="0.91439688715953304"/>
    <n v="5.4255319148936172E-2"/>
    <n v="0.5490196078431373"/>
    <n v="3.5714285714285712E-2"/>
    <n v="1.0638297872340426E-3"/>
    <n v="4.411428571428571"/>
    <n v="2.4219607843137254"/>
    <n v="6.935637953367876"/>
  </r>
  <r>
    <x v="172"/>
    <s v="CMP202606056"/>
    <s v="CUST101317"/>
    <x v="1"/>
    <s v="Green"/>
    <x v="0"/>
    <s v="West"/>
    <s v="25-34"/>
    <n v="4694"/>
    <n v="4193"/>
    <n v="4022"/>
    <n v="207"/>
    <n v="72"/>
    <n v="3"/>
    <n v="661.66"/>
    <x v="808"/>
    <n v="0.95921774385881231"/>
    <n v="5.146693187468921E-2"/>
    <n v="0.34782608695652173"/>
    <n v="4.1666666666666664E-2"/>
    <n v="7.4589756340129288E-4"/>
    <n v="9.1897222222222226"/>
    <n v="3.1964251207729468"/>
    <n v="4.5480155971344809"/>
  </r>
  <r>
    <x v="172"/>
    <s v="CMP202606057"/>
    <s v="CUST101171"/>
    <x v="2"/>
    <s v="Green"/>
    <x v="1"/>
    <s v="North"/>
    <s v="45-54"/>
    <n v="3483"/>
    <n v="2676"/>
    <n v="2487"/>
    <n v="230"/>
    <n v="155"/>
    <n v="15"/>
    <n v="252.49"/>
    <x v="809"/>
    <n v="0.929372197309417"/>
    <n v="9.2480900683554482E-2"/>
    <n v="0.67391304347826086"/>
    <n v="9.6774193548387094E-2"/>
    <n v="6.0313630880579009E-3"/>
    <n v="1.628967741935484"/>
    <n v="1.0977826086956521"/>
    <n v="88.21228563507465"/>
  </r>
  <r>
    <x v="172"/>
    <s v="CMP202606057"/>
    <s v="CUST101468"/>
    <x v="3"/>
    <s v="Amber"/>
    <x v="1"/>
    <s v="North"/>
    <s v="18-24"/>
    <n v="2663"/>
    <n v="2098"/>
    <n v="1963"/>
    <n v="147"/>
    <n v="87"/>
    <n v="6"/>
    <n v="294.60000000000002"/>
    <x v="810"/>
    <n v="0.93565300285986652"/>
    <n v="7.4885379521141104E-2"/>
    <n v="0.59183673469387754"/>
    <n v="6.8965517241379309E-2"/>
    <n v="3.0565461029037188E-3"/>
    <n v="3.3862068965517245"/>
    <n v="2.0040816326530613"/>
    <n v="30.065071283095723"/>
  </r>
  <r>
    <x v="172"/>
    <s v="CMP202606062"/>
    <s v="CUST100505"/>
    <x v="2"/>
    <s v="Green"/>
    <x v="0"/>
    <s v="East"/>
    <s v="25-34"/>
    <n v="4507"/>
    <n v="4189"/>
    <n v="3896"/>
    <n v="297"/>
    <n v="147"/>
    <n v="12"/>
    <n v="397.35"/>
    <x v="811"/>
    <n v="0.93005490570541893"/>
    <n v="7.6232032854209444E-2"/>
    <n v="0.49494949494949497"/>
    <n v="8.1632653061224483E-2"/>
    <n v="3.0800821355236141E-3"/>
    <n v="2.703061224489796"/>
    <n v="1.3378787878787879"/>
    <n v="46.180269284006549"/>
  </r>
  <r>
    <x v="173"/>
    <s v="CMP202606017"/>
    <s v="CUST101416"/>
    <x v="0"/>
    <s v="Amber"/>
    <x v="1"/>
    <s v="South"/>
    <s v="25-34"/>
    <n v="1329"/>
    <n v="1003"/>
    <n v="902"/>
    <n v="83"/>
    <n v="50"/>
    <n v="3"/>
    <n v="137.69"/>
    <x v="812"/>
    <n v="0.89930209371884351"/>
    <n v="9.2017738359201767E-2"/>
    <n v="0.60240963855421692"/>
    <n v="0.06"/>
    <n v="3.3259423503325942E-3"/>
    <n v="2.7538"/>
    <n v="1.6589156626506023"/>
    <n v="15.497058609920837"/>
  </r>
  <r>
    <x v="173"/>
    <s v="CMP202606021"/>
    <s v="CUST101283"/>
    <x v="3"/>
    <s v="Red Non-Saleable"/>
    <x v="1"/>
    <s v="Central"/>
    <s v="18-24"/>
    <n v="2903"/>
    <n v="2516"/>
    <n v="2402"/>
    <n v="67"/>
    <n v="42"/>
    <n v="1"/>
    <n v="395.28"/>
    <x v="813"/>
    <n v="0.95468998410174877"/>
    <n v="2.7893422148209824E-2"/>
    <n v="0.62686567164179108"/>
    <n v="2.3809523809523808E-2"/>
    <n v="4.1631973355537054E-4"/>
    <n v="9.411428571428571"/>
    <n v="5.8997014925373135"/>
    <n v="1.2817749443432507"/>
  </r>
  <r>
    <x v="173"/>
    <s v="CMP202606029"/>
    <s v="CUST100725"/>
    <x v="2"/>
    <s v="Red Non-Saleable"/>
    <x v="1"/>
    <s v="South"/>
    <s v="55+"/>
    <n v="975"/>
    <n v="926"/>
    <n v="868"/>
    <n v="18"/>
    <n v="9"/>
    <n v="0"/>
    <n v="72.010000000000005"/>
    <x v="0"/>
    <n v="0.93736501079913603"/>
    <n v="2.0737327188940093E-2"/>
    <n v="0.5"/>
    <n v="0"/>
    <n v="0"/>
    <n v="8.0011111111111113"/>
    <n v="4.0005555555555556"/>
    <n v="-1"/>
  </r>
  <r>
    <x v="173"/>
    <s v="CMP202606037"/>
    <s v="CUST100269"/>
    <x v="0"/>
    <s v="Green"/>
    <x v="0"/>
    <s v="West"/>
    <s v="45-54"/>
    <n v="684"/>
    <n v="521"/>
    <n v="468"/>
    <n v="31"/>
    <n v="18"/>
    <n v="1"/>
    <n v="54.38"/>
    <x v="814"/>
    <n v="0.89827255278310936"/>
    <n v="6.623931623931624E-2"/>
    <n v="0.58064516129032262"/>
    <n v="5.5555555555555552E-2"/>
    <n v="2.136752136752137E-3"/>
    <n v="3.0211111111111113"/>
    <n v="1.754193548387097"/>
    <n v="12.958624494299375"/>
  </r>
  <r>
    <x v="173"/>
    <s v="CMP202606044"/>
    <s v="CUST101402"/>
    <x v="2"/>
    <s v="Red Non-Saleable"/>
    <x v="1"/>
    <s v="North"/>
    <s v="18-24"/>
    <n v="4714"/>
    <n v="4081"/>
    <n v="3827"/>
    <n v="97"/>
    <n v="60"/>
    <n v="1"/>
    <n v="294.63"/>
    <x v="815"/>
    <n v="0.9377603528546925"/>
    <n v="2.5346224196498564E-2"/>
    <n v="0.61855670103092786"/>
    <n v="1.6666666666666666E-2"/>
    <n v="2.6130128037627382E-4"/>
    <n v="4.9104999999999999"/>
    <n v="3.0374226804123712"/>
    <n v="3.5377931643077765"/>
  </r>
  <r>
    <x v="173"/>
    <s v="CMP202606068"/>
    <s v="CUST100165"/>
    <x v="1"/>
    <s v="Green"/>
    <x v="1"/>
    <s v="West"/>
    <s v="18-24"/>
    <n v="2027"/>
    <n v="1790"/>
    <n v="1704"/>
    <n v="123"/>
    <n v="65"/>
    <n v="7"/>
    <n v="307.76"/>
    <x v="816"/>
    <n v="0.95195530726256983"/>
    <n v="7.2183098591549297E-2"/>
    <n v="0.52845528455284552"/>
    <n v="0.1076923076923077"/>
    <n v="4.1079812206572773E-3"/>
    <n v="4.7347692307692304"/>
    <n v="2.5021138211382112"/>
    <n v="24.054360540681049"/>
  </r>
  <r>
    <x v="174"/>
    <s v="CMP202606012"/>
    <s v="CUST100177"/>
    <x v="3"/>
    <s v="Green"/>
    <x v="0"/>
    <s v="Central"/>
    <s v="25-34"/>
    <n v="1524"/>
    <n v="1310"/>
    <n v="1238"/>
    <n v="87"/>
    <n v="36"/>
    <n v="2"/>
    <n v="210.66"/>
    <x v="817"/>
    <n v="0.94503816793893125"/>
    <n v="7.027463651050081E-2"/>
    <n v="0.41379310344827586"/>
    <n v="5.5555555555555552E-2"/>
    <n v="1.6155088852988692E-3"/>
    <n v="5.8516666666666666"/>
    <n v="2.4213793103448276"/>
    <n v="12.46833760562043"/>
  </r>
  <r>
    <x v="174"/>
    <s v="CMP202606018"/>
    <s v="CUST100568"/>
    <x v="2"/>
    <s v="Green"/>
    <x v="0"/>
    <s v="East"/>
    <s v="45-54"/>
    <n v="4076"/>
    <n v="3707"/>
    <n v="3568"/>
    <n v="244"/>
    <n v="106"/>
    <n v="6"/>
    <n v="302.94"/>
    <x v="818"/>
    <n v="0.962503371998921"/>
    <n v="6.838565022421525E-2"/>
    <n v="0.4344262295081967"/>
    <n v="5.6603773584905662E-2"/>
    <n v="1.6816143497757848E-3"/>
    <n v="2.8579245283018868"/>
    <n v="1.2415573770491803"/>
    <n v="15.378028652538459"/>
  </r>
  <r>
    <x v="174"/>
    <s v="CMP202606020"/>
    <s v="CUST100320"/>
    <x v="0"/>
    <s v="Green"/>
    <x v="1"/>
    <s v="West"/>
    <s v="18-24"/>
    <n v="640"/>
    <n v="485"/>
    <n v="432"/>
    <n v="47"/>
    <n v="29"/>
    <n v="3"/>
    <n v="54.03"/>
    <x v="819"/>
    <n v="0.89072164948453614"/>
    <n v="0.10879629629629629"/>
    <n v="0.61702127659574468"/>
    <n v="0.10344827586206896"/>
    <n v="6.9444444444444441E-3"/>
    <n v="1.8631034482758622"/>
    <n v="1.1495744680851063"/>
    <n v="62.174532667036829"/>
  </r>
  <r>
    <x v="174"/>
    <s v="CMP202606044"/>
    <s v="CUST100885"/>
    <x v="0"/>
    <s v="Amber"/>
    <x v="0"/>
    <s v="Central"/>
    <s v="18-24"/>
    <n v="1192"/>
    <n v="964"/>
    <n v="866"/>
    <n v="58"/>
    <n v="27"/>
    <n v="1"/>
    <n v="110.73"/>
    <x v="820"/>
    <n v="0.89834024896265563"/>
    <n v="6.6974595842956119E-2"/>
    <n v="0.46551724137931033"/>
    <n v="3.7037037037037035E-2"/>
    <n v="1.1547344110854503E-3"/>
    <n v="4.1011111111111109"/>
    <n v="1.9091379310344829"/>
    <n v="8.4887564345705773"/>
  </r>
  <r>
    <x v="175"/>
    <s v="CMP202606009"/>
    <s v="CUST100713"/>
    <x v="1"/>
    <s v="Red Non-Saleable"/>
    <x v="0"/>
    <s v="Central"/>
    <s v="55+"/>
    <n v="491"/>
    <n v="424"/>
    <n v="406"/>
    <n v="4"/>
    <n v="1"/>
    <n v="0"/>
    <n v="81.290000000000006"/>
    <x v="0"/>
    <n v="0.95754716981132071"/>
    <n v="9.852216748768473E-3"/>
    <n v="0.25"/>
    <n v="0"/>
    <n v="0"/>
    <n v="81.290000000000006"/>
    <n v="20.322500000000002"/>
    <n v="-1"/>
  </r>
  <r>
    <x v="175"/>
    <s v="CMP202606015"/>
    <s v="CUST100145"/>
    <x v="0"/>
    <s v="Red Saleable"/>
    <x v="1"/>
    <s v="West"/>
    <s v="35-44"/>
    <n v="4784"/>
    <n v="3614"/>
    <n v="3225"/>
    <n v="207"/>
    <n v="128"/>
    <n v="6"/>
    <n v="395.17"/>
    <x v="821"/>
    <n v="0.89236303265080241"/>
    <n v="6.4186046511627903E-2"/>
    <n v="0.61835748792270528"/>
    <n v="4.6875E-2"/>
    <n v="1.8604651162790699E-3"/>
    <n v="3.0872656250000001"/>
    <n v="1.9090338164251208"/>
    <n v="20.884606624996835"/>
  </r>
  <r>
    <x v="175"/>
    <s v="CMP202606019"/>
    <s v="CUST100646"/>
    <x v="3"/>
    <s v="Amber"/>
    <x v="0"/>
    <s v="South"/>
    <s v="35-44"/>
    <n v="4668"/>
    <n v="4611"/>
    <n v="4321"/>
    <n v="261"/>
    <n v="129"/>
    <n v="6"/>
    <n v="654.61"/>
    <x v="822"/>
    <n v="0.93710691823899372"/>
    <n v="6.0402684563758392E-2"/>
    <n v="0.4942528735632184"/>
    <n v="4.6511627906976744E-2"/>
    <n v="1.388567461235825E-3"/>
    <n v="5.0744961240310076"/>
    <n v="2.5080842911877395"/>
    <n v="10.829776508149891"/>
  </r>
  <r>
    <x v="175"/>
    <s v="CMP202606030"/>
    <s v="CUST100015"/>
    <x v="2"/>
    <s v="Amber"/>
    <x v="0"/>
    <s v="Central"/>
    <s v="35-44"/>
    <n v="2885"/>
    <n v="2809"/>
    <n v="2559"/>
    <n v="109"/>
    <n v="56"/>
    <n v="4"/>
    <n v="258.98"/>
    <x v="823"/>
    <n v="0.91100035599857598"/>
    <n v="4.259476357952325E-2"/>
    <n v="0.51376146788990829"/>
    <n v="7.1428571428571425E-2"/>
    <n v="1.5631105900742479E-3"/>
    <n v="4.6246428571428577"/>
    <n v="2.3759633027522939"/>
    <n v="11.883581743763997"/>
  </r>
  <r>
    <x v="175"/>
    <s v="CMP202606036"/>
    <s v="CUST100794"/>
    <x v="2"/>
    <s v="Red Non-Saleable"/>
    <x v="0"/>
    <s v="Central"/>
    <s v="55+"/>
    <n v="564"/>
    <n v="427"/>
    <n v="396"/>
    <n v="4"/>
    <n v="2"/>
    <n v="0"/>
    <n v="38.44"/>
    <x v="0"/>
    <n v="0.92740046838407497"/>
    <n v="1.0101010101010102E-2"/>
    <n v="0.5"/>
    <n v="0"/>
    <n v="0"/>
    <n v="19.22"/>
    <n v="9.61"/>
    <n v="-1"/>
  </r>
  <r>
    <x v="175"/>
    <s v="CMP202606040"/>
    <s v="CUST101143"/>
    <x v="0"/>
    <s v="Green"/>
    <x v="0"/>
    <s v="North"/>
    <s v="18-24"/>
    <n v="1346"/>
    <n v="1095"/>
    <n v="1003"/>
    <n v="86"/>
    <n v="41"/>
    <n v="3"/>
    <n v="146.32"/>
    <x v="824"/>
    <n v="0.9159817351598174"/>
    <n v="8.5742771684945165E-2"/>
    <n v="0.47674418604651164"/>
    <n v="7.3170731707317069E-2"/>
    <n v="2.9910269192422734E-3"/>
    <n v="3.5687804878048777"/>
    <n v="1.7013953488372093"/>
    <n v="27.272963367960632"/>
  </r>
  <r>
    <x v="175"/>
    <s v="CMP202606078"/>
    <s v="CUST100911"/>
    <x v="1"/>
    <s v="Red Non-Saleable"/>
    <x v="0"/>
    <s v="North"/>
    <s v="25-34"/>
    <n v="2737"/>
    <n v="2665"/>
    <n v="2595"/>
    <n v="64"/>
    <n v="23"/>
    <n v="0"/>
    <n v="515.14"/>
    <x v="0"/>
    <n v="0.97373358348968109"/>
    <n v="2.4662813102119461E-2"/>
    <n v="0.359375"/>
    <n v="0"/>
    <n v="0"/>
    <n v="22.397391304347824"/>
    <n v="8.0490624999999998"/>
    <n v="-1"/>
  </r>
  <r>
    <x v="176"/>
    <s v="CMP202606015"/>
    <s v="CUST100735"/>
    <x v="3"/>
    <s v="Red Non-Saleable"/>
    <x v="0"/>
    <s v="West"/>
    <s v="35-44"/>
    <n v="1966"/>
    <n v="1510"/>
    <n v="1388"/>
    <n v="32"/>
    <n v="15"/>
    <n v="0"/>
    <n v="248.21"/>
    <x v="0"/>
    <n v="0.91920529801324502"/>
    <n v="2.3054755043227664E-2"/>
    <n v="0.46875"/>
    <n v="0"/>
    <n v="0"/>
    <n v="16.547333333333334"/>
    <n v="7.7565625000000002"/>
    <n v="-1"/>
  </r>
  <r>
    <x v="176"/>
    <s v="CMP202606039"/>
    <s v="CUST100424"/>
    <x v="2"/>
    <s v="Red Saleable"/>
    <x v="0"/>
    <s v="Central"/>
    <s v="25-34"/>
    <n v="4189"/>
    <n v="3890"/>
    <n v="3632"/>
    <n v="111"/>
    <n v="40"/>
    <n v="1"/>
    <n v="291.47000000000003"/>
    <x v="825"/>
    <n v="0.93367609254498718"/>
    <n v="3.0561674008810574E-2"/>
    <n v="0.36036036036036034"/>
    <n v="2.5000000000000001E-2"/>
    <n v="2.7533039647577095E-4"/>
    <n v="7.2867500000000005"/>
    <n v="2.625855855855856"/>
    <n v="3.0010635742958107"/>
  </r>
  <r>
    <x v="176"/>
    <s v="CMP202606053"/>
    <s v="CUST100869"/>
    <x v="3"/>
    <s v="Amber"/>
    <x v="1"/>
    <s v="Central"/>
    <s v="25-34"/>
    <n v="4899"/>
    <n v="3611"/>
    <n v="3335"/>
    <n v="208"/>
    <n v="132"/>
    <n v="11"/>
    <n v="505.45"/>
    <x v="826"/>
    <n v="0.92356687898089174"/>
    <n v="6.2368815592203898E-2"/>
    <n v="0.63461538461538458"/>
    <n v="8.3333333333333329E-2"/>
    <n v="3.2983508245877061E-3"/>
    <n v="3.8291666666666666"/>
    <n v="2.430048076923077"/>
    <n v="23.740488673459293"/>
  </r>
  <r>
    <x v="176"/>
    <s v="CMP202606066"/>
    <s v="CUST100897"/>
    <x v="0"/>
    <s v="Red Saleable"/>
    <x v="1"/>
    <s v="Central"/>
    <s v="35-44"/>
    <n v="1844"/>
    <n v="1501"/>
    <n v="1413"/>
    <n v="82"/>
    <n v="53"/>
    <n v="2"/>
    <n v="175.83"/>
    <x v="827"/>
    <n v="0.94137241838774155"/>
    <n v="5.8032554847841471E-2"/>
    <n v="0.64634146341463417"/>
    <n v="3.7735849056603772E-2"/>
    <n v="1.4154281670205238E-3"/>
    <n v="3.3175471698113208"/>
    <n v="2.1442682926829271"/>
    <n v="15.559176477279189"/>
  </r>
  <r>
    <x v="177"/>
    <s v="CMP202606070"/>
    <s v="CUST101075"/>
    <x v="2"/>
    <s v="Red Saleable"/>
    <x v="0"/>
    <s v="East"/>
    <s v="35-44"/>
    <n v="4190"/>
    <n v="3688"/>
    <n v="3460"/>
    <n v="122"/>
    <n v="53"/>
    <n v="2"/>
    <n v="331.17"/>
    <x v="828"/>
    <n v="0.93817787418655096"/>
    <n v="3.5260115606936419E-2"/>
    <n v="0.4344262295081967"/>
    <n v="3.7735849056603772E-2"/>
    <n v="5.7803468208092489E-4"/>
    <n v="6.2484905660377361"/>
    <n v="2.7145081967213116"/>
    <n v="3.2627955430745534"/>
  </r>
  <r>
    <x v="178"/>
    <s v="CMP202606014"/>
    <s v="CUST101175"/>
    <x v="0"/>
    <s v="Red Saleable"/>
    <x v="1"/>
    <s v="West"/>
    <s v="45-54"/>
    <n v="2883"/>
    <n v="2562"/>
    <n v="2359"/>
    <n v="134"/>
    <n v="91"/>
    <n v="5"/>
    <n v="361.09"/>
    <x v="829"/>
    <n v="0.92076502732240439"/>
    <n v="5.6803730394234843E-2"/>
    <n v="0.67910447761194026"/>
    <n v="5.4945054945054944E-2"/>
    <n v="2.1195421788893598E-3"/>
    <n v="3.9680219780219779"/>
    <n v="2.6947014925373134"/>
    <n v="20.563931429837439"/>
  </r>
  <r>
    <x v="178"/>
    <s v="CMP202606020"/>
    <s v="CUST100308"/>
    <x v="3"/>
    <s v="Green"/>
    <x v="0"/>
    <s v="East"/>
    <s v="18-24"/>
    <n v="4988"/>
    <n v="4529"/>
    <n v="4248"/>
    <n v="365"/>
    <n v="171"/>
    <n v="9"/>
    <n v="651.67999999999995"/>
    <x v="830"/>
    <n v="0.93795539854272469"/>
    <n v="8.5922787193973629E-2"/>
    <n v="0.46849315068493153"/>
    <n v="5.2631578947368418E-2"/>
    <n v="2.1186440677966102E-3"/>
    <n v="3.8109941520467832"/>
    <n v="1.7854246575342465"/>
    <n v="14.343558188067764"/>
  </r>
  <r>
    <x v="178"/>
    <s v="CMP202606033"/>
    <s v="CUST100056"/>
    <x v="2"/>
    <s v="Red Saleable"/>
    <x v="0"/>
    <s v="South"/>
    <s v="55+"/>
    <n v="4558"/>
    <n v="3636"/>
    <n v="3381"/>
    <n v="98"/>
    <n v="46"/>
    <n v="2"/>
    <n v="293.98"/>
    <x v="831"/>
    <n v="0.92986798679867988"/>
    <n v="2.8985507246376812E-2"/>
    <n v="0.46938775510204084"/>
    <n v="4.3478260869565216E-2"/>
    <n v="5.9154096421177161E-4"/>
    <n v="6.3908695652173915"/>
    <n v="2.9997959183673473"/>
    <n v="6.4552350500034015"/>
  </r>
  <r>
    <x v="178"/>
    <s v="CMP202606042"/>
    <s v="CUST101144"/>
    <x v="2"/>
    <s v="Green"/>
    <x v="0"/>
    <s v="West"/>
    <s v="35-44"/>
    <n v="2703"/>
    <n v="2367"/>
    <n v="2191"/>
    <n v="163"/>
    <n v="69"/>
    <n v="4"/>
    <n v="161.07"/>
    <x v="832"/>
    <n v="0.92564427545416139"/>
    <n v="7.4395253308991327E-2"/>
    <n v="0.42331288343558282"/>
    <n v="5.7971014492753624E-2"/>
    <n v="1.8256503879507074E-3"/>
    <n v="2.3343478260869563"/>
    <n v="0.98815950920245399"/>
    <n v="19.749549885143107"/>
  </r>
  <r>
    <x v="179"/>
    <s v="CMP202606010"/>
    <s v="CUST100716"/>
    <x v="2"/>
    <s v="Amber"/>
    <x v="0"/>
    <s v="South"/>
    <s v="55+"/>
    <n v="3165"/>
    <n v="2673"/>
    <n v="2470"/>
    <n v="127"/>
    <n v="53"/>
    <n v="3"/>
    <n v="249.79"/>
    <x v="833"/>
    <n v="0.92405536849981296"/>
    <n v="5.1417004048582994E-2"/>
    <n v="0.41732283464566927"/>
    <n v="5.6603773584905662E-2"/>
    <n v="1.2145748987854252E-3"/>
    <n v="4.7130188679245277"/>
    <n v="1.9668503937007873"/>
    <n v="8.8724928940309873"/>
  </r>
  <r>
    <x v="179"/>
    <s v="CMP202606028"/>
    <s v="CUST101087"/>
    <x v="2"/>
    <s v="Red Non-Saleable"/>
    <x v="0"/>
    <s v="West"/>
    <s v="55+"/>
    <n v="3641"/>
    <n v="3368"/>
    <n v="3237"/>
    <n v="26"/>
    <n v="13"/>
    <n v="0"/>
    <n v="258.69"/>
    <x v="0"/>
    <n v="0.96110451306413303"/>
    <n v="8.0321285140562242E-3"/>
    <n v="0.5"/>
    <n v="0"/>
    <n v="0"/>
    <n v="19.899230769230769"/>
    <n v="9.9496153846153845"/>
    <n v="-1"/>
  </r>
  <r>
    <x v="179"/>
    <s v="CMP202606043"/>
    <s v="CUST100514"/>
    <x v="0"/>
    <s v="Green"/>
    <x v="0"/>
    <s v="Central"/>
    <s v="35-44"/>
    <n v="2128"/>
    <n v="1981"/>
    <n v="1831"/>
    <n v="160"/>
    <n v="98"/>
    <n v="6"/>
    <n v="205.25"/>
    <x v="834"/>
    <n v="0.92428066633013628"/>
    <n v="8.7383943200436923E-2"/>
    <n v="0.61250000000000004"/>
    <n v="6.1224489795918366E-2"/>
    <n v="3.2768978700163844E-3"/>
    <n v="2.0943877551020407"/>
    <n v="1.2828124999999999"/>
    <n v="36.559025578562725"/>
  </r>
  <r>
    <x v="179"/>
    <s v="CMP202606047"/>
    <s v="CUST100052"/>
    <x v="0"/>
    <s v="Red Saleable"/>
    <x v="0"/>
    <s v="East"/>
    <s v="45-54"/>
    <n v="4156"/>
    <n v="3830"/>
    <n v="3565"/>
    <n v="169"/>
    <n v="71"/>
    <n v="3"/>
    <n v="446.27"/>
    <x v="835"/>
    <n v="0.93080939947780683"/>
    <n v="4.7405329593267882E-2"/>
    <n v="0.42011834319526625"/>
    <n v="4.2253521126760563E-2"/>
    <n v="8.4151472650771393E-4"/>
    <n v="6.2854929577464782"/>
    <n v="2.6406508875739645"/>
    <n v="4.3461581553767896"/>
  </r>
  <r>
    <x v="179"/>
    <s v="CMP202606067"/>
    <s v="CUST100972"/>
    <x v="0"/>
    <s v="Green"/>
    <x v="0"/>
    <s v="Central"/>
    <s v="45-54"/>
    <n v="3636"/>
    <n v="2933"/>
    <n v="2645"/>
    <n v="157"/>
    <n v="83"/>
    <n v="3"/>
    <n v="370.9"/>
    <x v="836"/>
    <n v="0.90180702352540065"/>
    <n v="5.9357277882797731E-2"/>
    <n v="0.5286624203821656"/>
    <n v="3.614457831325301E-2"/>
    <n v="1.1342155009451795E-3"/>
    <n v="4.4686746987951809"/>
    <n v="2.3624203821656051"/>
    <n v="8.26265839849016"/>
  </r>
  <r>
    <x v="179"/>
    <s v="CMP202606070"/>
    <s v="CUST100358"/>
    <x v="2"/>
    <s v="Red Non-Saleable"/>
    <x v="0"/>
    <s v="West"/>
    <s v="55+"/>
    <n v="2648"/>
    <n v="1911"/>
    <n v="1798"/>
    <n v="37"/>
    <n v="20"/>
    <n v="0"/>
    <n v="169.18"/>
    <x v="0"/>
    <n v="0.94086865515436946"/>
    <n v="2.0578420467185762E-2"/>
    <n v="0.54054054054054057"/>
    <n v="0"/>
    <n v="0"/>
    <n v="8.4589999999999996"/>
    <n v="4.572432432432433"/>
    <n v="-1"/>
  </r>
  <r>
    <x v="180"/>
    <s v="CMP202606007"/>
    <s v="CUST101139"/>
    <x v="1"/>
    <s v="Red Saleable"/>
    <x v="0"/>
    <s v="East"/>
    <s v="18-24"/>
    <n v="1963"/>
    <n v="1880"/>
    <n v="1841"/>
    <n v="44"/>
    <n v="17"/>
    <n v="1"/>
    <n v="348.02"/>
    <x v="837"/>
    <n v="0.97925531914893615"/>
    <n v="2.3900054318305268E-2"/>
    <n v="0.38636363636363635"/>
    <n v="5.8823529411764705E-2"/>
    <n v="5.4318305268875606E-4"/>
    <n v="20.47176470588235"/>
    <n v="7.9095454545454542"/>
    <n v="2.0702833170507442"/>
  </r>
  <r>
    <x v="180"/>
    <s v="CMP202606022"/>
    <s v="CUST100635"/>
    <x v="2"/>
    <s v="Red Saleable"/>
    <x v="1"/>
    <s v="West"/>
    <s v="45-54"/>
    <n v="4748"/>
    <n v="3759"/>
    <n v="3587"/>
    <n v="162"/>
    <n v="83"/>
    <n v="5"/>
    <n v="327.57"/>
    <x v="838"/>
    <n v="0.95424314977387603"/>
    <n v="4.5163088932255367E-2"/>
    <n v="0.51234567901234573"/>
    <n v="6.0240963855421686E-2"/>
    <n v="1.3939224979091162E-3"/>
    <n v="3.9466265060240961"/>
    <n v="2.0220370370370371"/>
    <n v="9.9748450712824734"/>
  </r>
  <r>
    <x v="180"/>
    <s v="CMP202606030"/>
    <s v="CUST101306"/>
    <x v="0"/>
    <s v="Red Saleable"/>
    <x v="0"/>
    <s v="North"/>
    <s v="55+"/>
    <n v="462"/>
    <n v="339"/>
    <n v="294"/>
    <n v="16"/>
    <n v="7"/>
    <n v="0"/>
    <n v="37.700000000000003"/>
    <x v="0"/>
    <n v="0.86725663716814161"/>
    <n v="5.4421768707482991E-2"/>
    <n v="0.4375"/>
    <n v="0"/>
    <n v="0"/>
    <n v="5.3857142857142861"/>
    <n v="2.3562500000000002"/>
    <n v="-1"/>
  </r>
  <r>
    <x v="180"/>
    <s v="CMP202606031"/>
    <s v="CUST101289"/>
    <x v="3"/>
    <s v="Amber"/>
    <x v="0"/>
    <s v="Central"/>
    <s v="18-24"/>
    <n v="1663"/>
    <n v="1349"/>
    <n v="1267"/>
    <n v="64"/>
    <n v="29"/>
    <n v="1"/>
    <n v="212.49"/>
    <x v="839"/>
    <n v="0.93921423276501115"/>
    <n v="5.0513022888713496E-2"/>
    <n v="0.453125"/>
    <n v="3.4482758620689655E-2"/>
    <n v="7.8926598263614838E-4"/>
    <n v="7.3272413793103448"/>
    <n v="3.3201562500000001"/>
    <n v="3.3528166031342646"/>
  </r>
  <r>
    <x v="180"/>
    <s v="CMP202606078"/>
    <s v="CUST100078"/>
    <x v="1"/>
    <s v="Green"/>
    <x v="1"/>
    <s v="Central"/>
    <s v="55+"/>
    <n v="1947"/>
    <n v="1405"/>
    <n v="1366"/>
    <n v="76"/>
    <n v="38"/>
    <n v="3"/>
    <n v="237.96"/>
    <x v="840"/>
    <n v="0.9722419928825623"/>
    <n v="5.5636896046852125E-2"/>
    <n v="0.5"/>
    <n v="7.8947368421052627E-2"/>
    <n v="2.1961932650073207E-3"/>
    <n v="6.2621052631578946"/>
    <n v="3.1310526315789473"/>
    <n v="16.64691544797445"/>
  </r>
  <r>
    <x v="181"/>
    <s v="CMP202607028"/>
    <s v="CUST101413"/>
    <x v="2"/>
    <s v="Amber"/>
    <x v="1"/>
    <s v="North"/>
    <s v="35-44"/>
    <n v="4453"/>
    <n v="3548"/>
    <n v="3314"/>
    <n v="197"/>
    <n v="101"/>
    <n v="5"/>
    <n v="288.98"/>
    <x v="841"/>
    <n v="0.93404735062006761"/>
    <n v="5.9444779722389859E-2"/>
    <n v="0.51269035532994922"/>
    <n v="4.9504950495049507E-2"/>
    <n v="1.5087507543753772E-3"/>
    <n v="2.8611881188118815"/>
    <n v="1.4669035532994925"/>
    <n v="23.755830853346247"/>
  </r>
  <r>
    <x v="181"/>
    <s v="CMP202607029"/>
    <s v="CUST100564"/>
    <x v="3"/>
    <s v="Red Saleable"/>
    <x v="0"/>
    <s v="East"/>
    <s v="55+"/>
    <n v="929"/>
    <n v="801"/>
    <n v="734"/>
    <n v="15"/>
    <n v="6"/>
    <n v="0"/>
    <n v="104.14"/>
    <x v="0"/>
    <n v="0.91635455680399502"/>
    <n v="2.0435967302452316E-2"/>
    <n v="0.4"/>
    <n v="0"/>
    <n v="0"/>
    <n v="17.356666666666666"/>
    <n v="6.9426666666666668"/>
    <n v="-1"/>
  </r>
  <r>
    <x v="181"/>
    <s v="CMP202607046"/>
    <s v="CUST100821"/>
    <x v="2"/>
    <s v="Green"/>
    <x v="0"/>
    <s v="Central"/>
    <s v="18-24"/>
    <n v="1715"/>
    <n v="1284"/>
    <n v="1204"/>
    <n v="79"/>
    <n v="36"/>
    <n v="2"/>
    <n v="115.3"/>
    <x v="842"/>
    <n v="0.93769470404984423"/>
    <n v="6.5614617940199335E-2"/>
    <n v="0.45569620253164556"/>
    <n v="5.5555555555555552E-2"/>
    <n v="1.6611295681063123E-3"/>
    <n v="3.2027777777777775"/>
    <n v="1.459493670886076"/>
    <n v="23.690719861231571"/>
  </r>
  <r>
    <x v="181"/>
    <s v="CMP202607073"/>
    <s v="CUST100134"/>
    <x v="0"/>
    <s v="Red Non-Saleable"/>
    <x v="0"/>
    <s v="Central"/>
    <s v="45-54"/>
    <n v="2119"/>
    <n v="1553"/>
    <n v="1438"/>
    <n v="50"/>
    <n v="22"/>
    <n v="0"/>
    <n v="208.75"/>
    <x v="0"/>
    <n v="0.92594977462974892"/>
    <n v="3.4770514603616132E-2"/>
    <n v="0.44"/>
    <n v="0"/>
    <n v="0"/>
    <n v="9.4886363636363633"/>
    <n v="4.1749999999999998"/>
    <n v="-1"/>
  </r>
  <r>
    <x v="181"/>
    <s v="CMP202607073"/>
    <s v="CUST100555"/>
    <x v="1"/>
    <s v="Amber"/>
    <x v="0"/>
    <s v="East"/>
    <s v="25-34"/>
    <n v="2146"/>
    <n v="1565"/>
    <n v="1510"/>
    <n v="41"/>
    <n v="15"/>
    <n v="1"/>
    <n v="241.92"/>
    <x v="843"/>
    <n v="0.96485623003194887"/>
    <n v="2.7152317880794703E-2"/>
    <n v="0.36585365853658536"/>
    <n v="6.6666666666666666E-2"/>
    <n v="6.6225165562913907E-4"/>
    <n v="16.128"/>
    <n v="5.9004878048780487"/>
    <n v="4.0774636243386242"/>
  </r>
  <r>
    <x v="182"/>
    <s v="CMP202607012"/>
    <s v="CUST100150"/>
    <x v="0"/>
    <s v="Red Non-Saleable"/>
    <x v="0"/>
    <s v="West"/>
    <s v="35-44"/>
    <n v="4989"/>
    <n v="4787"/>
    <n v="4303"/>
    <n v="81"/>
    <n v="42"/>
    <n v="1"/>
    <n v="511.38"/>
    <x v="844"/>
    <n v="0.8988928347608105"/>
    <n v="1.8824076225888914E-2"/>
    <n v="0.51851851851851849"/>
    <n v="2.3809523809523808E-2"/>
    <n v="2.3239600278875203E-4"/>
    <n v="12.175714285714285"/>
    <n v="6.3133333333333335"/>
    <n v="0.24776096053815175"/>
  </r>
  <r>
    <x v="182"/>
    <s v="CMP202607014"/>
    <s v="CUST101240"/>
    <x v="3"/>
    <s v="Red Non-Saleable"/>
    <x v="1"/>
    <s v="North"/>
    <s v="18-24"/>
    <n v="4337"/>
    <n v="3788"/>
    <n v="3464"/>
    <n v="110"/>
    <n v="67"/>
    <n v="2"/>
    <n v="492.34"/>
    <x v="845"/>
    <n v="0.91446673706441395"/>
    <n v="3.1755196304849888E-2"/>
    <n v="0.60909090909090913"/>
    <n v="2.9850746268656716E-2"/>
    <n v="5.7736720554272516E-4"/>
    <n v="7.3483582089552231"/>
    <n v="4.4758181818181813"/>
    <n v="1.928728114717472"/>
  </r>
  <r>
    <x v="182"/>
    <s v="CMP202607030"/>
    <s v="CUST100222"/>
    <x v="0"/>
    <s v="Amber"/>
    <x v="1"/>
    <s v="West"/>
    <s v="25-34"/>
    <n v="1485"/>
    <n v="1419"/>
    <n v="1322"/>
    <n v="90"/>
    <n v="58"/>
    <n v="3"/>
    <n v="170.13"/>
    <x v="846"/>
    <n v="0.93164200140944331"/>
    <n v="6.8078668683812404E-2"/>
    <n v="0.64444444444444449"/>
    <n v="5.1724137931034482E-2"/>
    <n v="2.2692889561270802E-3"/>
    <n v="2.9332758620689656"/>
    <n v="1.8903333333333332"/>
    <n v="19.728266619643801"/>
  </r>
  <r>
    <x v="182"/>
    <s v="CMP202607033"/>
    <s v="CUST100105"/>
    <x v="0"/>
    <s v="Green"/>
    <x v="1"/>
    <s v="Central"/>
    <s v="18-24"/>
    <n v="1061"/>
    <n v="771"/>
    <n v="716"/>
    <n v="86"/>
    <n v="49"/>
    <n v="5"/>
    <n v="91.3"/>
    <x v="847"/>
    <n v="0.92866407263294426"/>
    <n v="0.12011173184357542"/>
    <n v="0.56976744186046513"/>
    <n v="0.10204081632653061"/>
    <n v="6.9832402234636867E-3"/>
    <n v="1.8632653061224489"/>
    <n v="1.0616279069767443"/>
    <n v="73.561993428258489"/>
  </r>
  <r>
    <x v="182"/>
    <s v="CMP202607048"/>
    <s v="CUST100964"/>
    <x v="0"/>
    <s v="Green"/>
    <x v="0"/>
    <s v="South"/>
    <s v="35-44"/>
    <n v="2648"/>
    <n v="2385"/>
    <n v="2119"/>
    <n v="148"/>
    <n v="76"/>
    <n v="4"/>
    <n v="293.76"/>
    <x v="848"/>
    <n v="0.88846960167714883"/>
    <n v="6.9844266163284568E-2"/>
    <n v="0.51351351351351349"/>
    <n v="5.2631578947368418E-2"/>
    <n v="1.8876828692779614E-3"/>
    <n v="3.8652631578947365"/>
    <n v="1.9848648648648648"/>
    <n v="15.338677832244008"/>
  </r>
  <r>
    <x v="182"/>
    <s v="CMP202607052"/>
    <s v="CUST100118"/>
    <x v="2"/>
    <s v="Green"/>
    <x v="1"/>
    <s v="Central"/>
    <s v="25-34"/>
    <n v="2844"/>
    <n v="2154"/>
    <n v="2034"/>
    <n v="179"/>
    <n v="101"/>
    <n v="9"/>
    <n v="202.58"/>
    <x v="849"/>
    <n v="0.94428969359331472"/>
    <n v="8.8003933136676496E-2"/>
    <n v="0.56424581005586594"/>
    <n v="8.9108910891089105E-2"/>
    <n v="4.4247787610619468E-3"/>
    <n v="2.0057425742574257"/>
    <n v="1.1317318435754191"/>
    <n v="44.809457991904431"/>
  </r>
  <r>
    <x v="182"/>
    <s v="CMP202607072"/>
    <s v="CUST100727"/>
    <x v="0"/>
    <s v="Red Non-Saleable"/>
    <x v="1"/>
    <s v="East"/>
    <s v="25-34"/>
    <n v="2963"/>
    <n v="2179"/>
    <n v="1985"/>
    <n v="82"/>
    <n v="53"/>
    <n v="2"/>
    <n v="243.21"/>
    <x v="850"/>
    <n v="0.91096833409821021"/>
    <n v="4.1309823677581861E-2"/>
    <n v="0.64634146341463417"/>
    <n v="3.7735849056603772E-2"/>
    <n v="1.0075566750629723E-3"/>
    <n v="4.5888679245283024"/>
    <n v="2.9659756097560979"/>
    <n v="4.8404670860573162"/>
  </r>
  <r>
    <x v="182"/>
    <s v="CMP202607078"/>
    <s v="CUST100840"/>
    <x v="1"/>
    <s v="Red Non-Saleable"/>
    <x v="0"/>
    <s v="West"/>
    <s v="35-44"/>
    <n v="4462"/>
    <n v="4356"/>
    <n v="4108"/>
    <n v="23"/>
    <n v="9"/>
    <n v="0"/>
    <n v="757.87"/>
    <x v="0"/>
    <n v="0.9430670339761249"/>
    <n v="5.598831548198637E-3"/>
    <n v="0.39130434782608697"/>
    <n v="0"/>
    <n v="0"/>
    <n v="84.207777777777778"/>
    <n v="32.950869565217388"/>
    <n v="-1"/>
  </r>
  <r>
    <x v="183"/>
    <s v="CMP202607005"/>
    <s v="CUST100071"/>
    <x v="2"/>
    <s v="Amber"/>
    <x v="0"/>
    <s v="South"/>
    <s v="18-24"/>
    <n v="2450"/>
    <n v="2085"/>
    <n v="1984"/>
    <n v="91"/>
    <n v="44"/>
    <n v="3"/>
    <n v="157.97"/>
    <x v="851"/>
    <n v="0.95155875299760195"/>
    <n v="4.5866935483870969E-2"/>
    <n v="0.48351648351648352"/>
    <n v="6.8181818181818177E-2"/>
    <n v="1.5120967741935483E-3"/>
    <n v="3.5902272727272728"/>
    <n v="1.7359340659340659"/>
    <n v="25.174653415205423"/>
  </r>
  <r>
    <x v="183"/>
    <s v="CMP202607020"/>
    <s v="CUST100431"/>
    <x v="0"/>
    <s v="Green"/>
    <x v="0"/>
    <s v="Central"/>
    <s v="18-24"/>
    <n v="3785"/>
    <n v="2859"/>
    <n v="2527"/>
    <n v="201"/>
    <n v="102"/>
    <n v="6"/>
    <n v="356.36"/>
    <x v="852"/>
    <n v="0.88387548093739066"/>
    <n v="7.9540957657301153E-2"/>
    <n v="0.5074626865671642"/>
    <n v="5.8823529411764705E-2"/>
    <n v="2.3743569449940641E-3"/>
    <n v="3.4937254901960784"/>
    <n v="1.7729353233830847"/>
    <n v="25.872684925356381"/>
  </r>
  <r>
    <x v="183"/>
    <s v="CMP202607059"/>
    <s v="CUST100082"/>
    <x v="0"/>
    <s v="Red Non-Saleable"/>
    <x v="0"/>
    <s v="East"/>
    <s v="35-44"/>
    <n v="4363"/>
    <n v="4026"/>
    <n v="3617"/>
    <n v="86"/>
    <n v="45"/>
    <n v="1"/>
    <n v="505.81"/>
    <x v="853"/>
    <n v="0.89841033283656235"/>
    <n v="2.3776610450649709E-2"/>
    <n v="0.52325581395348841"/>
    <n v="2.2222222222222223E-2"/>
    <n v="2.7647221454243849E-4"/>
    <n v="11.240222222222222"/>
    <n v="5.8815116279069768"/>
    <n v="0.78715327889919151"/>
  </r>
  <r>
    <x v="183"/>
    <s v="CMP202607064"/>
    <s v="CUST100883"/>
    <x v="1"/>
    <s v="Green"/>
    <x v="0"/>
    <s v="Central"/>
    <s v="25-34"/>
    <n v="1710"/>
    <n v="1259"/>
    <n v="1235"/>
    <n v="80"/>
    <n v="35"/>
    <n v="3"/>
    <n v="250.2"/>
    <x v="854"/>
    <n v="0.98093725178713265"/>
    <n v="6.4777327935222673E-2"/>
    <n v="0.4375"/>
    <n v="8.5714285714285715E-2"/>
    <n v="2.4291497975708503E-3"/>
    <n v="7.1485714285714286"/>
    <n v="3.1274999999999999"/>
    <n v="16.219344524380496"/>
  </r>
  <r>
    <x v="183"/>
    <s v="CMP202607076"/>
    <s v="CUST100256"/>
    <x v="0"/>
    <s v="Green"/>
    <x v="0"/>
    <s v="South"/>
    <s v="55+"/>
    <n v="2558"/>
    <n v="2253"/>
    <n v="2064"/>
    <n v="147"/>
    <n v="76"/>
    <n v="6"/>
    <n v="237.04"/>
    <x v="855"/>
    <n v="0.91611185086551261"/>
    <n v="7.1220930232558141E-2"/>
    <n v="0.51700680272108845"/>
    <n v="7.8947368421052627E-2"/>
    <n v="2.9069767441860465E-3"/>
    <n v="3.1189473684210527"/>
    <n v="1.612517006802721"/>
    <n v="37.745654741815727"/>
  </r>
  <r>
    <x v="183"/>
    <s v="CMP202607076"/>
    <s v="CUST101478"/>
    <x v="1"/>
    <s v="Amber"/>
    <x v="1"/>
    <s v="East"/>
    <s v="25-34"/>
    <n v="4274"/>
    <n v="4243"/>
    <n v="4054"/>
    <n v="222"/>
    <n v="108"/>
    <n v="7"/>
    <n v="711.35"/>
    <x v="856"/>
    <n v="0.9554560452510017"/>
    <n v="5.4760730143068571E-2"/>
    <n v="0.48648648648648651"/>
    <n v="6.4814814814814811E-2"/>
    <n v="1.726689689195856E-3"/>
    <n v="6.5865740740740746"/>
    <n v="3.2042792792792794"/>
    <n v="14.089280944682645"/>
  </r>
  <r>
    <x v="184"/>
    <s v="CMP202607012"/>
    <s v="CUST100502"/>
    <x v="2"/>
    <s v="Red Non-Saleable"/>
    <x v="0"/>
    <s v="West"/>
    <s v="18-24"/>
    <n v="4144"/>
    <n v="3933"/>
    <n v="3550"/>
    <n v="66"/>
    <n v="37"/>
    <n v="1"/>
    <n v="268.85000000000002"/>
    <x v="857"/>
    <n v="0.90261886600559371"/>
    <n v="1.8591549295774647E-2"/>
    <n v="0.56060606060606055"/>
    <n v="2.7027027027027029E-2"/>
    <n v="2.8169014084507044E-4"/>
    <n v="7.2662162162162165"/>
    <n v="4.0734848484848492"/>
    <n v="3.4097824065464009"/>
  </r>
  <r>
    <x v="184"/>
    <s v="CMP202607025"/>
    <s v="CUST100043"/>
    <x v="3"/>
    <s v="Green"/>
    <x v="0"/>
    <s v="South"/>
    <s v="55+"/>
    <n v="3683"/>
    <n v="3141"/>
    <n v="2984"/>
    <n v="186"/>
    <n v="111"/>
    <n v="7"/>
    <n v="521.98"/>
    <x v="858"/>
    <n v="0.95001591849729383"/>
    <n v="6.2332439678284182E-2"/>
    <n v="0.59677419354838712"/>
    <n v="6.3063063063063057E-2"/>
    <n v="2.3458445040214475E-3"/>
    <n v="4.7025225225225231"/>
    <n v="2.8063440860215056"/>
    <n v="15.464538871221119"/>
  </r>
  <r>
    <x v="184"/>
    <s v="CMP202607028"/>
    <s v="CUST100703"/>
    <x v="2"/>
    <s v="Red Saleable"/>
    <x v="0"/>
    <s v="West"/>
    <s v="35-44"/>
    <n v="2879"/>
    <n v="2359"/>
    <n v="2247"/>
    <n v="58"/>
    <n v="24"/>
    <n v="1"/>
    <n v="163.68"/>
    <x v="859"/>
    <n v="0.95252225519287836"/>
    <n v="2.58121940364931E-2"/>
    <n v="0.41379310344827586"/>
    <n v="4.1666666666666664E-2"/>
    <n v="4.450378282153983E-4"/>
    <n v="6.82"/>
    <n v="2.8220689655172415"/>
    <n v="7.1195014662756595"/>
  </r>
  <r>
    <x v="184"/>
    <s v="CMP202607037"/>
    <s v="CUST100634"/>
    <x v="2"/>
    <s v="Green"/>
    <x v="0"/>
    <s v="East"/>
    <s v="45-54"/>
    <n v="2373"/>
    <n v="2184"/>
    <n v="2033"/>
    <n v="115"/>
    <n v="48"/>
    <n v="3"/>
    <n v="207.86"/>
    <x v="860"/>
    <n v="0.93086080586080588"/>
    <n v="5.6566650270536152E-2"/>
    <n v="0.41739130434782606"/>
    <n v="6.25E-2"/>
    <n v="1.4756517461878996E-3"/>
    <n v="4.3304166666666672"/>
    <n v="1.8074782608695654"/>
    <n v="18.767054748388336"/>
  </r>
  <r>
    <x v="184"/>
    <s v="CMP202607041"/>
    <s v="CUST100511"/>
    <x v="3"/>
    <s v="Red Saleable"/>
    <x v="1"/>
    <s v="West"/>
    <s v="55+"/>
    <n v="2254"/>
    <n v="2183"/>
    <n v="2027"/>
    <n v="124"/>
    <n v="75"/>
    <n v="3"/>
    <n v="284.13"/>
    <x v="861"/>
    <n v="0.92853870819972517"/>
    <n v="6.1174148988653185E-2"/>
    <n v="0.60483870967741937"/>
    <n v="0.04"/>
    <n v="1.4800197335964479E-3"/>
    <n v="3.7883999999999998"/>
    <n v="2.2913709677419356"/>
    <n v="14.86217576461479"/>
  </r>
  <r>
    <x v="184"/>
    <s v="CMP202607064"/>
    <s v="CUST100978"/>
    <x v="2"/>
    <s v="Green"/>
    <x v="1"/>
    <s v="North"/>
    <s v="35-44"/>
    <n v="3454"/>
    <n v="2731"/>
    <n v="2621"/>
    <n v="234"/>
    <n v="146"/>
    <n v="13"/>
    <n v="212.2"/>
    <x v="862"/>
    <n v="0.95972171365800074"/>
    <n v="8.927890118275468E-2"/>
    <n v="0.62393162393162394"/>
    <n v="8.9041095890410954E-2"/>
    <n v="4.9599389545974815E-3"/>
    <n v="1.4534246575342464"/>
    <n v="0.90683760683760684"/>
    <n v="69.062346842601315"/>
  </r>
  <r>
    <x v="185"/>
    <s v="CMP202607018"/>
    <s v="CUST100704"/>
    <x v="3"/>
    <s v="Red Non-Saleable"/>
    <x v="0"/>
    <s v="North"/>
    <s v="35-44"/>
    <n v="4995"/>
    <n v="4711"/>
    <n v="4493"/>
    <n v="106"/>
    <n v="50"/>
    <n v="0"/>
    <n v="785.45"/>
    <x v="0"/>
    <n v="0.95372532371046492"/>
    <n v="2.3592254618295127E-2"/>
    <n v="0.47169811320754718"/>
    <n v="0"/>
    <n v="0"/>
    <n v="15.709000000000001"/>
    <n v="7.4099056603773592"/>
    <n v="-1"/>
  </r>
  <r>
    <x v="185"/>
    <s v="CMP202607018"/>
    <s v="CUST101178"/>
    <x v="0"/>
    <s v="Red Saleable"/>
    <x v="0"/>
    <s v="North"/>
    <s v="25-34"/>
    <n v="1755"/>
    <n v="1626"/>
    <n v="1487"/>
    <n v="58"/>
    <n v="35"/>
    <n v="2"/>
    <n v="190.99"/>
    <x v="863"/>
    <n v="0.91451414514145146"/>
    <n v="3.9004707464694012E-2"/>
    <n v="0.60344827586206895"/>
    <n v="5.7142857142857141E-2"/>
    <n v="1.3449899125756557E-3"/>
    <n v="5.4568571428571433"/>
    <n v="3.2929310344827587"/>
    <n v="11.959997905649509"/>
  </r>
  <r>
    <x v="185"/>
    <s v="CMP202607029"/>
    <s v="CUST101217"/>
    <x v="2"/>
    <s v="Green"/>
    <x v="0"/>
    <s v="South"/>
    <s v="55+"/>
    <n v="4859"/>
    <n v="4819"/>
    <n v="4678"/>
    <n v="296"/>
    <n v="117"/>
    <n v="7"/>
    <n v="438.2"/>
    <x v="864"/>
    <n v="0.97074081759701181"/>
    <n v="6.3274903805044885E-2"/>
    <n v="0.39527027027027029"/>
    <n v="5.9829059829059832E-2"/>
    <n v="1.4963659683625481E-3"/>
    <n v="3.7452991452991453"/>
    <n v="1.4804054054054054"/>
    <n v="15.826517571884985"/>
  </r>
  <r>
    <x v="185"/>
    <s v="CMP202607059"/>
    <s v="CUST101474"/>
    <x v="1"/>
    <s v="Green"/>
    <x v="0"/>
    <s v="East"/>
    <s v="25-34"/>
    <n v="4652"/>
    <n v="3719"/>
    <n v="3563"/>
    <n v="196"/>
    <n v="65"/>
    <n v="6"/>
    <n v="657.67"/>
    <x v="865"/>
    <n v="0.95805324011831139"/>
    <n v="5.50098231827112E-2"/>
    <n v="0.33163265306122447"/>
    <n v="9.2307692307692313E-2"/>
    <n v="1.6839741790625876E-3"/>
    <n v="10.117999999999999"/>
    <n v="3.3554591836734691"/>
    <n v="7.4667842535009967"/>
  </r>
  <r>
    <x v="186"/>
    <s v="CMP202607001"/>
    <s v="CUST101140"/>
    <x v="1"/>
    <s v="Green"/>
    <x v="1"/>
    <s v="South"/>
    <s v="45-54"/>
    <n v="2199"/>
    <n v="1640"/>
    <n v="1553"/>
    <n v="105"/>
    <n v="56"/>
    <n v="5"/>
    <n v="325.29000000000002"/>
    <x v="866"/>
    <n v="0.94695121951219507"/>
    <n v="6.7611075338055382E-2"/>
    <n v="0.53333333333333333"/>
    <n v="8.9285714285714288E-2"/>
    <n v="3.2195750160978749E-3"/>
    <n v="5.8087500000000007"/>
    <n v="3.0980000000000003"/>
    <n v="12.236650373512864"/>
  </r>
  <r>
    <x v="186"/>
    <s v="CMP202607011"/>
    <s v="CUST101221"/>
    <x v="2"/>
    <s v="Green"/>
    <x v="0"/>
    <s v="West"/>
    <s v="25-34"/>
    <n v="3238"/>
    <n v="2951"/>
    <n v="2771"/>
    <n v="212"/>
    <n v="113"/>
    <n v="7"/>
    <n v="246.93"/>
    <x v="867"/>
    <n v="0.93900372754998307"/>
    <n v="7.6506676290147957E-2"/>
    <n v="0.53301886792452835"/>
    <n v="6.1946902654867256E-2"/>
    <n v="2.5261638397690365E-3"/>
    <n v="2.1852212389380532"/>
    <n v="1.1647641509433964"/>
    <n v="44.863888551411328"/>
  </r>
  <r>
    <x v="186"/>
    <s v="CMP202607033"/>
    <s v="CUST101492"/>
    <x v="2"/>
    <s v="Amber"/>
    <x v="0"/>
    <s v="Central"/>
    <s v="55+"/>
    <n v="2339"/>
    <n v="1970"/>
    <n v="1844"/>
    <n v="93"/>
    <n v="49"/>
    <n v="2"/>
    <n v="149.59"/>
    <x v="868"/>
    <n v="0.93604060913705589"/>
    <n v="5.0433839479392624E-2"/>
    <n v="0.5268817204301075"/>
    <n v="4.0816326530612242E-2"/>
    <n v="1.0845986984815619E-3"/>
    <n v="3.0528571428571429"/>
    <n v="1.6084946236559141"/>
    <n v="14.019720569556789"/>
  </r>
  <r>
    <x v="186"/>
    <s v="CMP202607045"/>
    <s v="CUST100700"/>
    <x v="3"/>
    <s v="Green"/>
    <x v="1"/>
    <s v="South"/>
    <s v="35-44"/>
    <n v="1585"/>
    <n v="1434"/>
    <n v="1319"/>
    <n v="149"/>
    <n v="81"/>
    <n v="7"/>
    <n v="244.78"/>
    <x v="869"/>
    <n v="0.91980474198047424"/>
    <n v="0.11296436694465505"/>
    <n v="0.5436241610738255"/>
    <n v="8.6419753086419748E-2"/>
    <n v="5.3070507960576198E-3"/>
    <n v="3.0219753086419754"/>
    <n v="1.6428187919463086"/>
    <n v="47.249244219298966"/>
  </r>
  <r>
    <x v="186"/>
    <s v="CMP202607046"/>
    <s v="CUST100289"/>
    <x v="0"/>
    <s v="Red Saleable"/>
    <x v="0"/>
    <s v="North"/>
    <s v="18-24"/>
    <n v="4115"/>
    <n v="3194"/>
    <n v="2956"/>
    <n v="101"/>
    <n v="50"/>
    <n v="2"/>
    <n v="366.97"/>
    <x v="870"/>
    <n v="0.92548528490920479"/>
    <n v="3.4167794316644115E-2"/>
    <n v="0.49504950495049505"/>
    <n v="0.04"/>
    <n v="6.7658998646820032E-4"/>
    <n v="7.3394000000000004"/>
    <n v="3.6333663366336637"/>
    <n v="3.3936016568111831"/>
  </r>
  <r>
    <x v="186"/>
    <s v="CMP202607054"/>
    <s v="CUST101212"/>
    <x v="1"/>
    <s v="Red Non-Saleable"/>
    <x v="1"/>
    <s v="Central"/>
    <s v="18-24"/>
    <n v="4219"/>
    <n v="3756"/>
    <n v="3543"/>
    <n v="44"/>
    <n v="26"/>
    <n v="0"/>
    <n v="691.82"/>
    <x v="0"/>
    <n v="0.94329073482428116"/>
    <n v="1.2418854078464579E-2"/>
    <n v="0.59090909090909094"/>
    <n v="0"/>
    <n v="0"/>
    <n v="26.60846153846154"/>
    <n v="15.723181818181819"/>
    <n v="-1"/>
  </r>
  <r>
    <x v="186"/>
    <s v="CMP202607073"/>
    <s v="CUST100235"/>
    <x v="3"/>
    <s v="Green"/>
    <x v="1"/>
    <s v="West"/>
    <s v="35-44"/>
    <n v="2659"/>
    <n v="2075"/>
    <n v="1957"/>
    <n v="223"/>
    <n v="140"/>
    <n v="13"/>
    <n v="349.09"/>
    <x v="871"/>
    <n v="0.94313253012048193"/>
    <n v="0.11394992335206949"/>
    <n v="0.62780269058295968"/>
    <n v="9.285714285714286E-2"/>
    <n v="6.6428206438426162E-3"/>
    <n v="2.4934999999999996"/>
    <n v="1.5654260089686098"/>
    <n v="32.889684608553665"/>
  </r>
  <r>
    <x v="187"/>
    <s v="CMP202607002"/>
    <s v="CUST100520"/>
    <x v="0"/>
    <s v="Green"/>
    <x v="0"/>
    <s v="Central"/>
    <s v="55+"/>
    <n v="1495"/>
    <n v="1109"/>
    <n v="990"/>
    <n v="80"/>
    <n v="37"/>
    <n v="3"/>
    <n v="134.69999999999999"/>
    <x v="872"/>
    <n v="0.89269612263300269"/>
    <n v="8.0808080808080815E-2"/>
    <n v="0.46250000000000002"/>
    <n v="8.1081081081081086E-2"/>
    <n v="3.0303030303030303E-3"/>
    <n v="3.6405405405405404"/>
    <n v="1.6837499999999999"/>
    <n v="27.17572383073497"/>
  </r>
  <r>
    <x v="187"/>
    <s v="CMP202607017"/>
    <s v="CUST100792"/>
    <x v="1"/>
    <s v="Green"/>
    <x v="0"/>
    <s v="East"/>
    <s v="35-44"/>
    <n v="470"/>
    <n v="416"/>
    <n v="409"/>
    <n v="19"/>
    <n v="8"/>
    <n v="0"/>
    <n v="89.78"/>
    <x v="0"/>
    <n v="0.98317307692307687"/>
    <n v="4.6454767726161368E-2"/>
    <n v="0.42105263157894735"/>
    <n v="0"/>
    <n v="0"/>
    <n v="11.2225"/>
    <n v="4.7252631578947373"/>
    <n v="-1"/>
  </r>
  <r>
    <x v="187"/>
    <s v="CMP202607031"/>
    <s v="CUST100172"/>
    <x v="2"/>
    <s v="Red Saleable"/>
    <x v="0"/>
    <s v="East"/>
    <s v="25-34"/>
    <n v="2742"/>
    <n v="2282"/>
    <n v="2118"/>
    <n v="64"/>
    <n v="32"/>
    <n v="1"/>
    <n v="190.25"/>
    <x v="873"/>
    <n v="0.92813321647677471"/>
    <n v="3.0217186024551465E-2"/>
    <n v="0.5"/>
    <n v="3.125E-2"/>
    <n v="4.7214353163361664E-4"/>
    <n v="5.9453125"/>
    <n v="2.97265625"/>
    <n v="3.3386070959264122"/>
  </r>
  <r>
    <x v="187"/>
    <s v="CMP202607034"/>
    <s v="CUST100898"/>
    <x v="2"/>
    <s v="Red Saleable"/>
    <x v="0"/>
    <s v="South"/>
    <s v="45-54"/>
    <n v="3964"/>
    <n v="3658"/>
    <n v="3522"/>
    <n v="129"/>
    <n v="67"/>
    <n v="2"/>
    <n v="290.81"/>
    <x v="874"/>
    <n v="0.96282121377802077"/>
    <n v="3.6626916524701875E-2"/>
    <n v="0.51937984496124034"/>
    <n v="2.9850746268656716E-2"/>
    <n v="5.6785917092561046E-4"/>
    <n v="4.3404477611940298"/>
    <n v="2.2543410852713177"/>
    <n v="5.0089405453732683"/>
  </r>
  <r>
    <x v="187"/>
    <s v="CMP202607046"/>
    <s v="CUST101108"/>
    <x v="1"/>
    <s v="Amber"/>
    <x v="1"/>
    <s v="North"/>
    <s v="35-44"/>
    <n v="1484"/>
    <n v="1203"/>
    <n v="1146"/>
    <n v="59"/>
    <n v="35"/>
    <n v="2"/>
    <n v="225.21"/>
    <x v="875"/>
    <n v="0.95261845386533661"/>
    <n v="5.1483420593368238E-2"/>
    <n v="0.59322033898305082"/>
    <n v="5.7142857142857141E-2"/>
    <n v="1.7452006980802793E-3"/>
    <n v="6.4345714285714291"/>
    <n v="3.8171186440677967"/>
    <n v="10.349274010923137"/>
  </r>
  <r>
    <x v="187"/>
    <s v="CMP202607056"/>
    <s v="CUST100318"/>
    <x v="3"/>
    <s v="Green"/>
    <x v="0"/>
    <s v="South"/>
    <s v="55+"/>
    <n v="3911"/>
    <n v="3695"/>
    <n v="3398"/>
    <n v="194"/>
    <n v="92"/>
    <n v="8"/>
    <n v="638.22"/>
    <x v="876"/>
    <n v="0.91962110960757781"/>
    <n v="5.7092407298410829E-2"/>
    <n v="0.47422680412371132"/>
    <n v="8.6956521739130432E-2"/>
    <n v="2.3543260741612712E-3"/>
    <n v="6.9371739130434786"/>
    <n v="3.2897938144329899"/>
    <n v="17.852025947165554"/>
  </r>
  <r>
    <x v="187"/>
    <s v="CMP202607072"/>
    <s v="CUST100586"/>
    <x v="0"/>
    <s v="Green"/>
    <x v="1"/>
    <s v="East"/>
    <s v="18-24"/>
    <n v="3542"/>
    <n v="3027"/>
    <n v="2708"/>
    <n v="289"/>
    <n v="162"/>
    <n v="13"/>
    <n v="329.14"/>
    <x v="877"/>
    <n v="0.89461513049223651"/>
    <n v="0.10672082717872969"/>
    <n v="0.56055363321799312"/>
    <n v="8.0246913580246909E-2"/>
    <n v="4.8005908419497785E-3"/>
    <n v="2.0317283950617284"/>
    <n v="1.1388927335640138"/>
    <n v="40.838093212614694"/>
  </r>
  <r>
    <x v="187"/>
    <s v="CMP202607076"/>
    <s v="CUST100544"/>
    <x v="0"/>
    <s v="Red Saleable"/>
    <x v="1"/>
    <s v="South"/>
    <s v="35-44"/>
    <n v="2091"/>
    <n v="1859"/>
    <n v="1691"/>
    <n v="73"/>
    <n v="50"/>
    <n v="3"/>
    <n v="228.63"/>
    <x v="878"/>
    <n v="0.90962883270575579"/>
    <n v="4.3169722057953872E-2"/>
    <n v="0.68493150684931503"/>
    <n v="0.06"/>
    <n v="1.7740981667652277E-3"/>
    <n v="4.5725999999999996"/>
    <n v="3.1319178082191779"/>
    <n v="11.671652888947207"/>
  </r>
  <r>
    <x v="188"/>
    <s v="CMP202607008"/>
    <s v="CUST101014"/>
    <x v="3"/>
    <s v="Red Saleable"/>
    <x v="0"/>
    <s v="South"/>
    <s v="55+"/>
    <n v="2459"/>
    <n v="2295"/>
    <n v="2161"/>
    <n v="88"/>
    <n v="50"/>
    <n v="2"/>
    <n v="322.43"/>
    <x v="879"/>
    <n v="0.9416122004357298"/>
    <n v="4.0721888014807958E-2"/>
    <n v="0.56818181818181823"/>
    <n v="0.04"/>
    <n v="9.254974548819991E-4"/>
    <n v="6.4485999999999999"/>
    <n v="3.6639772727272728"/>
    <n v="6.0116304314114695"/>
  </r>
  <r>
    <x v="188"/>
    <s v="CMP202607020"/>
    <s v="CUST101309"/>
    <x v="1"/>
    <s v="Green"/>
    <x v="1"/>
    <s v="West"/>
    <s v="25-34"/>
    <n v="1583"/>
    <n v="1173"/>
    <n v="1105"/>
    <n v="69"/>
    <n v="34"/>
    <n v="4"/>
    <n v="234.97"/>
    <x v="880"/>
    <n v="0.94202898550724634"/>
    <n v="6.244343891402715E-2"/>
    <n v="0.49275362318840582"/>
    <n v="0.11764705882352941"/>
    <n v="3.6199095022624436E-3"/>
    <n v="6.9108823529411767"/>
    <n v="3.4053623188405795"/>
    <n v="20.873090181725328"/>
  </r>
  <r>
    <x v="188"/>
    <s v="CMP202607026"/>
    <s v="CUST100376"/>
    <x v="1"/>
    <s v="Red Saleable"/>
    <x v="0"/>
    <s v="Central"/>
    <s v="35-44"/>
    <n v="1680"/>
    <n v="1215"/>
    <n v="1174"/>
    <n v="22"/>
    <n v="10"/>
    <n v="0"/>
    <n v="242.3"/>
    <x v="0"/>
    <n v="0.96625514403292179"/>
    <n v="1.8739352640545145E-2"/>
    <n v="0.45454545454545453"/>
    <n v="0"/>
    <n v="0"/>
    <n v="24.23"/>
    <n v="11.013636363636364"/>
    <n v="-1"/>
  </r>
  <r>
    <x v="188"/>
    <s v="CMP202607034"/>
    <s v="CUST101473"/>
    <x v="2"/>
    <s v="Amber"/>
    <x v="0"/>
    <s v="Central"/>
    <s v="35-44"/>
    <n v="518"/>
    <n v="514"/>
    <n v="486"/>
    <n v="22"/>
    <n v="9"/>
    <n v="1"/>
    <n v="44.43"/>
    <x v="881"/>
    <n v="0.94552529182879375"/>
    <n v="4.5267489711934158E-2"/>
    <n v="0.40909090909090912"/>
    <n v="0.1111111111111111"/>
    <n v="2.05761316872428E-3"/>
    <n v="4.9366666666666665"/>
    <n v="2.0195454545454545"/>
    <n v="22.419536349313528"/>
  </r>
  <r>
    <x v="188"/>
    <s v="CMP202607037"/>
    <s v="CUST100672"/>
    <x v="2"/>
    <s v="Amber"/>
    <x v="0"/>
    <s v="West"/>
    <s v="35-44"/>
    <n v="1013"/>
    <n v="912"/>
    <n v="868"/>
    <n v="48"/>
    <n v="22"/>
    <n v="1"/>
    <n v="85.71"/>
    <x v="882"/>
    <n v="0.95175438596491224"/>
    <n v="5.5299539170506916E-2"/>
    <n v="0.45833333333333331"/>
    <n v="4.5454545454545456E-2"/>
    <n v="1.152073732718894E-3"/>
    <n v="3.8959090909090905"/>
    <n v="1.7856249999999998"/>
    <n v="9.6887177692217943"/>
  </r>
  <r>
    <x v="188"/>
    <s v="CMP202607065"/>
    <s v="CUST100151"/>
    <x v="2"/>
    <s v="Red Non-Saleable"/>
    <x v="0"/>
    <s v="Central"/>
    <s v="45-54"/>
    <n v="4059"/>
    <n v="3450"/>
    <n v="3223"/>
    <n v="29"/>
    <n v="13"/>
    <n v="0"/>
    <n v="326.19"/>
    <x v="0"/>
    <n v="0.93420289855072469"/>
    <n v="8.9978281104560968E-3"/>
    <n v="0.44827586206896552"/>
    <n v="0"/>
    <n v="0"/>
    <n v="25.091538461538462"/>
    <n v="11.247931034482759"/>
    <n v="-1"/>
  </r>
  <r>
    <x v="188"/>
    <s v="CMP202607069"/>
    <s v="CUST100156"/>
    <x v="2"/>
    <s v="Red Non-Saleable"/>
    <x v="1"/>
    <s v="South"/>
    <s v="35-44"/>
    <n v="573"/>
    <n v="421"/>
    <n v="406"/>
    <n v="12"/>
    <n v="7"/>
    <n v="0"/>
    <n v="34.01"/>
    <x v="0"/>
    <n v="0.96437054631828978"/>
    <n v="2.9556650246305417E-2"/>
    <n v="0.58333333333333337"/>
    <n v="0"/>
    <n v="0"/>
    <n v="4.8585714285714285"/>
    <n v="2.8341666666666665"/>
    <n v="-1"/>
  </r>
  <r>
    <x v="189"/>
    <s v="CMP202607003"/>
    <s v="CUST100045"/>
    <x v="2"/>
    <s v="Green"/>
    <x v="1"/>
    <s v="West"/>
    <s v="55+"/>
    <n v="2995"/>
    <n v="2993"/>
    <n v="2821"/>
    <n v="285"/>
    <n v="164"/>
    <n v="16"/>
    <n v="264.11"/>
    <x v="883"/>
    <n v="0.94253257601069163"/>
    <n v="0.1010280042538107"/>
    <n v="0.57543859649122808"/>
    <n v="9.7560975609756101E-2"/>
    <n v="5.6717476072314782E-3"/>
    <n v="1.6104268292682928"/>
    <n v="0.92670175438596492"/>
    <n v="94.752300177956144"/>
  </r>
  <r>
    <x v="189"/>
    <s v="CMP202607029"/>
    <s v="CUST101119"/>
    <x v="2"/>
    <s v="Red Saleable"/>
    <x v="0"/>
    <s v="East"/>
    <s v="55+"/>
    <n v="1532"/>
    <n v="1377"/>
    <n v="1358"/>
    <n v="47"/>
    <n v="21"/>
    <n v="1"/>
    <n v="113.56"/>
    <x v="884"/>
    <n v="0.98620188816267251"/>
    <n v="3.4609720176730488E-2"/>
    <n v="0.44680851063829785"/>
    <n v="4.7619047619047616E-2"/>
    <n v="7.3637702503681884E-4"/>
    <n v="5.4076190476190478"/>
    <n v="2.4161702127659574"/>
    <n v="11.099947164494541"/>
  </r>
  <r>
    <x v="189"/>
    <s v="CMP202607041"/>
    <s v="CUST101461"/>
    <x v="2"/>
    <s v="Red Saleable"/>
    <x v="0"/>
    <s v="Central"/>
    <s v="25-34"/>
    <n v="4957"/>
    <n v="4161"/>
    <n v="3837"/>
    <n v="77"/>
    <n v="38"/>
    <n v="1"/>
    <n v="371.28"/>
    <x v="885"/>
    <n v="0.92213410237923576"/>
    <n v="2.006776127182695E-2"/>
    <n v="0.4935064935064935"/>
    <n v="2.6315789473684209E-2"/>
    <n v="2.6062027625749283E-4"/>
    <n v="9.7705263157894731"/>
    <n v="4.8218181818181813"/>
    <n v="2.5242673992673996"/>
  </r>
  <r>
    <x v="189"/>
    <s v="CMP202607051"/>
    <s v="CUST100168"/>
    <x v="1"/>
    <s v="Amber"/>
    <x v="0"/>
    <s v="Central"/>
    <s v="35-44"/>
    <n v="4577"/>
    <n v="3864"/>
    <n v="3797"/>
    <n v="187"/>
    <n v="71"/>
    <n v="5"/>
    <n v="833.68"/>
    <x v="886"/>
    <n v="0.98266045548654246"/>
    <n v="4.9249407426915984E-2"/>
    <n v="0.37967914438502676"/>
    <n v="7.0422535211267609E-2"/>
    <n v="1.3168290755859889E-3"/>
    <n v="11.741971830985914"/>
    <n v="4.458181818181818"/>
    <n v="3.1837275693311584"/>
  </r>
  <r>
    <x v="189"/>
    <s v="CMP202607056"/>
    <s v="CUST100820"/>
    <x v="2"/>
    <s v="Amber"/>
    <x v="0"/>
    <s v="West"/>
    <s v="18-24"/>
    <n v="2815"/>
    <n v="2291"/>
    <n v="2157"/>
    <n v="93"/>
    <n v="45"/>
    <n v="1"/>
    <n v="218.47"/>
    <x v="887"/>
    <n v="0.94151025752946316"/>
    <n v="4.3115438108484005E-2"/>
    <n v="0.4838709677419355"/>
    <n v="2.2222222222222223E-2"/>
    <n v="4.6360686138154843E-4"/>
    <n v="4.8548888888888886"/>
    <n v="2.3491397849462365"/>
    <n v="2.3828443264521439"/>
  </r>
  <r>
    <x v="189"/>
    <s v="CMP202607066"/>
    <s v="CUST100261"/>
    <x v="2"/>
    <s v="Green"/>
    <x v="0"/>
    <s v="West"/>
    <s v="35-44"/>
    <n v="2606"/>
    <n v="2575"/>
    <n v="2434"/>
    <n v="159"/>
    <n v="82"/>
    <n v="7"/>
    <n v="204.17"/>
    <x v="888"/>
    <n v="0.9452427184466019"/>
    <n v="6.5324568611339354E-2"/>
    <n v="0.51572327044025157"/>
    <n v="8.5365853658536592E-2"/>
    <n v="2.8759244042728021E-3"/>
    <n v="2.4898780487804877"/>
    <n v="1.2840880503144654"/>
    <n v="47.072880442768287"/>
  </r>
  <r>
    <x v="189"/>
    <s v="CMP202607076"/>
    <s v="CUST100785"/>
    <x v="1"/>
    <s v="Green"/>
    <x v="0"/>
    <s v="North"/>
    <s v="45-54"/>
    <n v="1382"/>
    <n v="1125"/>
    <n v="1093"/>
    <n v="53"/>
    <n v="20"/>
    <n v="1"/>
    <n v="179.68"/>
    <x v="889"/>
    <n v="0.97155555555555551"/>
    <n v="4.8490393412625801E-2"/>
    <n v="0.37735849056603776"/>
    <n v="0.05"/>
    <n v="9.1491308325709062E-4"/>
    <n v="8.984"/>
    <n v="3.3901886792452833"/>
    <n v="4.77493321460374"/>
  </r>
  <r>
    <x v="189"/>
    <s v="CMP202607077"/>
    <s v="CUST101434"/>
    <x v="3"/>
    <s v="Red Non-Saleable"/>
    <x v="0"/>
    <s v="Central"/>
    <s v="18-24"/>
    <n v="3284"/>
    <n v="3250"/>
    <n v="2992"/>
    <n v="22"/>
    <n v="9"/>
    <n v="0"/>
    <n v="481.61"/>
    <x v="0"/>
    <n v="0.92061538461538461"/>
    <n v="7.3529411764705881E-3"/>
    <n v="0.40909090909090912"/>
    <n v="0"/>
    <n v="0"/>
    <n v="53.512222222222221"/>
    <n v="21.891363636363636"/>
    <n v="-1"/>
  </r>
  <r>
    <x v="189"/>
    <s v="CMP202607078"/>
    <s v="CUST100902"/>
    <x v="2"/>
    <s v="Red Non-Saleable"/>
    <x v="0"/>
    <s v="North"/>
    <s v="25-34"/>
    <n v="1348"/>
    <n v="1215"/>
    <n v="1186"/>
    <n v="18"/>
    <n v="8"/>
    <n v="0"/>
    <n v="101.11"/>
    <x v="0"/>
    <n v="0.97613168724279831"/>
    <n v="1.5177065767284991E-2"/>
    <n v="0.44444444444444442"/>
    <n v="0"/>
    <n v="0"/>
    <n v="12.63875"/>
    <n v="5.6172222222222219"/>
    <n v="-1"/>
  </r>
  <r>
    <x v="190"/>
    <s v="CMP202607003"/>
    <s v="CUST100312"/>
    <x v="2"/>
    <s v="Red Saleable"/>
    <x v="0"/>
    <s v="Central"/>
    <s v="35-44"/>
    <n v="2154"/>
    <n v="1682"/>
    <n v="1595"/>
    <n v="67"/>
    <n v="26"/>
    <n v="1"/>
    <n v="141.59"/>
    <x v="890"/>
    <n v="0.94827586206896552"/>
    <n v="4.200626959247649E-2"/>
    <n v="0.38805970149253732"/>
    <n v="3.8461538461538464E-2"/>
    <n v="6.2695924764890286E-4"/>
    <n v="5.4457692307692307"/>
    <n v="2.1132835820895521"/>
    <n v="5.3302493113920466"/>
  </r>
  <r>
    <x v="190"/>
    <s v="CMP202607012"/>
    <s v="CUST100174"/>
    <x v="2"/>
    <s v="Red Non-Saleable"/>
    <x v="1"/>
    <s v="North"/>
    <s v="25-34"/>
    <n v="4849"/>
    <n v="4471"/>
    <n v="4159"/>
    <n v="42"/>
    <n v="26"/>
    <n v="1"/>
    <n v="378.33"/>
    <x v="891"/>
    <n v="0.93021695370163271"/>
    <n v="1.0098581389757152E-2"/>
    <n v="0.61904761904761907"/>
    <n v="3.8461538461538464E-2"/>
    <n v="2.4044241404183698E-4"/>
    <n v="14.551153846153845"/>
    <n v="9.0078571428571426"/>
    <n v="2.4329817883858009"/>
  </r>
  <r>
    <x v="190"/>
    <s v="CMP202607018"/>
    <s v="CUST101059"/>
    <x v="2"/>
    <s v="Amber"/>
    <x v="0"/>
    <s v="Central"/>
    <s v="45-54"/>
    <n v="1051"/>
    <n v="866"/>
    <n v="829"/>
    <n v="48"/>
    <n v="22"/>
    <n v="1"/>
    <n v="72.819999999999993"/>
    <x v="892"/>
    <n v="0.95727482678983833"/>
    <n v="5.790108564535585E-2"/>
    <n v="0.45833333333333331"/>
    <n v="4.5454545454545456E-2"/>
    <n v="1.2062726176115801E-3"/>
    <n v="3.3099999999999996"/>
    <n v="1.5170833333333331"/>
    <n v="8.8452348255973625"/>
  </r>
  <r>
    <x v="190"/>
    <s v="CMP202607020"/>
    <s v="CUST101499"/>
    <x v="3"/>
    <s v="Red Saleable"/>
    <x v="1"/>
    <s v="South"/>
    <s v="45-54"/>
    <n v="2901"/>
    <n v="2579"/>
    <n v="2341"/>
    <n v="115"/>
    <n v="71"/>
    <n v="4"/>
    <n v="360.68"/>
    <x v="893"/>
    <n v="0.9077161690577743"/>
    <n v="4.9124305852199915E-2"/>
    <n v="0.61739130434782608"/>
    <n v="5.6338028169014086E-2"/>
    <n v="1.7086715079026058E-3"/>
    <n v="5.08"/>
    <n v="3.1363478260869564"/>
    <n v="8.4658700232893427"/>
  </r>
  <r>
    <x v="190"/>
    <s v="CMP202607043"/>
    <s v="CUST100839"/>
    <x v="1"/>
    <s v="Red Non-Saleable"/>
    <x v="0"/>
    <s v="Central"/>
    <s v="55+"/>
    <n v="3341"/>
    <n v="3214"/>
    <n v="3088"/>
    <n v="9"/>
    <n v="3"/>
    <n v="0"/>
    <n v="586.52"/>
    <x v="0"/>
    <n v="0.96079651524579968"/>
    <n v="2.9145077720207253E-3"/>
    <n v="0.33333333333333331"/>
    <n v="0"/>
    <n v="0"/>
    <n v="195.50666666666666"/>
    <n v="65.168888888888887"/>
    <n v="-1"/>
  </r>
  <r>
    <x v="190"/>
    <s v="CMP202607048"/>
    <s v="CUST100845"/>
    <x v="0"/>
    <s v="Green"/>
    <x v="0"/>
    <s v="East"/>
    <s v="18-24"/>
    <n v="2489"/>
    <n v="2061"/>
    <n v="1950"/>
    <n v="163"/>
    <n v="80"/>
    <n v="5"/>
    <n v="218.92"/>
    <x v="894"/>
    <n v="0.94614264919941771"/>
    <n v="8.3589743589743595E-2"/>
    <n v="0.49079754601226994"/>
    <n v="6.25E-2"/>
    <n v="2.5641025641025641E-3"/>
    <n v="2.7364999999999999"/>
    <n v="1.3430674846625765"/>
    <n v="30.733281564041661"/>
  </r>
  <r>
    <x v="190"/>
    <s v="CMP202607064"/>
    <s v="CUST100609"/>
    <x v="3"/>
    <s v="Red Saleable"/>
    <x v="0"/>
    <s v="North"/>
    <s v="45-54"/>
    <n v="2598"/>
    <n v="1903"/>
    <n v="1775"/>
    <n v="71"/>
    <n v="36"/>
    <n v="2"/>
    <n v="317.33999999999997"/>
    <x v="895"/>
    <n v="0.93273778244876515"/>
    <n v="0.04"/>
    <n v="0.50704225352112675"/>
    <n v="5.5555555555555552E-2"/>
    <n v="1.1267605633802818E-3"/>
    <n v="8.8149999999999995"/>
    <n v="4.4695774647887321"/>
    <n v="5.3206340202936921"/>
  </r>
  <r>
    <x v="190"/>
    <s v="CMP202607067"/>
    <s v="CUST100017"/>
    <x v="2"/>
    <s v="Green"/>
    <x v="0"/>
    <s v="North"/>
    <s v="18-24"/>
    <n v="969"/>
    <n v="950"/>
    <n v="877"/>
    <n v="69"/>
    <n v="28"/>
    <n v="2"/>
    <n v="73.180000000000007"/>
    <x v="896"/>
    <n v="0.92315789473684207"/>
    <n v="7.8677309007981755E-2"/>
    <n v="0.40579710144927539"/>
    <n v="7.1428571428571425E-2"/>
    <n v="2.2805017103762829E-3"/>
    <n v="2.6135714285714289"/>
    <n v="1.0605797101449277"/>
    <n v="39.67805411314567"/>
  </r>
  <r>
    <x v="191"/>
    <s v="CMP202607035"/>
    <s v="CUST101451"/>
    <x v="3"/>
    <s v="Amber"/>
    <x v="0"/>
    <s v="East"/>
    <s v="25-34"/>
    <n v="3896"/>
    <n v="2856"/>
    <n v="2628"/>
    <n v="154"/>
    <n v="72"/>
    <n v="2"/>
    <n v="431.57"/>
    <x v="897"/>
    <n v="0.92016806722689071"/>
    <n v="5.8599695585996953E-2"/>
    <n v="0.46753246753246752"/>
    <n v="2.7777777777777776E-2"/>
    <n v="7.6103500761035003E-4"/>
    <n v="5.9940277777777773"/>
    <n v="2.8024025974025975"/>
    <n v="3.9422109970572561"/>
  </r>
  <r>
    <x v="191"/>
    <s v="CMP202607037"/>
    <s v="CUST100561"/>
    <x v="3"/>
    <s v="Amber"/>
    <x v="0"/>
    <s v="Central"/>
    <s v="45-54"/>
    <n v="747"/>
    <n v="631"/>
    <n v="592"/>
    <n v="38"/>
    <n v="14"/>
    <n v="0"/>
    <n v="105.08"/>
    <x v="0"/>
    <n v="0.93819334389857367"/>
    <n v="6.4189189189189186E-2"/>
    <n v="0.36842105263157893"/>
    <n v="0"/>
    <n v="0"/>
    <n v="7.5057142857142853"/>
    <n v="2.7652631578947369"/>
    <n v="-1"/>
  </r>
  <r>
    <x v="191"/>
    <s v="CMP202607041"/>
    <s v="CUST101269"/>
    <x v="2"/>
    <s v="Amber"/>
    <x v="0"/>
    <s v="Central"/>
    <s v="55+"/>
    <n v="2460"/>
    <n v="1857"/>
    <n v="1722"/>
    <n v="85"/>
    <n v="41"/>
    <n v="2"/>
    <n v="171.26"/>
    <x v="898"/>
    <n v="0.9273021001615509"/>
    <n v="4.9361207897793261E-2"/>
    <n v="0.4823529411764706"/>
    <n v="4.878048780487805E-2"/>
    <n v="1.1614401858304297E-3"/>
    <n v="4.177073170731707"/>
    <n v="2.0148235294117645"/>
    <n v="14.09143991591732"/>
  </r>
  <r>
    <x v="191"/>
    <s v="CMP202607043"/>
    <s v="CUST100654"/>
    <x v="1"/>
    <s v="Red Saleable"/>
    <x v="0"/>
    <s v="Central"/>
    <s v="18-24"/>
    <n v="2702"/>
    <n v="2245"/>
    <n v="2141"/>
    <n v="78"/>
    <n v="35"/>
    <n v="0"/>
    <n v="461.13"/>
    <x v="0"/>
    <n v="0.95367483296213806"/>
    <n v="3.6431574030826717E-2"/>
    <n v="0.44871794871794873"/>
    <n v="0"/>
    <n v="0"/>
    <n v="13.175142857142857"/>
    <n v="5.9119230769230766"/>
    <n v="-1"/>
  </r>
  <r>
    <x v="191"/>
    <s v="CMP202607063"/>
    <s v="CUST101048"/>
    <x v="2"/>
    <s v="Red Saleable"/>
    <x v="0"/>
    <s v="Central"/>
    <s v="18-24"/>
    <n v="4200"/>
    <n v="3989"/>
    <n v="3727"/>
    <n v="118"/>
    <n v="49"/>
    <n v="2"/>
    <n v="352.69"/>
    <x v="899"/>
    <n v="0.93431937829029832"/>
    <n v="3.1660853233163401E-2"/>
    <n v="0.4152542372881356"/>
    <n v="4.0816326530612242E-2"/>
    <n v="5.3662463107056611E-4"/>
    <n v="7.1977551020408166"/>
    <n v="2.9888983050847457"/>
    <n v="3.8287447900422467"/>
  </r>
  <r>
    <x v="192"/>
    <s v="CMP202607018"/>
    <s v="CUST100161"/>
    <x v="3"/>
    <s v="Amber"/>
    <x v="0"/>
    <s v="East"/>
    <s v="35-44"/>
    <n v="3454"/>
    <n v="2556"/>
    <n v="2313"/>
    <n v="109"/>
    <n v="56"/>
    <n v="4"/>
    <n v="374.81"/>
    <x v="900"/>
    <n v="0.90492957746478875"/>
    <n v="4.7124945957630782E-2"/>
    <n v="0.51376146788990829"/>
    <n v="7.1428571428571425E-2"/>
    <n v="1.7293558149589277E-3"/>
    <n v="6.6930357142857142"/>
    <n v="3.4386238532110092"/>
    <n v="7.7971505562818502"/>
  </r>
  <r>
    <x v="192"/>
    <s v="CMP202607030"/>
    <s v="CUST100636"/>
    <x v="0"/>
    <s v="Amber"/>
    <x v="0"/>
    <s v="West"/>
    <s v="55+"/>
    <n v="3796"/>
    <n v="3277"/>
    <n v="2955"/>
    <n v="117"/>
    <n v="63"/>
    <n v="3"/>
    <n v="362.74"/>
    <x v="901"/>
    <n v="0.90173939578883122"/>
    <n v="3.9593908629441621E-2"/>
    <n v="0.53846153846153844"/>
    <n v="4.7619047619047616E-2"/>
    <n v="1.0152284263959391E-3"/>
    <n v="5.7577777777777781"/>
    <n v="3.1003418803418805"/>
    <n v="10.45079120030876"/>
  </r>
  <r>
    <x v="193"/>
    <s v="CMP202607001"/>
    <s v="CUST100198"/>
    <x v="1"/>
    <s v="Red Saleable"/>
    <x v="0"/>
    <s v="North"/>
    <s v="55+"/>
    <n v="2061"/>
    <n v="1683"/>
    <n v="1606"/>
    <n v="34"/>
    <n v="12"/>
    <n v="0"/>
    <n v="270.10000000000002"/>
    <x v="0"/>
    <n v="0.95424836601307195"/>
    <n v="2.1170610211706103E-2"/>
    <n v="0.35294117647058826"/>
    <n v="0"/>
    <n v="0"/>
    <n v="22.508333333333336"/>
    <n v="7.9441176470588246"/>
    <n v="-1"/>
  </r>
  <r>
    <x v="193"/>
    <s v="CMP202607017"/>
    <s v="CUST101153"/>
    <x v="2"/>
    <s v="Red Saleable"/>
    <x v="0"/>
    <s v="South"/>
    <s v="35-44"/>
    <n v="2182"/>
    <n v="1643"/>
    <n v="1555"/>
    <n v="74"/>
    <n v="27"/>
    <n v="1"/>
    <n v="118.84"/>
    <x v="902"/>
    <n v="0.9464394400486914"/>
    <n v="4.7588424437299034E-2"/>
    <n v="0.36486486486486486"/>
    <n v="3.7037037037037035E-2"/>
    <n v="6.4308681672025725E-4"/>
    <n v="4.4014814814814818"/>
    <n v="1.605945945945946"/>
    <n v="5.8599798047795355"/>
  </r>
  <r>
    <x v="193"/>
    <s v="CMP202607020"/>
    <s v="CUST100363"/>
    <x v="0"/>
    <s v="Red Saleable"/>
    <x v="0"/>
    <s v="Central"/>
    <s v="45-54"/>
    <n v="487"/>
    <n v="370"/>
    <n v="337"/>
    <n v="14"/>
    <n v="8"/>
    <n v="0"/>
    <n v="45.86"/>
    <x v="0"/>
    <n v="0.91081081081081083"/>
    <n v="4.1543026706231452E-2"/>
    <n v="0.5714285714285714"/>
    <n v="0"/>
    <n v="0"/>
    <n v="5.7324999999999999"/>
    <n v="3.2757142857142858"/>
    <n v="-1"/>
  </r>
  <r>
    <x v="193"/>
    <s v="CMP202607027"/>
    <s v="CUST101409"/>
    <x v="3"/>
    <s v="Red Saleable"/>
    <x v="0"/>
    <s v="Central"/>
    <s v="18-24"/>
    <n v="1545"/>
    <n v="1534"/>
    <n v="1409"/>
    <n v="70"/>
    <n v="36"/>
    <n v="2"/>
    <n v="196.56"/>
    <x v="903"/>
    <n v="0.91851368970013036"/>
    <n v="4.9680624556422998E-2"/>
    <n v="0.51428571428571423"/>
    <n v="5.5555555555555552E-2"/>
    <n v="1.4194464158977999E-3"/>
    <n v="5.46"/>
    <n v="2.8079999999999998"/>
    <n v="12.819444444444445"/>
  </r>
  <r>
    <x v="193"/>
    <s v="CMP202607044"/>
    <s v="CUST100046"/>
    <x v="0"/>
    <s v="Red Saleable"/>
    <x v="0"/>
    <s v="Central"/>
    <s v="25-34"/>
    <n v="1541"/>
    <n v="1416"/>
    <n v="1302"/>
    <n v="43"/>
    <n v="26"/>
    <n v="1"/>
    <n v="190.09"/>
    <x v="904"/>
    <n v="0.91949152542372881"/>
    <n v="3.3026113671274962E-2"/>
    <n v="0.60465116279069764"/>
    <n v="3.8461538461538464E-2"/>
    <n v="7.6804915514592934E-4"/>
    <n v="7.3111538461538466"/>
    <n v="4.4206976744186051"/>
    <n v="2.786785207007207"/>
  </r>
  <r>
    <x v="193"/>
    <s v="CMP202607055"/>
    <s v="CUST100927"/>
    <x v="0"/>
    <s v="Green"/>
    <x v="0"/>
    <s v="East"/>
    <s v="18-24"/>
    <n v="1126"/>
    <n v="1028"/>
    <n v="942"/>
    <n v="74"/>
    <n v="37"/>
    <n v="3"/>
    <n v="136.69999999999999"/>
    <x v="905"/>
    <n v="0.91634241245136183"/>
    <n v="7.8556263269639062E-2"/>
    <n v="0.5"/>
    <n v="8.1081081081081086E-2"/>
    <n v="3.1847133757961785E-3"/>
    <n v="3.6945945945945944"/>
    <n v="1.8472972972972972"/>
    <n v="17.496196049743965"/>
  </r>
  <r>
    <x v="193"/>
    <s v="CMP202607074"/>
    <s v="CUST100871"/>
    <x v="2"/>
    <s v="Amber"/>
    <x v="0"/>
    <s v="West"/>
    <s v="35-44"/>
    <n v="4528"/>
    <n v="3746"/>
    <n v="3530"/>
    <n v="185"/>
    <n v="80"/>
    <n v="5"/>
    <n v="259.26"/>
    <x v="906"/>
    <n v="0.94233849439402029"/>
    <n v="5.2407932011331447E-2"/>
    <n v="0.43243243243243246"/>
    <n v="6.25E-2"/>
    <n v="1.4164305949008499E-3"/>
    <n v="3.2407499999999998"/>
    <n v="1.4014054054054053"/>
    <n v="26.567962662963822"/>
  </r>
  <r>
    <x v="193"/>
    <s v="CMP202607074"/>
    <s v="CUST101192"/>
    <x v="3"/>
    <s v="Amber"/>
    <x v="0"/>
    <s v="Central"/>
    <s v="18-24"/>
    <n v="2425"/>
    <n v="1927"/>
    <n v="1789"/>
    <n v="93"/>
    <n v="39"/>
    <n v="2"/>
    <n v="293.39999999999998"/>
    <x v="907"/>
    <n v="0.928386092371562"/>
    <n v="5.1984348798211288E-2"/>
    <n v="0.41935483870967744"/>
    <n v="5.128205128205128E-2"/>
    <n v="1.1179429849077697E-3"/>
    <n v="7.5230769230769221"/>
    <n v="3.1548387096774193"/>
    <n v="6.8518745739604627"/>
  </r>
  <r>
    <x v="194"/>
    <s v="CMP202607025"/>
    <s v="CUST101452"/>
    <x v="1"/>
    <s v="Amber"/>
    <x v="1"/>
    <s v="Central"/>
    <s v="55+"/>
    <n v="4088"/>
    <n v="3681"/>
    <n v="3548"/>
    <n v="190"/>
    <n v="94"/>
    <n v="7"/>
    <n v="788.04"/>
    <x v="908"/>
    <n v="0.96386851399076334"/>
    <n v="5.355129650507328E-2"/>
    <n v="0.49473684210526314"/>
    <n v="7.4468085106382975E-2"/>
    <n v="1.9729425028184892E-3"/>
    <n v="8.3834042553191477"/>
    <n v="4.1475789473684213"/>
    <n v="9.4363230292878537"/>
  </r>
  <r>
    <x v="194"/>
    <s v="CMP202607042"/>
    <s v="CUST100771"/>
    <x v="2"/>
    <s v="Red Non-Saleable"/>
    <x v="0"/>
    <s v="East"/>
    <s v="55+"/>
    <n v="555"/>
    <n v="448"/>
    <n v="424"/>
    <n v="11"/>
    <n v="6"/>
    <n v="0"/>
    <n v="37.700000000000003"/>
    <x v="0"/>
    <n v="0.9464285714285714"/>
    <n v="2.5943396226415096E-2"/>
    <n v="0.54545454545454541"/>
    <n v="0"/>
    <n v="0"/>
    <n v="6.2833333333333341"/>
    <n v="3.4272727272727277"/>
    <n v="-1"/>
  </r>
  <r>
    <x v="194"/>
    <s v="CMP202607057"/>
    <s v="CUST100022"/>
    <x v="2"/>
    <s v="Amber"/>
    <x v="1"/>
    <s v="Central"/>
    <s v="45-54"/>
    <n v="3518"/>
    <n v="2573"/>
    <n v="2436"/>
    <n v="183"/>
    <n v="97"/>
    <n v="6"/>
    <n v="210.38"/>
    <x v="909"/>
    <n v="0.94675476097940148"/>
    <n v="7.5123152709359611E-2"/>
    <n v="0.5300546448087432"/>
    <n v="6.1855670103092786E-2"/>
    <n v="2.4630541871921183E-3"/>
    <n v="2.1688659793814433"/>
    <n v="1.1496174863387978"/>
    <n v="30.687803023101054"/>
  </r>
  <r>
    <x v="194"/>
    <s v="CMP202607069"/>
    <s v="CUST100843"/>
    <x v="0"/>
    <s v="Red Saleable"/>
    <x v="1"/>
    <s v="South"/>
    <s v="18-24"/>
    <n v="1866"/>
    <n v="1767"/>
    <n v="1562"/>
    <n v="98"/>
    <n v="63"/>
    <n v="3"/>
    <n v="209.02"/>
    <x v="910"/>
    <n v="0.88398415393322016"/>
    <n v="6.2740076824583865E-2"/>
    <n v="0.6428571428571429"/>
    <n v="4.7619047619047616E-2"/>
    <n v="1.9206145966709346E-3"/>
    <n v="3.3177777777777782"/>
    <n v="2.132857142857143"/>
    <n v="10.32901157783944"/>
  </r>
  <r>
    <x v="195"/>
    <s v="CMP202607005"/>
    <s v="CUST100143"/>
    <x v="1"/>
    <s v="Red Non-Saleable"/>
    <x v="0"/>
    <s v="West"/>
    <s v="55+"/>
    <n v="3947"/>
    <n v="3790"/>
    <n v="3648"/>
    <n v="81"/>
    <n v="27"/>
    <n v="1"/>
    <n v="692.37"/>
    <x v="911"/>
    <n v="0.96253298153034306"/>
    <n v="2.2203947368421052E-2"/>
    <n v="0.33333333333333331"/>
    <n v="3.7037037037037035E-2"/>
    <n v="2.7412280701754384E-4"/>
    <n v="25.643333333333334"/>
    <n v="8.5477777777777781"/>
    <n v="0.66158267978104202"/>
  </r>
  <r>
    <x v="195"/>
    <s v="CMP202607006"/>
    <s v="CUST101387"/>
    <x v="3"/>
    <s v="Green"/>
    <x v="1"/>
    <s v="South"/>
    <s v="45-54"/>
    <n v="942"/>
    <n v="747"/>
    <n v="699"/>
    <n v="69"/>
    <n v="46"/>
    <n v="4"/>
    <n v="132.77000000000001"/>
    <x v="912"/>
    <n v="0.93574297188755018"/>
    <n v="9.8712446351931327E-2"/>
    <n v="0.66666666666666663"/>
    <n v="8.6956521739130432E-2"/>
    <n v="5.7224606580829757E-3"/>
    <n v="2.886304347826087"/>
    <n v="1.9242028985507247"/>
    <n v="41.463357686224292"/>
  </r>
  <r>
    <x v="195"/>
    <s v="CMP202607009"/>
    <s v="CUST101453"/>
    <x v="1"/>
    <s v="Red Saleable"/>
    <x v="0"/>
    <s v="North"/>
    <s v="55+"/>
    <n v="4581"/>
    <n v="4006"/>
    <n v="3816"/>
    <n v="40"/>
    <n v="15"/>
    <n v="0"/>
    <n v="625.12"/>
    <x v="0"/>
    <n v="0.95257114328507242"/>
    <n v="1.0482180293501049E-2"/>
    <n v="0.375"/>
    <n v="0"/>
    <n v="0"/>
    <n v="41.674666666666667"/>
    <n v="15.628"/>
    <n v="-1"/>
  </r>
  <r>
    <x v="195"/>
    <s v="CMP202607018"/>
    <s v="CUST101193"/>
    <x v="1"/>
    <s v="Green"/>
    <x v="0"/>
    <s v="West"/>
    <s v="18-24"/>
    <n v="1218"/>
    <n v="951"/>
    <n v="906"/>
    <n v="36"/>
    <n v="12"/>
    <n v="1"/>
    <n v="156.51"/>
    <x v="913"/>
    <n v="0.95268138801261826"/>
    <n v="3.9735099337748346E-2"/>
    <n v="0.33333333333333331"/>
    <n v="8.3333333333333329E-2"/>
    <n v="1.1037527593818985E-3"/>
    <n v="13.042499999999999"/>
    <n v="4.3475000000000001"/>
    <n v="3.7084531339850488"/>
  </r>
  <r>
    <x v="195"/>
    <s v="CMP202607039"/>
    <s v="CUST101122"/>
    <x v="1"/>
    <s v="Green"/>
    <x v="1"/>
    <s v="West"/>
    <s v="35-44"/>
    <n v="3911"/>
    <n v="3272"/>
    <n v="3095"/>
    <n v="170"/>
    <n v="78"/>
    <n v="7"/>
    <n v="603.36"/>
    <x v="914"/>
    <n v="0.94590464547677267"/>
    <n v="5.492730210016155E-2"/>
    <n v="0.45882352941176469"/>
    <n v="8.9743589743589744E-2"/>
    <n v="2.2617124394184169E-3"/>
    <n v="7.735384615384616"/>
    <n v="3.5491764705882352"/>
    <n v="13.671257623972419"/>
  </r>
  <r>
    <x v="195"/>
    <s v="CMP202607048"/>
    <s v="CUST100681"/>
    <x v="0"/>
    <s v="Green"/>
    <x v="0"/>
    <s v="East"/>
    <s v="45-54"/>
    <n v="868"/>
    <n v="688"/>
    <n v="616"/>
    <n v="38"/>
    <n v="19"/>
    <n v="1"/>
    <n v="93.6"/>
    <x v="915"/>
    <n v="0.89534883720930236"/>
    <n v="6.1688311688311688E-2"/>
    <n v="0.5"/>
    <n v="5.2631578947368418E-2"/>
    <n v="1.6233766233766235E-3"/>
    <n v="4.9263157894736835"/>
    <n v="2.4631578947368418"/>
    <n v="14.704487179487183"/>
  </r>
  <r>
    <x v="195"/>
    <s v="CMP202607056"/>
    <s v="CUST100484"/>
    <x v="2"/>
    <s v="Red Saleable"/>
    <x v="1"/>
    <s v="North"/>
    <s v="25-34"/>
    <n v="2112"/>
    <n v="2073"/>
    <n v="1931"/>
    <n v="80"/>
    <n v="39"/>
    <n v="1"/>
    <n v="187.09"/>
    <x v="916"/>
    <n v="0.93150024119633379"/>
    <n v="4.1429311237700675E-2"/>
    <n v="0.48749999999999999"/>
    <n v="2.564102564102564E-2"/>
    <n v="5.1786639047125837E-4"/>
    <n v="4.7971794871794868"/>
    <n v="2.338625"/>
    <n v="4.8595328451547379"/>
  </r>
  <r>
    <x v="195"/>
    <s v="CMP202607058"/>
    <s v="CUST100991"/>
    <x v="2"/>
    <s v="Red Non-Saleable"/>
    <x v="0"/>
    <s v="South"/>
    <s v="55+"/>
    <n v="4117"/>
    <n v="3675"/>
    <n v="3474"/>
    <n v="97"/>
    <n v="39"/>
    <n v="1"/>
    <n v="285.20999999999998"/>
    <x v="917"/>
    <n v="0.9453061224489796"/>
    <n v="2.7921704087507198E-2"/>
    <n v="0.40206185567010311"/>
    <n v="2.564102564102564E-2"/>
    <n v="2.878526194588371E-4"/>
    <n v="7.3130769230769221"/>
    <n v="2.9403092783505151"/>
    <n v="2.673608919743347"/>
  </r>
  <r>
    <x v="195"/>
    <s v="CMP202607063"/>
    <s v="CUST101326"/>
    <x v="1"/>
    <s v="Red Non-Saleable"/>
    <x v="0"/>
    <s v="West"/>
    <s v="55+"/>
    <n v="3722"/>
    <n v="2983"/>
    <n v="2938"/>
    <n v="9"/>
    <n v="3"/>
    <n v="0"/>
    <n v="545.38"/>
    <x v="0"/>
    <n v="0.98491451558833387"/>
    <n v="3.0633083730428863E-3"/>
    <n v="0.33333333333333331"/>
    <n v="0"/>
    <n v="0"/>
    <n v="181.79333333333332"/>
    <n v="60.597777777777779"/>
    <n v="-1"/>
  </r>
  <r>
    <x v="195"/>
    <s v="CMP202607077"/>
    <s v="CUST100437"/>
    <x v="2"/>
    <s v="Red Saleable"/>
    <x v="0"/>
    <s v="Central"/>
    <s v="18-24"/>
    <n v="3387"/>
    <n v="3136"/>
    <n v="2937"/>
    <n v="85"/>
    <n v="37"/>
    <n v="2"/>
    <n v="223.39"/>
    <x v="918"/>
    <n v="0.93654336734693877"/>
    <n v="2.8941096356826693E-2"/>
    <n v="0.43529411764705883"/>
    <n v="5.4054054054054057E-2"/>
    <n v="6.8096697310180451E-4"/>
    <n v="6.0375675675675673"/>
    <n v="2.6281176470588234"/>
    <n v="7.155109897488698"/>
  </r>
  <r>
    <x v="195"/>
    <s v="CMP202607079"/>
    <s v="CUST100206"/>
    <x v="3"/>
    <s v="Green"/>
    <x v="0"/>
    <s v="West"/>
    <s v="35-44"/>
    <n v="959"/>
    <n v="692"/>
    <n v="650"/>
    <n v="54"/>
    <n v="24"/>
    <n v="2"/>
    <n v="111.03"/>
    <x v="919"/>
    <n v="0.93930635838150289"/>
    <n v="8.3076923076923076E-2"/>
    <n v="0.44444444444444442"/>
    <n v="8.3333333333333329E-2"/>
    <n v="3.0769230769230769E-3"/>
    <n v="4.6262499999999998"/>
    <n v="2.056111111111111"/>
    <n v="18.337296226245158"/>
  </r>
  <r>
    <x v="195"/>
    <s v="CMP202607079"/>
    <s v="CUST100999"/>
    <x v="2"/>
    <s v="Red Saleable"/>
    <x v="0"/>
    <s v="North"/>
    <s v="55+"/>
    <n v="3939"/>
    <n v="2967"/>
    <n v="2762"/>
    <n v="122"/>
    <n v="55"/>
    <n v="3"/>
    <n v="263.12"/>
    <x v="920"/>
    <n v="0.93090663970340415"/>
    <n v="4.4170890658942794E-2"/>
    <n v="0.45081967213114754"/>
    <n v="5.4545454545454543E-2"/>
    <n v="1.0861694424330196E-3"/>
    <n v="4.7839999999999998"/>
    <n v="2.15672131147541"/>
    <n v="14.686720887807844"/>
  </r>
  <r>
    <x v="196"/>
    <s v="CMP202607012"/>
    <s v="CUST100397"/>
    <x v="3"/>
    <s v="Green"/>
    <x v="0"/>
    <s v="Central"/>
    <s v="18-24"/>
    <n v="1716"/>
    <n v="1355"/>
    <n v="1278"/>
    <n v="105"/>
    <n v="46"/>
    <n v="3"/>
    <n v="192.77"/>
    <x v="921"/>
    <n v="0.94317343173431734"/>
    <n v="8.2159624413145546E-2"/>
    <n v="0.43809523809523809"/>
    <n v="6.5217391304347824E-2"/>
    <n v="2.3474178403755869E-3"/>
    <n v="4.190652173913044"/>
    <n v="1.8359047619047619"/>
    <n v="16.062354100741818"/>
  </r>
  <r>
    <x v="196"/>
    <s v="CMP202607021"/>
    <s v="CUST100638"/>
    <x v="0"/>
    <s v="Green"/>
    <x v="0"/>
    <s v="Central"/>
    <s v="35-44"/>
    <n v="993"/>
    <n v="979"/>
    <n v="891"/>
    <n v="72"/>
    <n v="34"/>
    <n v="2"/>
    <n v="139.27000000000001"/>
    <x v="922"/>
    <n v="0.9101123595505618"/>
    <n v="8.0808080808080815E-2"/>
    <n v="0.47222222222222221"/>
    <n v="5.8823529411764705E-2"/>
    <n v="2.2446689113355782E-3"/>
    <n v="4.0961764705882358"/>
    <n v="1.9343055555555557"/>
    <n v="11.280749623034392"/>
  </r>
  <r>
    <x v="196"/>
    <s v="CMP202607044"/>
    <s v="CUST100825"/>
    <x v="3"/>
    <s v="Red Saleable"/>
    <x v="0"/>
    <s v="North"/>
    <s v="35-44"/>
    <n v="591"/>
    <n v="584"/>
    <n v="548"/>
    <n v="17"/>
    <n v="9"/>
    <n v="0"/>
    <n v="85.23"/>
    <x v="0"/>
    <n v="0.93835616438356162"/>
    <n v="3.1021897810218978E-2"/>
    <n v="0.52941176470588236"/>
    <n v="0"/>
    <n v="0"/>
    <n v="9.4700000000000006"/>
    <n v="5.013529411764706"/>
    <n v="-1"/>
  </r>
  <r>
    <x v="196"/>
    <s v="CMP202607058"/>
    <s v="CUST101025"/>
    <x v="1"/>
    <s v="Green"/>
    <x v="0"/>
    <s v="North"/>
    <s v="25-34"/>
    <n v="3679"/>
    <n v="3672"/>
    <n v="3478"/>
    <n v="183"/>
    <n v="78"/>
    <n v="5"/>
    <n v="697.4"/>
    <x v="923"/>
    <n v="0.94716775599128544"/>
    <n v="5.2616446233467513E-2"/>
    <n v="0.42622950819672129"/>
    <n v="6.4102564102564097E-2"/>
    <n v="1.4376078205865441E-3"/>
    <n v="8.9410256410256412"/>
    <n v="3.8109289617486337"/>
    <n v="9.2475767135073141"/>
  </r>
  <r>
    <x v="197"/>
    <s v="CMP202607027"/>
    <s v="CUST101109"/>
    <x v="1"/>
    <s v="Green"/>
    <x v="0"/>
    <s v="South"/>
    <s v="18-24"/>
    <n v="1348"/>
    <n v="1114"/>
    <n v="1079"/>
    <n v="62"/>
    <n v="30"/>
    <n v="2"/>
    <n v="174.15"/>
    <x v="924"/>
    <n v="0.96858168761220831"/>
    <n v="5.7460611677479144E-2"/>
    <n v="0.4838709677419355"/>
    <n v="6.6666666666666666E-2"/>
    <n v="1.8535681186283596E-3"/>
    <n v="5.8050000000000006"/>
    <n v="2.8088709677419357"/>
    <n v="9.215618719494687"/>
  </r>
  <r>
    <x v="197"/>
    <s v="CMP202607036"/>
    <s v="CUST100444"/>
    <x v="0"/>
    <s v="Amber"/>
    <x v="1"/>
    <s v="North"/>
    <s v="45-54"/>
    <n v="4405"/>
    <n v="4026"/>
    <n v="3773"/>
    <n v="314"/>
    <n v="186"/>
    <n v="12"/>
    <n v="523.23"/>
    <x v="925"/>
    <n v="0.93715846994535523"/>
    <n v="8.3222899549430157E-2"/>
    <n v="0.59235668789808915"/>
    <n v="6.4516129032258063E-2"/>
    <n v="3.1804929764113437E-3"/>
    <n v="2.8130645161290322"/>
    <n v="1.6663375796178344"/>
    <n v="25.496569386311947"/>
  </r>
  <r>
    <x v="197"/>
    <s v="CMP202607039"/>
    <s v="CUST101450"/>
    <x v="3"/>
    <s v="Amber"/>
    <x v="0"/>
    <s v="North"/>
    <s v="55+"/>
    <n v="3219"/>
    <n v="2661"/>
    <n v="2461"/>
    <n v="113"/>
    <n v="54"/>
    <n v="2"/>
    <n v="346.38"/>
    <x v="926"/>
    <n v="0.92484028560691467"/>
    <n v="4.5916294189353918E-2"/>
    <n v="0.47787610619469029"/>
    <n v="3.7037037037037035E-2"/>
    <n v="8.1267777326290123E-4"/>
    <n v="6.4144444444444444"/>
    <n v="3.0653097345132743"/>
    <n v="6.7245222010508687"/>
  </r>
  <r>
    <x v="197"/>
    <s v="CMP202607041"/>
    <s v="CUST101206"/>
    <x v="1"/>
    <s v="Red Saleable"/>
    <x v="0"/>
    <s v="North"/>
    <s v="18-24"/>
    <n v="3322"/>
    <n v="3145"/>
    <n v="3017"/>
    <n v="90"/>
    <n v="40"/>
    <n v="2"/>
    <n v="612.4"/>
    <x v="927"/>
    <n v="0.95930047694753573"/>
    <n v="2.9830957905203844E-2"/>
    <n v="0.44444444444444442"/>
    <n v="0.05"/>
    <n v="6.6291017567119651E-4"/>
    <n v="15.309999999999999"/>
    <n v="6.8044444444444441"/>
    <n v="2.5522207707380797"/>
  </r>
  <r>
    <x v="197"/>
    <s v="CMP202607042"/>
    <s v="CUST100132"/>
    <x v="0"/>
    <s v="Green"/>
    <x v="1"/>
    <s v="West"/>
    <s v="25-34"/>
    <n v="2403"/>
    <n v="2270"/>
    <n v="2026"/>
    <n v="172"/>
    <n v="111"/>
    <n v="12"/>
    <n v="273.19"/>
    <x v="928"/>
    <n v="0.89251101321585902"/>
    <n v="8.489634748272458E-2"/>
    <n v="0.64534883720930236"/>
    <n v="0.10810810810810811"/>
    <n v="5.9230009871668312E-3"/>
    <n v="2.4611711711711712"/>
    <n v="1.5883139534883721"/>
    <n v="64.544309821003694"/>
  </r>
  <r>
    <x v="197"/>
    <s v="CMP202607043"/>
    <s v="CUST100482"/>
    <x v="1"/>
    <s v="Green"/>
    <x v="1"/>
    <s v="East"/>
    <s v="35-44"/>
    <n v="1186"/>
    <n v="1122"/>
    <n v="1064"/>
    <n v="69"/>
    <n v="34"/>
    <n v="3"/>
    <n v="203.91"/>
    <x v="929"/>
    <n v="0.94830659536541895"/>
    <n v="6.4849624060150379E-2"/>
    <n v="0.49275362318840582"/>
    <n v="8.8235294117647065E-2"/>
    <n v="2.819548872180451E-3"/>
    <n v="5.9973529411764703"/>
    <n v="2.9552173913043478"/>
    <n v="16.230493845323917"/>
  </r>
  <r>
    <x v="197"/>
    <s v="CMP202607055"/>
    <s v="CUST101105"/>
    <x v="3"/>
    <s v="Red Saleable"/>
    <x v="0"/>
    <s v="Central"/>
    <s v="55+"/>
    <n v="470"/>
    <n v="392"/>
    <n v="365"/>
    <n v="15"/>
    <n v="8"/>
    <n v="0"/>
    <n v="68.94"/>
    <x v="0"/>
    <n v="0.93112244897959184"/>
    <n v="4.1095890410958902E-2"/>
    <n v="0.53333333333333333"/>
    <n v="0"/>
    <n v="0"/>
    <n v="8.6174999999999997"/>
    <n v="4.5960000000000001"/>
    <n v="-1"/>
  </r>
  <r>
    <x v="197"/>
    <s v="CMP202607058"/>
    <s v="CUST100176"/>
    <x v="0"/>
    <s v="Red Non-Saleable"/>
    <x v="0"/>
    <s v="North"/>
    <s v="55+"/>
    <n v="4299"/>
    <n v="3857"/>
    <n v="3540"/>
    <n v="43"/>
    <n v="22"/>
    <n v="0"/>
    <n v="516.70000000000005"/>
    <x v="0"/>
    <n v="0.91781177080632614"/>
    <n v="1.2146892655367232E-2"/>
    <n v="0.51162790697674421"/>
    <n v="0"/>
    <n v="0"/>
    <n v="23.486363636363638"/>
    <n v="12.016279069767442"/>
    <n v="-1"/>
  </r>
  <r>
    <x v="197"/>
    <s v="CMP202607066"/>
    <s v="CUST101362"/>
    <x v="2"/>
    <s v="Red Non-Saleable"/>
    <x v="0"/>
    <s v="South"/>
    <s v="35-44"/>
    <n v="3875"/>
    <n v="2935"/>
    <n v="2753"/>
    <n v="45"/>
    <n v="18"/>
    <n v="0"/>
    <n v="233.78"/>
    <x v="0"/>
    <n v="0.93798977853492338"/>
    <n v="1.634580457682528E-2"/>
    <n v="0.4"/>
    <n v="0"/>
    <n v="0"/>
    <n v="12.987777777777778"/>
    <n v="5.1951111111111112"/>
    <n v="-1"/>
  </r>
  <r>
    <x v="198"/>
    <s v="CMP202607037"/>
    <s v="CUST101154"/>
    <x v="0"/>
    <s v="Red Saleable"/>
    <x v="0"/>
    <s v="East"/>
    <s v="35-44"/>
    <n v="488"/>
    <n v="483"/>
    <n v="442"/>
    <n v="13"/>
    <n v="5"/>
    <n v="0"/>
    <n v="60.74"/>
    <x v="0"/>
    <n v="0.91511387163561075"/>
    <n v="2.9411764705882353E-2"/>
    <n v="0.38461538461538464"/>
    <n v="0"/>
    <n v="0"/>
    <n v="12.148"/>
    <n v="4.6723076923076921"/>
    <n v="-1"/>
  </r>
  <r>
    <x v="198"/>
    <s v="CMP202607052"/>
    <s v="CUST100855"/>
    <x v="2"/>
    <s v="Amber"/>
    <x v="0"/>
    <s v="West"/>
    <s v="55+"/>
    <n v="3348"/>
    <n v="3154"/>
    <n v="3022"/>
    <n v="179"/>
    <n v="82"/>
    <n v="6"/>
    <n v="246.56"/>
    <x v="930"/>
    <n v="0.95814838300570704"/>
    <n v="5.9232296492389147E-2"/>
    <n v="0.45810055865921789"/>
    <n v="7.3170731707317069E-2"/>
    <n v="1.9854401058901389E-3"/>
    <n v="3.0068292682926829"/>
    <n v="1.3774301675977654"/>
    <n v="29.033014276443865"/>
  </r>
  <r>
    <x v="198"/>
    <s v="CMP202607054"/>
    <s v="CUST101050"/>
    <x v="2"/>
    <s v="Red Saleable"/>
    <x v="1"/>
    <s v="South"/>
    <s v="18-24"/>
    <n v="408"/>
    <n v="337"/>
    <n v="320"/>
    <n v="14"/>
    <n v="7"/>
    <n v="0"/>
    <n v="32.22"/>
    <x v="0"/>
    <n v="0.94955489614243327"/>
    <n v="4.3749999999999997E-2"/>
    <n v="0.5"/>
    <n v="0"/>
    <n v="0"/>
    <n v="4.6028571428571423"/>
    <n v="2.3014285714285712"/>
    <n v="-1"/>
  </r>
  <r>
    <x v="198"/>
    <s v="CMP202607055"/>
    <s v="CUST101331"/>
    <x v="2"/>
    <s v="Green"/>
    <x v="0"/>
    <s v="Central"/>
    <s v="45-54"/>
    <n v="2530"/>
    <n v="1950"/>
    <n v="1826"/>
    <n v="117"/>
    <n v="51"/>
    <n v="3"/>
    <n v="137.65"/>
    <x v="931"/>
    <n v="0.93641025641025644"/>
    <n v="6.4074479737130333E-2"/>
    <n v="0.4358974358974359"/>
    <n v="5.8823529411764705E-2"/>
    <n v="1.6429353778751369E-3"/>
    <n v="2.6990196078431374"/>
    <n v="1.1764957264957265"/>
    <n v="24.792444605884487"/>
  </r>
  <r>
    <x v="198"/>
    <s v="CMP202607063"/>
    <s v="CUST100641"/>
    <x v="0"/>
    <s v="Amber"/>
    <x v="0"/>
    <s v="Central"/>
    <s v="25-34"/>
    <n v="4279"/>
    <n v="3198"/>
    <n v="2862"/>
    <n v="192"/>
    <n v="101"/>
    <n v="5"/>
    <n v="359.57"/>
    <x v="932"/>
    <n v="0.89493433395872424"/>
    <n v="6.7085953878406712E-2"/>
    <n v="0.52604166666666663"/>
    <n v="4.9504950495049507E-2"/>
    <n v="1.7470300489168414E-3"/>
    <n v="3.5600990099009899"/>
    <n v="1.8727604166666667"/>
    <n v="15.186361487332093"/>
  </r>
  <r>
    <x v="198"/>
    <s v="CMP202607065"/>
    <s v="CUST101133"/>
    <x v="3"/>
    <s v="Amber"/>
    <x v="1"/>
    <s v="West"/>
    <s v="18-24"/>
    <n v="3044"/>
    <n v="2726"/>
    <n v="2551"/>
    <n v="195"/>
    <n v="119"/>
    <n v="10"/>
    <n v="386.61"/>
    <x v="933"/>
    <n v="0.93580337490829058"/>
    <n v="7.6440611524892205E-2"/>
    <n v="0.61025641025641031"/>
    <n v="8.4033613445378158E-2"/>
    <n v="3.9200313602508821E-3"/>
    <n v="3.2488235294117649"/>
    <n v="1.9826153846153847"/>
    <n v="36.254132071079376"/>
  </r>
  <r>
    <x v="199"/>
    <s v="CMP202607017"/>
    <s v="CUST100894"/>
    <x v="2"/>
    <s v="Amber"/>
    <x v="0"/>
    <s v="South"/>
    <s v="55+"/>
    <n v="876"/>
    <n v="813"/>
    <n v="759"/>
    <n v="43"/>
    <n v="16"/>
    <n v="1"/>
    <n v="74.239999999999995"/>
    <x v="934"/>
    <n v="0.93357933579335795"/>
    <n v="5.6653491436100128E-2"/>
    <n v="0.37209302325581395"/>
    <n v="6.25E-2"/>
    <n v="1.3175230566534915E-3"/>
    <n v="4.6399999999999997"/>
    <n v="1.7265116279069765"/>
    <n v="8.233297413793105"/>
  </r>
  <r>
    <x v="199"/>
    <s v="CMP202607063"/>
    <s v="CUST100823"/>
    <x v="0"/>
    <s v="Green"/>
    <x v="1"/>
    <s v="West"/>
    <s v="18-24"/>
    <n v="2518"/>
    <n v="2237"/>
    <n v="2001"/>
    <n v="241"/>
    <n v="159"/>
    <n v="14"/>
    <n v="248.27"/>
    <x v="935"/>
    <n v="0.89450156459544028"/>
    <n v="0.12043978010994502"/>
    <n v="0.65975103734439833"/>
    <n v="8.8050314465408799E-2"/>
    <n v="6.9965017491254375E-3"/>
    <n v="1.5614465408805032"/>
    <n v="1.0301659751037344"/>
    <n v="66.137712973778534"/>
  </r>
  <r>
    <x v="199"/>
    <s v="CMP202607078"/>
    <s v="CUST100995"/>
    <x v="0"/>
    <s v="Red Non-Saleable"/>
    <x v="0"/>
    <s v="South"/>
    <s v="45-54"/>
    <n v="4974"/>
    <n v="3878"/>
    <n v="3437"/>
    <n v="38"/>
    <n v="18"/>
    <n v="0"/>
    <n v="433.47"/>
    <x v="0"/>
    <n v="0.88628158844765348"/>
    <n v="1.1056153622345069E-2"/>
    <n v="0.47368421052631576"/>
    <n v="0"/>
    <n v="0"/>
    <n v="24.081666666666667"/>
    <n v="11.407105263157895"/>
    <n v="-1"/>
  </r>
  <r>
    <x v="200"/>
    <s v="CMP202607012"/>
    <s v="CUST101189"/>
    <x v="2"/>
    <s v="Red Saleable"/>
    <x v="1"/>
    <s v="East"/>
    <s v="25-34"/>
    <n v="3563"/>
    <n v="3344"/>
    <n v="3175"/>
    <n v="151"/>
    <n v="83"/>
    <n v="4"/>
    <n v="268.51"/>
    <x v="936"/>
    <n v="0.94946172248803828"/>
    <n v="4.7559055118110233E-2"/>
    <n v="0.54966887417218546"/>
    <n v="4.8192771084337352E-2"/>
    <n v="1.2598425196850393E-3"/>
    <n v="3.2350602409638554"/>
    <n v="1.7782119205298013"/>
    <n v="17.372313880302407"/>
  </r>
  <r>
    <x v="200"/>
    <s v="CMP202607021"/>
    <s v="CUST101431"/>
    <x v="2"/>
    <s v="Red Saleable"/>
    <x v="0"/>
    <s v="South"/>
    <s v="35-44"/>
    <n v="2454"/>
    <n v="2339"/>
    <n v="2212"/>
    <n v="58"/>
    <n v="27"/>
    <n v="2"/>
    <n v="206.9"/>
    <x v="937"/>
    <n v="0.94570329200513037"/>
    <n v="2.6220614828209764E-2"/>
    <n v="0.46551724137931033"/>
    <n v="7.407407407407407E-2"/>
    <n v="9.0415913200723324E-4"/>
    <n v="7.662962962962963"/>
    <n v="3.567241379310345"/>
    <n v="6.0126631222812952"/>
  </r>
  <r>
    <x v="200"/>
    <s v="CMP202607031"/>
    <s v="CUST100864"/>
    <x v="2"/>
    <s v="Green"/>
    <x v="0"/>
    <s v="North"/>
    <s v="35-44"/>
    <n v="2016"/>
    <n v="1824"/>
    <n v="1680"/>
    <n v="114"/>
    <n v="51"/>
    <n v="4"/>
    <n v="129.49"/>
    <x v="938"/>
    <n v="0.92105263157894735"/>
    <n v="6.7857142857142852E-2"/>
    <n v="0.44736842105263158"/>
    <n v="7.8431372549019607E-2"/>
    <n v="2.3809523809523812E-3"/>
    <n v="2.5390196078431373"/>
    <n v="1.1358771929824563"/>
    <n v="35.155533245810481"/>
  </r>
  <r>
    <x v="200"/>
    <s v="CMP202607053"/>
    <s v="CUST100751"/>
    <x v="2"/>
    <s v="Red Saleable"/>
    <x v="1"/>
    <s v="North"/>
    <s v="35-44"/>
    <n v="766"/>
    <n v="666"/>
    <n v="628"/>
    <n v="33"/>
    <n v="20"/>
    <n v="1"/>
    <n v="51.85"/>
    <x v="939"/>
    <n v="0.9429429429429429"/>
    <n v="5.2547770700636945E-2"/>
    <n v="0.60606060606060608"/>
    <n v="0.05"/>
    <n v="1.5923566878980893E-3"/>
    <n v="2.5925000000000002"/>
    <n v="1.5712121212121213"/>
    <n v="13.586692381870781"/>
  </r>
  <r>
    <x v="200"/>
    <s v="CMP202607070"/>
    <s v="CUST100543"/>
    <x v="1"/>
    <s v="Red Saleable"/>
    <x v="1"/>
    <s v="North"/>
    <s v="45-54"/>
    <n v="2341"/>
    <n v="1930"/>
    <n v="1863"/>
    <n v="41"/>
    <n v="19"/>
    <n v="1"/>
    <n v="406.36"/>
    <x v="940"/>
    <n v="0.9652849740932643"/>
    <n v="2.200751476113795E-2"/>
    <n v="0.46341463414634149"/>
    <n v="5.2631578947368418E-2"/>
    <n v="5.3676865271068169E-4"/>
    <n v="21.387368421052631"/>
    <n v="9.9112195121951228"/>
    <n v="1.5976227975194406"/>
  </r>
  <r>
    <x v="201"/>
    <s v="CMP202607031"/>
    <s v="CUST100982"/>
    <x v="2"/>
    <s v="Green"/>
    <x v="1"/>
    <s v="North"/>
    <s v="25-34"/>
    <n v="3705"/>
    <n v="3576"/>
    <n v="3371"/>
    <n v="309"/>
    <n v="186"/>
    <n v="15"/>
    <n v="283.73"/>
    <x v="941"/>
    <n v="0.94267337807606266"/>
    <n v="9.1664194601008608E-2"/>
    <n v="0.60194174757281549"/>
    <n v="8.0645161290322578E-2"/>
    <n v="4.4497181845149806E-3"/>
    <n v="1.5254301075268819"/>
    <n v="0.91822006472491913"/>
    <n v="85.203115638106652"/>
  </r>
  <r>
    <x v="201"/>
    <s v="CMP202607048"/>
    <s v="CUST100588"/>
    <x v="2"/>
    <s v="Amber"/>
    <x v="1"/>
    <s v="Central"/>
    <s v="45-54"/>
    <n v="4355"/>
    <n v="3336"/>
    <n v="3164"/>
    <n v="233"/>
    <n v="131"/>
    <n v="7"/>
    <n v="242.74"/>
    <x v="942"/>
    <n v="0.94844124700239807"/>
    <n v="7.3640960809102401E-2"/>
    <n v="0.5622317596566524"/>
    <n v="5.3435114503816793E-2"/>
    <n v="2.2123893805309734E-3"/>
    <n v="1.8529770992366412"/>
    <n v="1.0418025751072961"/>
    <n v="25.590384773832085"/>
  </r>
  <r>
    <x v="202"/>
    <s v="CMP202607050"/>
    <s v="CUST100346"/>
    <x v="3"/>
    <s v="Red Saleable"/>
    <x v="0"/>
    <s v="North"/>
    <s v="45-54"/>
    <n v="4911"/>
    <n v="3946"/>
    <n v="3608"/>
    <n v="144"/>
    <n v="58"/>
    <n v="2"/>
    <n v="647.26"/>
    <x v="943"/>
    <n v="0.91434363912823113"/>
    <n v="3.9911308203991129E-2"/>
    <n v="0.40277777777777779"/>
    <n v="3.4482758620689655E-2"/>
    <n v="5.5432372505543237E-4"/>
    <n v="11.159655172413792"/>
    <n v="4.4948611111111108"/>
    <n v="3.3425053301609866"/>
  </r>
  <r>
    <x v="203"/>
    <s v="CMP202607003"/>
    <s v="CUST101083"/>
    <x v="1"/>
    <s v="Red Non-Saleable"/>
    <x v="1"/>
    <s v="North"/>
    <s v="25-34"/>
    <n v="975"/>
    <n v="797"/>
    <n v="767"/>
    <n v="14"/>
    <n v="6"/>
    <n v="0"/>
    <n v="139.44999999999999"/>
    <x v="0"/>
    <n v="0.96235884567126728"/>
    <n v="1.8252933507170794E-2"/>
    <n v="0.42857142857142855"/>
    <n v="0"/>
    <n v="0"/>
    <n v="23.241666666666664"/>
    <n v="9.9607142857142854"/>
    <n v="-1"/>
  </r>
  <r>
    <x v="203"/>
    <s v="CMP202607029"/>
    <s v="CUST100455"/>
    <x v="0"/>
    <s v="Green"/>
    <x v="1"/>
    <s v="North"/>
    <s v="25-34"/>
    <n v="1529"/>
    <n v="1160"/>
    <n v="1082"/>
    <n v="98"/>
    <n v="56"/>
    <n v="5"/>
    <n v="137.81"/>
    <x v="944"/>
    <n v="0.9327586206896552"/>
    <n v="9.0573012939001843E-2"/>
    <n v="0.5714285714285714"/>
    <n v="8.9285714285714288E-2"/>
    <n v="4.6210720887245845E-3"/>
    <n v="2.460892857142857"/>
    <n v="1.4062244897959184"/>
    <n v="54.853131122560043"/>
  </r>
  <r>
    <x v="203"/>
    <s v="CMP202607032"/>
    <s v="CUST100019"/>
    <x v="3"/>
    <s v="Green"/>
    <x v="0"/>
    <s v="West"/>
    <s v="18-24"/>
    <n v="4169"/>
    <n v="3635"/>
    <n v="3418"/>
    <n v="205"/>
    <n v="91"/>
    <n v="7"/>
    <n v="487.71"/>
    <x v="945"/>
    <n v="0.94030261348005506"/>
    <n v="5.9976594499707429E-2"/>
    <n v="0.44390243902439025"/>
    <n v="7.6923076923076927E-2"/>
    <n v="2.047981275599766E-3"/>
    <n v="5.3594505494505489"/>
    <n v="2.3790731707317074"/>
    <n v="16.164934079678499"/>
  </r>
  <r>
    <x v="203"/>
    <s v="CMP202607034"/>
    <s v="CUST100640"/>
    <x v="3"/>
    <s v="Green"/>
    <x v="0"/>
    <s v="North"/>
    <s v="45-54"/>
    <n v="892"/>
    <n v="699"/>
    <n v="667"/>
    <n v="54"/>
    <n v="23"/>
    <n v="2"/>
    <n v="91.66"/>
    <x v="946"/>
    <n v="0.95422031473533619"/>
    <n v="8.0959520239880053E-2"/>
    <n v="0.42592592592592593"/>
    <n v="8.6956521739130432E-2"/>
    <n v="2.9985007496251873E-3"/>
    <n v="3.9852173913043476"/>
    <n v="1.6974074074074073"/>
    <n v="18.997927121972506"/>
  </r>
  <r>
    <x v="203"/>
    <s v="CMP202607050"/>
    <s v="CUST100162"/>
    <x v="0"/>
    <s v="Green"/>
    <x v="0"/>
    <s v="Central"/>
    <s v="35-44"/>
    <n v="4050"/>
    <n v="4009"/>
    <n v="3622"/>
    <n v="278"/>
    <n v="139"/>
    <n v="9"/>
    <n v="435.86"/>
    <x v="947"/>
    <n v="0.90346719880269399"/>
    <n v="7.6753175041413588E-2"/>
    <n v="0.5"/>
    <n v="6.4748201438848921E-2"/>
    <n v="2.4848150193263392E-3"/>
    <n v="3.13568345323741"/>
    <n v="1.567841726618705"/>
    <n v="14.464392236039096"/>
  </r>
  <r>
    <x v="203"/>
    <s v="CMP202607069"/>
    <s v="CUST101487"/>
    <x v="2"/>
    <s v="Green"/>
    <x v="0"/>
    <s v="East"/>
    <s v="45-54"/>
    <n v="4693"/>
    <n v="3508"/>
    <n v="3367"/>
    <n v="232"/>
    <n v="113"/>
    <n v="7"/>
    <n v="324.85000000000002"/>
    <x v="948"/>
    <n v="0.95980615735461805"/>
    <n v="6.8904068904068902E-2"/>
    <n v="0.48706896551724138"/>
    <n v="6.1946902654867256E-2"/>
    <n v="2.0790020790020791E-3"/>
    <n v="2.8747787610619473"/>
    <n v="1.4002155172413795"/>
    <n v="27.478128366938588"/>
  </r>
  <r>
    <x v="203"/>
    <s v="CMP202607077"/>
    <s v="CUST100930"/>
    <x v="2"/>
    <s v="Amber"/>
    <x v="0"/>
    <s v="South"/>
    <s v="35-44"/>
    <n v="1732"/>
    <n v="1345"/>
    <n v="1259"/>
    <n v="67"/>
    <n v="28"/>
    <n v="1"/>
    <n v="96.71"/>
    <x v="949"/>
    <n v="0.93605947955390334"/>
    <n v="5.3216838760921363E-2"/>
    <n v="0.41791044776119401"/>
    <n v="3.5714285714285712E-2"/>
    <n v="7.9428117553613975E-4"/>
    <n v="3.453928571428571"/>
    <n v="1.4434328358208954"/>
    <n v="9.9173818633026567"/>
  </r>
  <r>
    <x v="204"/>
    <s v="CMP202607017"/>
    <s v="CUST101228"/>
    <x v="0"/>
    <s v="Red Saleable"/>
    <x v="0"/>
    <s v="South"/>
    <s v="55+"/>
    <n v="1224"/>
    <n v="939"/>
    <n v="852"/>
    <n v="36"/>
    <n v="20"/>
    <n v="1"/>
    <n v="121.32"/>
    <x v="950"/>
    <n v="0.90734824281150162"/>
    <n v="4.2253521126760563E-2"/>
    <n v="0.55555555555555558"/>
    <n v="0.05"/>
    <n v="1.1737089201877935E-3"/>
    <n v="6.0659999999999998"/>
    <n v="3.3699999999999997"/>
    <n v="9.0407187603033314"/>
  </r>
  <r>
    <x v="204"/>
    <s v="CMP202607035"/>
    <s v="CUST101385"/>
    <x v="1"/>
    <s v="Amber"/>
    <x v="0"/>
    <s v="Central"/>
    <s v="55+"/>
    <n v="2373"/>
    <n v="2069"/>
    <n v="1983"/>
    <n v="75"/>
    <n v="28"/>
    <n v="1"/>
    <n v="383.73"/>
    <x v="951"/>
    <n v="0.95843402609956496"/>
    <n v="3.7821482602118005E-2"/>
    <n v="0.37333333333333335"/>
    <n v="3.5714285714285712E-2"/>
    <n v="5.0428643469490675E-4"/>
    <n v="13.704642857142858"/>
    <n v="5.1164000000000005"/>
    <n v="0.69673989523883983"/>
  </r>
  <r>
    <x v="204"/>
    <s v="CMP202607044"/>
    <s v="CUST101158"/>
    <x v="0"/>
    <s v="Amber"/>
    <x v="0"/>
    <s v="East"/>
    <s v="25-34"/>
    <n v="1517"/>
    <n v="1114"/>
    <n v="1002"/>
    <n v="67"/>
    <n v="33"/>
    <n v="2"/>
    <n v="147.21"/>
    <x v="952"/>
    <n v="0.89946140035906641"/>
    <n v="6.6866267465069865E-2"/>
    <n v="0.4925373134328358"/>
    <n v="6.0606060606060608E-2"/>
    <n v="1.996007984031936E-3"/>
    <n v="4.4609090909090909"/>
    <n v="2.1971641791044778"/>
    <n v="18.042863935873921"/>
  </r>
  <r>
    <x v="204"/>
    <s v="CMP202607047"/>
    <s v="CUST100403"/>
    <x v="3"/>
    <s v="Red Non-Saleable"/>
    <x v="0"/>
    <s v="East"/>
    <s v="18-24"/>
    <n v="3137"/>
    <n v="2806"/>
    <n v="2659"/>
    <n v="34"/>
    <n v="17"/>
    <n v="0"/>
    <n v="392.48"/>
    <x v="0"/>
    <n v="0.94761225944404848"/>
    <n v="1.2786761940579166E-2"/>
    <n v="0.5"/>
    <n v="0"/>
    <n v="0"/>
    <n v="23.087058823529414"/>
    <n v="11.543529411764707"/>
    <n v="-1"/>
  </r>
  <r>
    <x v="204"/>
    <s v="CMP202607071"/>
    <s v="CUST101395"/>
    <x v="2"/>
    <s v="Red Non-Saleable"/>
    <x v="0"/>
    <s v="South"/>
    <s v="18-24"/>
    <n v="4907"/>
    <n v="4479"/>
    <n v="4183"/>
    <n v="13"/>
    <n v="6"/>
    <n v="0"/>
    <n v="326.56"/>
    <x v="0"/>
    <n v="0.93391382004911816"/>
    <n v="3.1078173559646186E-3"/>
    <n v="0.46153846153846156"/>
    <n v="0"/>
    <n v="0"/>
    <n v="54.426666666666669"/>
    <n v="25.12"/>
    <n v="-1"/>
  </r>
  <r>
    <x v="205"/>
    <s v="CMP202607029"/>
    <s v="CUST100761"/>
    <x v="2"/>
    <s v="Red Non-Saleable"/>
    <x v="0"/>
    <s v="East"/>
    <s v="55+"/>
    <n v="2288"/>
    <n v="1753"/>
    <n v="1600"/>
    <n v="34"/>
    <n v="16"/>
    <n v="0"/>
    <n v="139.01"/>
    <x v="0"/>
    <n v="0.91272104962920708"/>
    <n v="2.1250000000000002E-2"/>
    <n v="0.47058823529411764"/>
    <n v="0"/>
    <n v="0"/>
    <n v="8.6881249999999994"/>
    <n v="4.0885294117647053"/>
    <n v="-1"/>
  </r>
  <r>
    <x v="205"/>
    <s v="CMP202607068"/>
    <s v="CUST101215"/>
    <x v="1"/>
    <s v="Amber"/>
    <x v="1"/>
    <s v="West"/>
    <s v="45-54"/>
    <n v="4279"/>
    <n v="3161"/>
    <n v="3120"/>
    <n v="139"/>
    <n v="56"/>
    <n v="5"/>
    <n v="646.54999999999995"/>
    <x v="953"/>
    <n v="0.98702942106928182"/>
    <n v="4.4551282051282053E-2"/>
    <n v="0.40287769784172661"/>
    <n v="8.9285714285714288E-2"/>
    <n v="1.6025641025641025E-3"/>
    <n v="11.545535714285714"/>
    <n v="4.6514388489208631"/>
    <n v="9.7368803650143079"/>
  </r>
  <r>
    <x v="205"/>
    <s v="CMP202607077"/>
    <s v="CUST101423"/>
    <x v="1"/>
    <s v="Red Saleable"/>
    <x v="0"/>
    <s v="Central"/>
    <s v="55+"/>
    <n v="1648"/>
    <n v="1407"/>
    <n v="1368"/>
    <n v="27"/>
    <n v="12"/>
    <n v="1"/>
    <n v="284.10000000000002"/>
    <x v="954"/>
    <n v="0.97228144989339016"/>
    <n v="1.9736842105263157E-2"/>
    <n v="0.44444444444444442"/>
    <n v="8.3333333333333329E-2"/>
    <n v="7.3099415204678359E-4"/>
    <n v="23.675000000000001"/>
    <n v="10.522222222222224"/>
    <n v="3.483139739528335"/>
  </r>
  <r>
    <x v="206"/>
    <s v="CMP202607012"/>
    <s v="CUST100072"/>
    <x v="0"/>
    <s v="Amber"/>
    <x v="0"/>
    <s v="West"/>
    <s v="25-34"/>
    <n v="2228"/>
    <n v="2095"/>
    <n v="1901"/>
    <n v="96"/>
    <n v="59"/>
    <n v="2"/>
    <n v="228.39"/>
    <x v="955"/>
    <n v="0.90739856801909313"/>
    <n v="5.0499736980536558E-2"/>
    <n v="0.61458333333333337"/>
    <n v="3.3898305084745763E-2"/>
    <n v="1.0520778537611783E-3"/>
    <n v="3.8710169491525424"/>
    <n v="2.3790624999999999"/>
    <n v="11.635710845483603"/>
  </r>
  <r>
    <x v="206"/>
    <s v="CMP202607019"/>
    <s v="CUST101199"/>
    <x v="3"/>
    <s v="Red Saleable"/>
    <x v="0"/>
    <s v="South"/>
    <s v="18-24"/>
    <n v="3521"/>
    <n v="2583"/>
    <n v="2443"/>
    <n v="84"/>
    <n v="40"/>
    <n v="2"/>
    <n v="406.92"/>
    <x v="956"/>
    <n v="0.94579945799457998"/>
    <n v="3.4383954154727794E-2"/>
    <n v="0.47619047619047616"/>
    <n v="0.05"/>
    <n v="8.1866557511256651E-4"/>
    <n v="10.173"/>
    <n v="4.8442857142857143"/>
    <n v="2.7054703627248595"/>
  </r>
  <r>
    <x v="206"/>
    <s v="CMP202607027"/>
    <s v="CUST100283"/>
    <x v="0"/>
    <s v="Green"/>
    <x v="0"/>
    <s v="West"/>
    <s v="25-34"/>
    <n v="4922"/>
    <n v="3918"/>
    <n v="3658"/>
    <n v="237"/>
    <n v="108"/>
    <n v="8"/>
    <n v="560.41"/>
    <x v="957"/>
    <n v="0.93363961204696277"/>
    <n v="6.4789502460360859E-2"/>
    <n v="0.45569620253164556"/>
    <n v="7.407407407407407E-2"/>
    <n v="2.1869874248223072E-3"/>
    <n v="5.1889814814814814"/>
    <n v="2.3645991561181434"/>
    <n v="16.360379008226122"/>
  </r>
  <r>
    <x v="206"/>
    <s v="CMP202607029"/>
    <s v="CUST101254"/>
    <x v="3"/>
    <s v="Amber"/>
    <x v="1"/>
    <s v="West"/>
    <s v="18-24"/>
    <n v="2172"/>
    <n v="1711"/>
    <n v="1543"/>
    <n v="105"/>
    <n v="64"/>
    <n v="4"/>
    <n v="274.37"/>
    <x v="958"/>
    <n v="0.90181180596142607"/>
    <n v="6.8049254698639011E-2"/>
    <n v="0.60952380952380958"/>
    <n v="6.25E-2"/>
    <n v="2.592352559948153E-3"/>
    <n v="4.2870312500000001"/>
    <n v="2.6130476190476193"/>
    <n v="13.492364325545797"/>
  </r>
  <r>
    <x v="206"/>
    <s v="CMP202607037"/>
    <s v="CUST101411"/>
    <x v="1"/>
    <s v="Red Saleable"/>
    <x v="0"/>
    <s v="East"/>
    <s v="35-44"/>
    <n v="4704"/>
    <n v="3400"/>
    <n v="3366"/>
    <n v="73"/>
    <n v="27"/>
    <n v="1"/>
    <n v="609.86"/>
    <x v="959"/>
    <n v="0.99"/>
    <n v="2.1687462863933454E-2"/>
    <n v="0.36986301369863012"/>
    <n v="3.7037037037037035E-2"/>
    <n v="2.9708853238265005E-4"/>
    <n v="22.587407407407408"/>
    <n v="8.3542465753424651"/>
    <n v="0.83168268127111122"/>
  </r>
  <r>
    <x v="206"/>
    <s v="CMP202607061"/>
    <s v="CUST100921"/>
    <x v="2"/>
    <s v="Red Non-Saleable"/>
    <x v="0"/>
    <s v="Central"/>
    <s v="55+"/>
    <n v="4758"/>
    <n v="3851"/>
    <n v="3570"/>
    <n v="78"/>
    <n v="34"/>
    <n v="0"/>
    <n v="288.70999999999998"/>
    <x v="0"/>
    <n v="0.92703193975590759"/>
    <n v="2.1848739495798318E-2"/>
    <n v="0.4358974358974359"/>
    <n v="0"/>
    <n v="0"/>
    <n v="8.491470588235293"/>
    <n v="3.7014102564102562"/>
    <n v="-1"/>
  </r>
  <r>
    <x v="207"/>
    <s v="CMP202607012"/>
    <s v="CUST100764"/>
    <x v="2"/>
    <s v="Red Saleable"/>
    <x v="0"/>
    <s v="East"/>
    <s v="18-24"/>
    <n v="2077"/>
    <n v="1928"/>
    <n v="1768"/>
    <n v="58"/>
    <n v="25"/>
    <n v="0"/>
    <n v="171.89"/>
    <x v="0"/>
    <n v="0.91701244813278004"/>
    <n v="3.2805429864253395E-2"/>
    <n v="0.43103448275862066"/>
    <n v="0"/>
    <n v="0"/>
    <n v="6.8755999999999995"/>
    <n v="2.9636206896551722"/>
    <n v="-1"/>
  </r>
  <r>
    <x v="207"/>
    <s v="CMP202607013"/>
    <s v="CUST100257"/>
    <x v="0"/>
    <s v="Red Non-Saleable"/>
    <x v="0"/>
    <s v="South"/>
    <s v="18-24"/>
    <n v="4991"/>
    <n v="4267"/>
    <n v="3854"/>
    <n v="89"/>
    <n v="50"/>
    <n v="1"/>
    <n v="582.84"/>
    <x v="960"/>
    <n v="0.90321068666510429"/>
    <n v="2.3092890503373119E-2"/>
    <n v="0.5617977528089888"/>
    <n v="0.02"/>
    <n v="2.594706798131811E-4"/>
    <n v="11.6568"/>
    <n v="6.5487640449438205"/>
    <n v="0.44597145014069028"/>
  </r>
  <r>
    <x v="207"/>
    <s v="CMP202607023"/>
    <s v="CUST101401"/>
    <x v="2"/>
    <s v="Amber"/>
    <x v="0"/>
    <s v="Central"/>
    <s v="35-44"/>
    <n v="1406"/>
    <n v="1403"/>
    <n v="1321"/>
    <n v="82"/>
    <n v="43"/>
    <n v="1"/>
    <n v="115.67"/>
    <x v="961"/>
    <n v="0.9415538132573058"/>
    <n v="6.2074186222558669E-2"/>
    <n v="0.52439024390243905"/>
    <n v="2.3255813953488372E-2"/>
    <n v="7.5700227100681302E-4"/>
    <n v="2.69"/>
    <n v="1.410609756097561"/>
    <n v="11.49278118786202"/>
  </r>
  <r>
    <x v="207"/>
    <s v="CMP202607027"/>
    <s v="CUST100275"/>
    <x v="2"/>
    <s v="Green"/>
    <x v="1"/>
    <s v="South"/>
    <s v="25-34"/>
    <n v="4072"/>
    <n v="3991"/>
    <n v="3727"/>
    <n v="289"/>
    <n v="151"/>
    <n v="17"/>
    <n v="332.64"/>
    <x v="962"/>
    <n v="0.93385116512152344"/>
    <n v="7.7542259189696802E-2"/>
    <n v="0.52249134948096887"/>
    <n v="0.11258278145695365"/>
    <n v="4.5613093640998123E-3"/>
    <n v="2.2029139072847683"/>
    <n v="1.1510034602076125"/>
    <n v="47.818903318903324"/>
  </r>
  <r>
    <x v="207"/>
    <s v="CMP202607030"/>
    <s v="CUST100170"/>
    <x v="1"/>
    <s v="Amber"/>
    <x v="1"/>
    <s v="South"/>
    <s v="35-44"/>
    <n v="4514"/>
    <n v="3504"/>
    <n v="3427"/>
    <n v="130"/>
    <n v="65"/>
    <n v="4"/>
    <n v="690.65"/>
    <x v="963"/>
    <n v="0.97802511415525117"/>
    <n v="3.7934053107674351E-2"/>
    <n v="0.5"/>
    <n v="6.1538461538461542E-2"/>
    <n v="1.1672016340822876E-3"/>
    <n v="10.625384615384615"/>
    <n v="5.3126923076923074"/>
    <n v="3.5881705639614858"/>
  </r>
  <r>
    <x v="207"/>
    <s v="CMP202607045"/>
    <s v="CUST100372"/>
    <x v="2"/>
    <s v="Red Saleable"/>
    <x v="1"/>
    <s v="East"/>
    <s v="55+"/>
    <n v="4333"/>
    <n v="3256"/>
    <n v="3041"/>
    <n v="129"/>
    <n v="78"/>
    <n v="4"/>
    <n v="277.05"/>
    <x v="964"/>
    <n v="0.93396805896805901"/>
    <n v="4.2420256494574156E-2"/>
    <n v="0.60465116279069764"/>
    <n v="5.128205128205128E-2"/>
    <n v="1.3153567905294311E-3"/>
    <n v="3.5519230769230772"/>
    <n v="2.1476744186046512"/>
    <n v="19.551055766107201"/>
  </r>
  <r>
    <x v="207"/>
    <s v="CMP202607045"/>
    <s v="CUST100637"/>
    <x v="1"/>
    <s v="Amber"/>
    <x v="0"/>
    <s v="North"/>
    <s v="35-44"/>
    <n v="875"/>
    <n v="780"/>
    <n v="749"/>
    <n v="13"/>
    <n v="5"/>
    <n v="0"/>
    <n v="128.13999999999999"/>
    <x v="0"/>
    <n v="0.96025641025641029"/>
    <n v="1.7356475300400534E-2"/>
    <n v="0.38461538461538464"/>
    <n v="0"/>
    <n v="0"/>
    <n v="25.627999999999997"/>
    <n v="9.856923076923076"/>
    <n v="-1"/>
  </r>
  <r>
    <x v="207"/>
    <s v="CMP202607079"/>
    <s v="CUST101057"/>
    <x v="1"/>
    <s v="Green"/>
    <x v="0"/>
    <s v="East"/>
    <s v="18-24"/>
    <n v="2774"/>
    <n v="2610"/>
    <n v="2457"/>
    <n v="104"/>
    <n v="41"/>
    <n v="3"/>
    <n v="446.22"/>
    <x v="965"/>
    <n v="0.94137931034482758"/>
    <n v="4.2328042328042326E-2"/>
    <n v="0.39423076923076922"/>
    <n v="7.3170731707317069E-2"/>
    <n v="1.221001221001221E-3"/>
    <n v="10.883414634146343"/>
    <n v="4.2905769230769231"/>
    <n v="9.5273407736094295"/>
  </r>
  <r>
    <x v="208"/>
    <s v="CMP202607001"/>
    <s v="CUST100756"/>
    <x v="3"/>
    <s v="Amber"/>
    <x v="1"/>
    <s v="South"/>
    <s v="35-44"/>
    <n v="3351"/>
    <n v="2670"/>
    <n v="2446"/>
    <n v="161"/>
    <n v="87"/>
    <n v="8"/>
    <n v="442.3"/>
    <x v="966"/>
    <n v="0.91610486891385767"/>
    <n v="6.5821749795584625E-2"/>
    <n v="0.54037267080745344"/>
    <n v="9.1954022988505746E-2"/>
    <n v="3.2706459525756338E-3"/>
    <n v="5.0839080459770116"/>
    <n v="2.7472049689440996"/>
    <n v="25.682387519782957"/>
  </r>
  <r>
    <x v="208"/>
    <s v="CMP202607001"/>
    <s v="CUST101151"/>
    <x v="0"/>
    <s v="Red Saleable"/>
    <x v="1"/>
    <s v="Central"/>
    <s v="55+"/>
    <n v="3439"/>
    <n v="3278"/>
    <n v="2953"/>
    <n v="171"/>
    <n v="104"/>
    <n v="5"/>
    <n v="429.99"/>
    <x v="967"/>
    <n v="0.90085417937766932"/>
    <n v="5.7907213003725026E-2"/>
    <n v="0.60818713450292394"/>
    <n v="4.807692307692308E-2"/>
    <n v="1.6931933626820183E-3"/>
    <n v="4.1345192307692304"/>
    <n v="2.5145614035087718"/>
    <n v="10.999209283936835"/>
  </r>
  <r>
    <x v="208"/>
    <s v="CMP202607010"/>
    <s v="CUST100216"/>
    <x v="0"/>
    <s v="Red Saleable"/>
    <x v="1"/>
    <s v="East"/>
    <s v="35-44"/>
    <n v="3379"/>
    <n v="2545"/>
    <n v="2290"/>
    <n v="106"/>
    <n v="66"/>
    <n v="3"/>
    <n v="288.19"/>
    <x v="968"/>
    <n v="0.89980353634577603"/>
    <n v="4.6288209606986902E-2"/>
    <n v="0.62264150943396224"/>
    <n v="4.5454545454545456E-2"/>
    <n v="1.3100436681222707E-3"/>
    <n v="4.3665151515151512"/>
    <n v="2.7187735849056605"/>
    <n v="9.3267635934626458"/>
  </r>
  <r>
    <x v="208"/>
    <s v="CMP202607011"/>
    <s v="CUST100382"/>
    <x v="2"/>
    <s v="Red Non-Saleable"/>
    <x v="0"/>
    <s v="South"/>
    <s v="25-34"/>
    <n v="4610"/>
    <n v="4496"/>
    <n v="4216"/>
    <n v="111"/>
    <n v="53"/>
    <n v="1"/>
    <n v="330.49"/>
    <x v="969"/>
    <n v="0.93772241992882566"/>
    <n v="2.6328273244781784E-2"/>
    <n v="0.47747747747747749"/>
    <n v="1.8867924528301886E-2"/>
    <n v="2.3719165085388995E-4"/>
    <n v="6.2356603773584904"/>
    <n v="2.9773873873873873"/>
    <n v="2.7486762080547069"/>
  </r>
  <r>
    <x v="208"/>
    <s v="CMP202607012"/>
    <s v="CUST100467"/>
    <x v="0"/>
    <s v="Amber"/>
    <x v="0"/>
    <s v="East"/>
    <s v="35-44"/>
    <n v="2624"/>
    <n v="2406"/>
    <n v="2191"/>
    <n v="135"/>
    <n v="72"/>
    <n v="3"/>
    <n v="310.3"/>
    <x v="970"/>
    <n v="0.91064006650041562"/>
    <n v="6.1615700593336376E-2"/>
    <n v="0.53333333333333333"/>
    <n v="4.1666666666666664E-2"/>
    <n v="1.3692377909630307E-3"/>
    <n v="4.3097222222222227"/>
    <n v="2.2985185185185184"/>
    <n v="7.5902674830808881"/>
  </r>
  <r>
    <x v="208"/>
    <s v="CMP202607033"/>
    <s v="CUST100233"/>
    <x v="3"/>
    <s v="Green"/>
    <x v="0"/>
    <s v="West"/>
    <s v="35-44"/>
    <n v="606"/>
    <n v="579"/>
    <n v="530"/>
    <n v="52"/>
    <n v="21"/>
    <n v="1"/>
    <n v="91.23"/>
    <x v="971"/>
    <n v="0.91537132987910186"/>
    <n v="9.8113207547169817E-2"/>
    <n v="0.40384615384615385"/>
    <n v="4.7619047619047616E-2"/>
    <n v="1.8867924528301887E-3"/>
    <n v="4.3442857142857143"/>
    <n v="1.7544230769230771"/>
    <n v="9.7004274909569226"/>
  </r>
  <r>
    <x v="208"/>
    <s v="CMP202607045"/>
    <s v="CUST101111"/>
    <x v="2"/>
    <s v="Green"/>
    <x v="0"/>
    <s v="East"/>
    <s v="18-24"/>
    <n v="553"/>
    <n v="502"/>
    <n v="478"/>
    <n v="30"/>
    <n v="13"/>
    <n v="1"/>
    <n v="39.049999999999997"/>
    <x v="972"/>
    <n v="0.952191235059761"/>
    <n v="6.2761506276150625E-2"/>
    <n v="0.43333333333333335"/>
    <n v="7.6923076923076927E-2"/>
    <n v="2.0920502092050207E-3"/>
    <n v="3.0038461538461538"/>
    <n v="1.3016666666666665"/>
    <n v="31.358002560819465"/>
  </r>
  <r>
    <x v="208"/>
    <s v="CMP202607047"/>
    <s v="CUST100313"/>
    <x v="0"/>
    <s v="Red Non-Saleable"/>
    <x v="1"/>
    <s v="West"/>
    <s v="45-54"/>
    <n v="846"/>
    <n v="776"/>
    <n v="697"/>
    <n v="16"/>
    <n v="9"/>
    <n v="0"/>
    <n v="89.78"/>
    <x v="0"/>
    <n v="0.89819587628865982"/>
    <n v="2.2955523672883789E-2"/>
    <n v="0.5625"/>
    <n v="0"/>
    <n v="0"/>
    <n v="9.9755555555555553"/>
    <n v="5.6112500000000001"/>
    <n v="-1"/>
  </r>
  <r>
    <x v="208"/>
    <s v="CMP202607048"/>
    <s v="CUST101127"/>
    <x v="0"/>
    <s v="Red Non-Saleable"/>
    <x v="0"/>
    <s v="South"/>
    <s v="18-24"/>
    <n v="4200"/>
    <n v="4193"/>
    <n v="3781"/>
    <n v="95"/>
    <n v="39"/>
    <n v="0"/>
    <n v="474.98"/>
    <x v="0"/>
    <n v="0.90174099689959453"/>
    <n v="2.5125628140703519E-2"/>
    <n v="0.41052631578947368"/>
    <n v="0"/>
    <n v="0"/>
    <n v="12.17897435897436"/>
    <n v="4.9997894736842108"/>
    <n v="-1"/>
  </r>
  <r>
    <x v="208"/>
    <s v="CMP202607052"/>
    <s v="CUST101243"/>
    <x v="2"/>
    <s v="Red Non-Saleable"/>
    <x v="1"/>
    <s v="West"/>
    <s v="45-54"/>
    <n v="1050"/>
    <n v="812"/>
    <n v="758"/>
    <n v="13"/>
    <n v="8"/>
    <n v="0"/>
    <n v="71.989999999999995"/>
    <x v="0"/>
    <n v="0.93349753694581283"/>
    <n v="1.7150395778364115E-2"/>
    <n v="0.61538461538461542"/>
    <n v="0"/>
    <n v="0"/>
    <n v="8.9987499999999994"/>
    <n v="5.537692307692307"/>
    <n v="-1"/>
  </r>
  <r>
    <x v="208"/>
    <s v="CMP202607054"/>
    <s v="CUST101437"/>
    <x v="2"/>
    <s v="Red Non-Saleable"/>
    <x v="0"/>
    <s v="South"/>
    <s v="35-44"/>
    <n v="3284"/>
    <n v="3144"/>
    <n v="2976"/>
    <n v="12"/>
    <n v="6"/>
    <n v="0"/>
    <n v="242.18"/>
    <x v="0"/>
    <n v="0.94656488549618323"/>
    <n v="4.0322580645161289E-3"/>
    <n v="0.5"/>
    <n v="0"/>
    <n v="0"/>
    <n v="40.363333333333337"/>
    <n v="20.181666666666668"/>
    <n v="-1"/>
  </r>
  <r>
    <x v="208"/>
    <s v="CMP202607054"/>
    <s v="CUST101459"/>
    <x v="0"/>
    <s v="Red Saleable"/>
    <x v="1"/>
    <s v="North"/>
    <s v="25-34"/>
    <n v="4109"/>
    <n v="3854"/>
    <n v="3409"/>
    <n v="147"/>
    <n v="75"/>
    <n v="3"/>
    <n v="527.19000000000005"/>
    <x v="973"/>
    <n v="0.88453554748313445"/>
    <n v="4.3121149897330596E-2"/>
    <n v="0.51020408163265307"/>
    <n v="0.04"/>
    <n v="8.8002346729246109E-4"/>
    <n v="7.0292000000000003"/>
    <n v="3.5863265306122454"/>
    <n v="5.2810182287220915"/>
  </r>
  <r>
    <x v="208"/>
    <s v="CMP202607073"/>
    <s v="CUST100215"/>
    <x v="0"/>
    <s v="Amber"/>
    <x v="0"/>
    <s v="Central"/>
    <s v="55+"/>
    <n v="4070"/>
    <n v="3135"/>
    <n v="2804"/>
    <n v="176"/>
    <n v="90"/>
    <n v="6"/>
    <n v="341.02"/>
    <x v="974"/>
    <n v="0.89441786283891545"/>
    <n v="6.2767475035663337E-2"/>
    <n v="0.51136363636363635"/>
    <n v="6.6666666666666666E-2"/>
    <n v="2.1398002853067048E-3"/>
    <n v="3.7891111111111111"/>
    <n v="1.9376136363636363"/>
    <n v="11.612339452231543"/>
  </r>
  <r>
    <x v="209"/>
    <s v="CMP202607013"/>
    <s v="CUST101330"/>
    <x v="1"/>
    <s v="Red Saleable"/>
    <x v="1"/>
    <s v="West"/>
    <s v="45-54"/>
    <n v="4628"/>
    <n v="4407"/>
    <n v="4231"/>
    <n v="108"/>
    <n v="57"/>
    <n v="2"/>
    <n v="816.91"/>
    <x v="975"/>
    <n v="0.96006353528477417"/>
    <n v="2.5525880406523281E-2"/>
    <n v="0.52777777777777779"/>
    <n v="3.5087719298245612E-2"/>
    <n v="4.7270148900969039E-4"/>
    <n v="14.331754385964912"/>
    <n v="7.5639814814814814"/>
    <n v="1.0250700811594913"/>
  </r>
  <r>
    <x v="209"/>
    <s v="CMP202607030"/>
    <s v="CUST100707"/>
    <x v="3"/>
    <s v="Amber"/>
    <x v="1"/>
    <s v="Central"/>
    <s v="55+"/>
    <n v="3019"/>
    <n v="2815"/>
    <n v="2558"/>
    <n v="229"/>
    <n v="130"/>
    <n v="8"/>
    <n v="442.07"/>
    <x v="976"/>
    <n v="0.90870337477797514"/>
    <n v="8.9523064894448792E-2"/>
    <n v="0.56768558951965065"/>
    <n v="6.1538461538461542E-2"/>
    <n v="3.1274433150899139E-3"/>
    <n v="3.4005384615384613"/>
    <n v="1.9304366812227074"/>
    <n v="19.193928563349694"/>
  </r>
  <r>
    <x v="209"/>
    <s v="CMP202607045"/>
    <s v="CUST101488"/>
    <x v="3"/>
    <s v="Amber"/>
    <x v="0"/>
    <s v="East"/>
    <s v="55+"/>
    <n v="3176"/>
    <n v="2568"/>
    <n v="2392"/>
    <n v="96"/>
    <n v="43"/>
    <n v="3"/>
    <n v="369.48"/>
    <x v="977"/>
    <n v="0.93146417445482865"/>
    <n v="4.0133779264214048E-2"/>
    <n v="0.44791666666666669"/>
    <n v="6.9767441860465115E-2"/>
    <n v="1.254180602006689E-3"/>
    <n v="8.5925581395348836"/>
    <n v="3.8487500000000003"/>
    <n v="9.8372848327379003"/>
  </r>
  <r>
    <x v="209"/>
    <s v="CMP202607059"/>
    <s v="CUST100147"/>
    <x v="1"/>
    <s v="Red Non-Saleable"/>
    <x v="0"/>
    <s v="West"/>
    <s v="25-34"/>
    <n v="2997"/>
    <n v="2348"/>
    <n v="2221"/>
    <n v="21"/>
    <n v="9"/>
    <n v="0"/>
    <n v="430.11"/>
    <x v="0"/>
    <n v="0.94591141396933565"/>
    <n v="9.4552003601981096E-3"/>
    <n v="0.42857142857142855"/>
    <n v="0"/>
    <n v="0"/>
    <n v="47.79"/>
    <n v="20.481428571428573"/>
    <n v="-1"/>
  </r>
  <r>
    <x v="209"/>
    <s v="CMP202607060"/>
    <s v="CUST100111"/>
    <x v="0"/>
    <s v="Red Non-Saleable"/>
    <x v="0"/>
    <s v="Central"/>
    <s v="45-54"/>
    <n v="4985"/>
    <n v="4289"/>
    <n v="3960"/>
    <n v="12"/>
    <n v="7"/>
    <n v="0"/>
    <n v="533.4"/>
    <x v="0"/>
    <n v="0.92329214269060389"/>
    <n v="3.0303030303030303E-3"/>
    <n v="0.58333333333333337"/>
    <n v="0"/>
    <n v="0"/>
    <n v="76.2"/>
    <n v="44.449999999999996"/>
    <n v="-1"/>
  </r>
  <r>
    <x v="209"/>
    <s v="CMP202607066"/>
    <s v="CUST100292"/>
    <x v="2"/>
    <s v="Amber"/>
    <x v="0"/>
    <s v="East"/>
    <s v="25-34"/>
    <n v="3496"/>
    <n v="2953"/>
    <n v="2771"/>
    <n v="140"/>
    <n v="61"/>
    <n v="3"/>
    <n v="240.35"/>
    <x v="978"/>
    <n v="0.93836776159837454"/>
    <n v="5.0523276795380732E-2"/>
    <n v="0.43571428571428572"/>
    <n v="4.9180327868852458E-2"/>
    <n v="1.0826416456153013E-3"/>
    <n v="3.9401639344262294"/>
    <n v="1.7167857142857141"/>
    <n v="7.3230705221551915"/>
  </r>
  <r>
    <x v="209"/>
    <s v="CMP202607069"/>
    <s v="CUST100625"/>
    <x v="0"/>
    <s v="Amber"/>
    <x v="0"/>
    <s v="Central"/>
    <s v="35-44"/>
    <n v="703"/>
    <n v="524"/>
    <n v="470"/>
    <n v="22"/>
    <n v="11"/>
    <n v="1"/>
    <n v="72.83"/>
    <x v="979"/>
    <n v="0.89694656488549618"/>
    <n v="4.6808510638297871E-2"/>
    <n v="0.5"/>
    <n v="9.0909090909090912E-2"/>
    <n v="2.1276595744680851E-3"/>
    <n v="6.6209090909090911"/>
    <n v="3.3104545454545455"/>
    <n v="12.288342715913771"/>
  </r>
  <r>
    <x v="210"/>
    <s v="CMP202607003"/>
    <s v="CUST100366"/>
    <x v="2"/>
    <s v="Red Non-Saleable"/>
    <x v="1"/>
    <s v="East"/>
    <s v="18-24"/>
    <n v="1591"/>
    <n v="1465"/>
    <n v="1348"/>
    <n v="22"/>
    <n v="12"/>
    <n v="0"/>
    <n v="130.25"/>
    <x v="0"/>
    <n v="0.92013651877133107"/>
    <n v="1.6320474777448073E-2"/>
    <n v="0.54545454545454541"/>
    <n v="0"/>
    <n v="0"/>
    <n v="10.854166666666666"/>
    <n v="5.9204545454545459"/>
    <n v="-1"/>
  </r>
  <r>
    <x v="210"/>
    <s v="CMP202607006"/>
    <s v="CUST101325"/>
    <x v="2"/>
    <s v="Red Non-Saleable"/>
    <x v="0"/>
    <s v="Central"/>
    <s v="18-24"/>
    <n v="3534"/>
    <n v="3012"/>
    <n v="2845"/>
    <n v="62"/>
    <n v="33"/>
    <n v="0"/>
    <n v="283.8"/>
    <x v="0"/>
    <n v="0.94455511288180616"/>
    <n v="2.179261862917399E-2"/>
    <n v="0.532258064516129"/>
    <n v="0"/>
    <n v="0"/>
    <n v="8.6"/>
    <n v="4.5774193548387094"/>
    <n v="-1"/>
  </r>
  <r>
    <x v="210"/>
    <s v="CMP202607016"/>
    <s v="CUST100451"/>
    <x v="1"/>
    <s v="Green"/>
    <x v="0"/>
    <s v="South"/>
    <s v="35-44"/>
    <n v="886"/>
    <n v="843"/>
    <n v="833"/>
    <n v="31"/>
    <n v="12"/>
    <n v="1"/>
    <n v="133.74"/>
    <x v="980"/>
    <n v="0.98813760379596682"/>
    <n v="3.721488595438175E-2"/>
    <n v="0.38709677419354838"/>
    <n v="8.3333333333333329E-2"/>
    <n v="1.2004801920768306E-3"/>
    <n v="11.145000000000001"/>
    <n v="4.314193548387097"/>
    <n v="10.885299835501719"/>
  </r>
  <r>
    <x v="210"/>
    <s v="CMP202607045"/>
    <s v="CUST100576"/>
    <x v="2"/>
    <s v="Red Saleable"/>
    <x v="0"/>
    <s v="West"/>
    <s v="55+"/>
    <n v="2186"/>
    <n v="2142"/>
    <n v="2008"/>
    <n v="59"/>
    <n v="31"/>
    <n v="1"/>
    <n v="195.03"/>
    <x v="981"/>
    <n v="0.93744164332399627"/>
    <n v="2.9382470119521914E-2"/>
    <n v="0.52542372881355937"/>
    <n v="3.2258064516129031E-2"/>
    <n v="4.9800796812749003E-4"/>
    <n v="6.2912903225806449"/>
    <n v="3.3055932203389831"/>
    <n v="5.9400605035122798"/>
  </r>
  <r>
    <x v="210"/>
    <s v="CMP202607050"/>
    <s v="CUST100115"/>
    <x v="2"/>
    <s v="Green"/>
    <x v="0"/>
    <s v="Central"/>
    <s v="18-24"/>
    <n v="2530"/>
    <n v="1942"/>
    <n v="1803"/>
    <n v="114"/>
    <n v="57"/>
    <n v="5"/>
    <n v="166.49"/>
    <x v="982"/>
    <n v="0.92842430484037075"/>
    <n v="6.3227953410981697E-2"/>
    <n v="0.5"/>
    <n v="8.771929824561403E-2"/>
    <n v="2.7731558513588465E-3"/>
    <n v="2.9208771929824562"/>
    <n v="1.4604385964912281"/>
    <n v="27.022403747972849"/>
  </r>
  <r>
    <x v="210"/>
    <s v="CMP202607075"/>
    <s v="CUST100829"/>
    <x v="0"/>
    <s v="Red Saleable"/>
    <x v="0"/>
    <s v="South"/>
    <s v="45-54"/>
    <n v="2955"/>
    <n v="2398"/>
    <n v="2182"/>
    <n v="71"/>
    <n v="37"/>
    <n v="1"/>
    <n v="286.95999999999998"/>
    <x v="983"/>
    <n v="0.90992493744787317"/>
    <n v="3.2538955087076077E-2"/>
    <n v="0.52112676056338025"/>
    <n v="2.7027027027027029E-2"/>
    <n v="4.5829514207149406E-4"/>
    <n v="7.7556756756756755"/>
    <n v="4.0416901408450698"/>
    <n v="3.3978254809032618"/>
  </r>
  <r>
    <x v="211"/>
    <s v="CMP202607003"/>
    <s v="CUST100204"/>
    <x v="0"/>
    <s v="Amber"/>
    <x v="0"/>
    <s v="North"/>
    <s v="25-34"/>
    <n v="607"/>
    <n v="544"/>
    <n v="510"/>
    <n v="31"/>
    <n v="16"/>
    <n v="1"/>
    <n v="59.42"/>
    <x v="984"/>
    <n v="0.9375"/>
    <n v="6.0784313725490195E-2"/>
    <n v="0.5161290322580645"/>
    <n v="6.25E-2"/>
    <n v="1.9607843137254902E-3"/>
    <n v="3.7137500000000001"/>
    <n v="1.9167741935483871"/>
    <n v="22.399865365196902"/>
  </r>
  <r>
    <x v="211"/>
    <s v="CMP202607003"/>
    <s v="CUST100264"/>
    <x v="0"/>
    <s v="Red Saleable"/>
    <x v="0"/>
    <s v="South"/>
    <s v="45-54"/>
    <n v="2523"/>
    <n v="2282"/>
    <n v="2052"/>
    <n v="87"/>
    <n v="38"/>
    <n v="2"/>
    <n v="262.20999999999998"/>
    <x v="985"/>
    <n v="0.89921121822962313"/>
    <n v="4.2397660818713448E-2"/>
    <n v="0.43678160919540232"/>
    <n v="5.2631578947368418E-2"/>
    <n v="9.7465886939571145E-4"/>
    <n v="6.9002631578947362"/>
    <n v="3.0139080459770113"/>
    <n v="7.2923229472560163"/>
  </r>
  <r>
    <x v="211"/>
    <s v="CMP202607003"/>
    <s v="CUST100695"/>
    <x v="2"/>
    <s v="Red Non-Saleable"/>
    <x v="0"/>
    <s v="Central"/>
    <s v="25-34"/>
    <n v="4277"/>
    <n v="3267"/>
    <n v="3101"/>
    <n v="87"/>
    <n v="32"/>
    <n v="0"/>
    <n v="263.14"/>
    <x v="0"/>
    <n v="0.9491888582797674"/>
    <n v="2.8055465978716543E-2"/>
    <n v="0.36781609195402298"/>
    <n v="0"/>
    <n v="0"/>
    <n v="8.2231249999999996"/>
    <n v="3.0245977011494252"/>
    <n v="-1"/>
  </r>
  <r>
    <x v="211"/>
    <s v="CMP202607019"/>
    <s v="CUST100788"/>
    <x v="0"/>
    <s v="Red Saleable"/>
    <x v="1"/>
    <s v="East"/>
    <s v="55+"/>
    <n v="1539"/>
    <n v="1386"/>
    <n v="1240"/>
    <n v="78"/>
    <n v="48"/>
    <n v="1"/>
    <n v="159.27000000000001"/>
    <x v="986"/>
    <n v="0.89466089466089471"/>
    <n v="6.2903225806451607E-2"/>
    <n v="0.61538461538461542"/>
    <n v="2.0833333333333332E-2"/>
    <n v="8.0645161290322581E-4"/>
    <n v="3.3181250000000002"/>
    <n v="2.041923076923077"/>
    <n v="8.7506749544798144"/>
  </r>
  <r>
    <x v="211"/>
    <s v="CMP202607019"/>
    <s v="CUST101169"/>
    <x v="1"/>
    <s v="Amber"/>
    <x v="1"/>
    <s v="Central"/>
    <s v="25-34"/>
    <n v="4319"/>
    <n v="3579"/>
    <n v="3480"/>
    <n v="164"/>
    <n v="74"/>
    <n v="5"/>
    <n v="680.88"/>
    <x v="987"/>
    <n v="0.97233864207879295"/>
    <n v="4.7126436781609195E-2"/>
    <n v="0.45121951219512196"/>
    <n v="6.7567567567567571E-2"/>
    <n v="1.4367816091954023E-3"/>
    <n v="9.2010810810810817"/>
    <n v="4.1517073170731704"/>
    <n v="9.816061567383386"/>
  </r>
  <r>
    <x v="211"/>
    <s v="CMP202607036"/>
    <s v="CUST101367"/>
    <x v="2"/>
    <s v="Red Non-Saleable"/>
    <x v="0"/>
    <s v="Central"/>
    <s v="35-44"/>
    <n v="3767"/>
    <n v="2928"/>
    <n v="2782"/>
    <n v="59"/>
    <n v="25"/>
    <n v="0"/>
    <n v="218.71"/>
    <x v="0"/>
    <n v="0.95013661202185795"/>
    <n v="2.1207764198418404E-2"/>
    <n v="0.42372881355932202"/>
    <n v="0"/>
    <n v="0"/>
    <n v="8.7484000000000002"/>
    <n v="3.7069491525423732"/>
    <n v="-1"/>
  </r>
  <r>
    <x v="211"/>
    <s v="CMP202607041"/>
    <s v="CUST100669"/>
    <x v="2"/>
    <s v="Red Saleable"/>
    <x v="1"/>
    <s v="East"/>
    <s v="35-44"/>
    <n v="4988"/>
    <n v="4690"/>
    <n v="4446"/>
    <n v="225"/>
    <n v="136"/>
    <n v="9"/>
    <n v="342.24"/>
    <x v="988"/>
    <n v="0.94797441364605539"/>
    <n v="5.0607287449392711E-2"/>
    <n v="0.60444444444444445"/>
    <n v="6.6176470588235295E-2"/>
    <n v="2.0242914979757085E-3"/>
    <n v="2.5164705882352942"/>
    <n v="1.5210666666666668"/>
    <n v="24.361822113136981"/>
  </r>
  <r>
    <x v="211"/>
    <s v="CMP202607045"/>
    <s v="CUST101238"/>
    <x v="0"/>
    <s v="Green"/>
    <x v="0"/>
    <s v="Central"/>
    <s v="18-24"/>
    <n v="1997"/>
    <n v="1711"/>
    <n v="1549"/>
    <n v="137"/>
    <n v="67"/>
    <n v="4"/>
    <n v="227.89"/>
    <x v="989"/>
    <n v="0.90531852717708938"/>
    <n v="8.8444157520981281E-2"/>
    <n v="0.48905109489051096"/>
    <n v="5.9701492537313432E-2"/>
    <n v="2.5823111684958036E-3"/>
    <n v="3.4013432835820891"/>
    <n v="1.6634306569343065"/>
    <n v="25.113519680547633"/>
  </r>
  <r>
    <x v="211"/>
    <s v="CMP202607070"/>
    <s v="CUST100408"/>
    <x v="1"/>
    <s v="Amber"/>
    <x v="0"/>
    <s v="Central"/>
    <s v="25-34"/>
    <n v="3390"/>
    <n v="2490"/>
    <n v="2377"/>
    <n v="93"/>
    <n v="34"/>
    <n v="2"/>
    <n v="494.34"/>
    <x v="990"/>
    <n v="0.9546184738955823"/>
    <n v="3.9124947412705093E-2"/>
    <n v="0.36559139784946237"/>
    <n v="5.8823529411764705E-2"/>
    <n v="8.4139671855279767E-4"/>
    <n v="14.539411764705882"/>
    <n v="5.3154838709677419"/>
    <n v="2.6629849900877942"/>
  </r>
  <r>
    <x v="211"/>
    <s v="CMP202607071"/>
    <s v="CUST100775"/>
    <x v="1"/>
    <s v="Amber"/>
    <x v="0"/>
    <s v="North"/>
    <s v="25-34"/>
    <n v="2942"/>
    <n v="2499"/>
    <n v="2432"/>
    <n v="57"/>
    <n v="23"/>
    <n v="1"/>
    <n v="494.45"/>
    <x v="991"/>
    <n v="0.97318927571028413"/>
    <n v="2.34375E-2"/>
    <n v="0.40350877192982454"/>
    <n v="4.3478260869565216E-2"/>
    <n v="4.1118421052631577E-4"/>
    <n v="21.497826086956522"/>
    <n v="8.6745614035087719"/>
    <n v="1.6768732935584991"/>
  </r>
  <r>
    <x v="211"/>
    <s v="CMP202607079"/>
    <s v="CUST100642"/>
    <x v="0"/>
    <s v="Red Saleable"/>
    <x v="0"/>
    <s v="East"/>
    <s v="18-24"/>
    <n v="2606"/>
    <n v="2058"/>
    <n v="1912"/>
    <n v="90"/>
    <n v="45"/>
    <n v="1"/>
    <n v="282.8"/>
    <x v="992"/>
    <n v="0.92905733722060257"/>
    <n v="4.7071129707112969E-2"/>
    <n v="0.5"/>
    <n v="2.2222222222222223E-2"/>
    <n v="5.2301255230125519E-4"/>
    <n v="6.2844444444444445"/>
    <n v="3.1422222222222222"/>
    <n v="2.6834158415841589"/>
  </r>
  <r>
    <x v="212"/>
    <s v="CMP202608008"/>
    <s v="CUST101410"/>
    <x v="2"/>
    <s v="Green"/>
    <x v="0"/>
    <s v="South"/>
    <s v="55+"/>
    <n v="1524"/>
    <n v="1498"/>
    <n v="1375"/>
    <n v="100"/>
    <n v="43"/>
    <n v="3"/>
    <n v="102.8"/>
    <x v="993"/>
    <n v="0.91789052069425903"/>
    <n v="7.2727272727272724E-2"/>
    <n v="0.43"/>
    <n v="6.9767441860465115E-2"/>
    <n v="2.1818181818181819E-3"/>
    <n v="2.3906976744186044"/>
    <n v="1.028"/>
    <n v="43.991245136186777"/>
  </r>
  <r>
    <x v="212"/>
    <s v="CMP202608020"/>
    <s v="CUST100032"/>
    <x v="3"/>
    <s v="Green"/>
    <x v="0"/>
    <s v="South"/>
    <s v="25-34"/>
    <n v="1656"/>
    <n v="1293"/>
    <n v="1185"/>
    <n v="101"/>
    <n v="49"/>
    <n v="3"/>
    <n v="229.94"/>
    <x v="994"/>
    <n v="0.91647331786542918"/>
    <n v="8.5232067510548529E-2"/>
    <n v="0.48514851485148514"/>
    <n v="6.1224489795918366E-2"/>
    <n v="2.5316455696202532E-3"/>
    <n v="4.6926530612244894"/>
    <n v="2.2766336633663364"/>
    <n v="9.1745672784204579"/>
  </r>
  <r>
    <x v="213"/>
    <s v="CMP202608003"/>
    <s v="CUST101117"/>
    <x v="2"/>
    <s v="Green"/>
    <x v="0"/>
    <s v="Central"/>
    <s v="18-24"/>
    <n v="4933"/>
    <n v="4392"/>
    <n v="4075"/>
    <n v="321"/>
    <n v="146"/>
    <n v="15"/>
    <n v="322.7"/>
    <x v="995"/>
    <n v="0.92782331511839711"/>
    <n v="7.877300613496932E-2"/>
    <n v="0.45482866043613707"/>
    <n v="0.10273972602739725"/>
    <n v="3.6809815950920245E-3"/>
    <n v="2.2102739726027396"/>
    <n v="1.0052959501557632"/>
    <n v="63.243414936473499"/>
  </r>
  <r>
    <x v="213"/>
    <s v="CMP202608040"/>
    <s v="CUST100139"/>
    <x v="2"/>
    <s v="Green"/>
    <x v="1"/>
    <s v="North"/>
    <s v="45-54"/>
    <n v="4942"/>
    <n v="4323"/>
    <n v="4046"/>
    <n v="357"/>
    <n v="192"/>
    <n v="14"/>
    <n v="390.6"/>
    <x v="996"/>
    <n v="0.93592412676382142"/>
    <n v="8.8235294117647065E-2"/>
    <n v="0.53781512605042014"/>
    <n v="7.2916666666666671E-2"/>
    <n v="3.4602076124567475E-3"/>
    <n v="2.0343750000000003"/>
    <n v="1.0941176470588236"/>
    <n v="40.080721966205829"/>
  </r>
  <r>
    <x v="213"/>
    <s v="CMP202608046"/>
    <s v="CUST100493"/>
    <x v="2"/>
    <s v="Red Saleable"/>
    <x v="0"/>
    <s v="South"/>
    <s v="35-44"/>
    <n v="4732"/>
    <n v="3482"/>
    <n v="3275"/>
    <n v="82"/>
    <n v="35"/>
    <n v="2"/>
    <n v="278.2"/>
    <x v="997"/>
    <n v="0.94055140723721997"/>
    <n v="2.5038167938931297E-2"/>
    <n v="0.42682926829268292"/>
    <n v="5.7142857142857141E-2"/>
    <n v="6.1068702290076337E-4"/>
    <n v="7.9485714285714284"/>
    <n v="3.3926829268292682"/>
    <n v="4.4101365923795823"/>
  </r>
  <r>
    <x v="213"/>
    <s v="CMP202608056"/>
    <s v="CUST100488"/>
    <x v="1"/>
    <s v="Amber"/>
    <x v="0"/>
    <s v="North"/>
    <s v="55+"/>
    <n v="4636"/>
    <n v="4358"/>
    <n v="4249"/>
    <n v="133"/>
    <n v="40"/>
    <n v="2"/>
    <n v="871.28"/>
    <x v="998"/>
    <n v="0.97498852684717763"/>
    <n v="3.130148270181219E-2"/>
    <n v="0.3007518796992481"/>
    <n v="0.05"/>
    <n v="4.706989879971758E-4"/>
    <n v="21.782"/>
    <n v="6.550977443609022"/>
    <n v="0.63833670002754583"/>
  </r>
  <r>
    <x v="213"/>
    <s v="CMP202608064"/>
    <s v="CUST100266"/>
    <x v="3"/>
    <s v="Green"/>
    <x v="0"/>
    <s v="North"/>
    <s v="45-54"/>
    <n v="1377"/>
    <n v="1011"/>
    <n v="941"/>
    <n v="65"/>
    <n v="29"/>
    <n v="2"/>
    <n v="159.86000000000001"/>
    <x v="999"/>
    <n v="0.93076162215628089"/>
    <n v="6.9075451647183844E-2"/>
    <n v="0.44615384615384618"/>
    <n v="6.8965517241379309E-2"/>
    <n v="2.1253985122210413E-3"/>
    <n v="5.5124137931034491"/>
    <n v="2.4593846153846157"/>
    <n v="8.2346428124609012"/>
  </r>
  <r>
    <x v="213"/>
    <s v="CMP202608076"/>
    <s v="CUST100632"/>
    <x v="2"/>
    <s v="Green"/>
    <x v="0"/>
    <s v="South"/>
    <s v="18-24"/>
    <n v="4352"/>
    <n v="3206"/>
    <n v="3044"/>
    <n v="198"/>
    <n v="101"/>
    <n v="8"/>
    <n v="230.71"/>
    <x v="1000"/>
    <n v="0.94946974422956953"/>
    <n v="6.5045992115637316E-2"/>
    <n v="0.51010101010101006"/>
    <n v="7.9207920792079209E-2"/>
    <n v="2.6281208935611039E-3"/>
    <n v="2.2842574257425743"/>
    <n v="1.1652020202020203"/>
    <n v="50.159507606952452"/>
  </r>
  <r>
    <x v="214"/>
    <s v="CMP202608042"/>
    <s v="CUST101165"/>
    <x v="0"/>
    <s v="Red Saleable"/>
    <x v="0"/>
    <s v="South"/>
    <s v="55+"/>
    <n v="3661"/>
    <n v="3138"/>
    <n v="2852"/>
    <n v="90"/>
    <n v="42"/>
    <n v="1"/>
    <n v="341.51"/>
    <x v="1001"/>
    <n v="0.90885914595283623"/>
    <n v="3.155680224403927E-2"/>
    <n v="0.46666666666666667"/>
    <n v="2.3809523809523808E-2"/>
    <n v="3.5063113604488078E-4"/>
    <n v="8.1311904761904756"/>
    <n v="3.7945555555555552"/>
    <n v="1.4422125267195689"/>
  </r>
  <r>
    <x v="214"/>
    <s v="CMP202608044"/>
    <s v="CUST100932"/>
    <x v="0"/>
    <s v="Green"/>
    <x v="0"/>
    <s v="Central"/>
    <s v="35-44"/>
    <n v="2663"/>
    <n v="2542"/>
    <n v="2224"/>
    <n v="178"/>
    <n v="86"/>
    <n v="6"/>
    <n v="349.9"/>
    <x v="1002"/>
    <n v="0.87490165224232885"/>
    <n v="8.0035971223021585E-2"/>
    <n v="0.48314606741573035"/>
    <n v="6.9767441860465115E-2"/>
    <n v="2.6978417266187052E-3"/>
    <n v="4.06860465116279"/>
    <n v="1.9657303370786516"/>
    <n v="13.622234924264076"/>
  </r>
  <r>
    <x v="214"/>
    <s v="CMP202608048"/>
    <s v="CUST100252"/>
    <x v="3"/>
    <s v="Red Non-Saleable"/>
    <x v="1"/>
    <s v="South"/>
    <s v="18-24"/>
    <n v="2001"/>
    <n v="1544"/>
    <n v="1417"/>
    <n v="13"/>
    <n v="8"/>
    <n v="0"/>
    <n v="220.2"/>
    <x v="0"/>
    <n v="0.91774611398963735"/>
    <n v="9.1743119266055051E-3"/>
    <n v="0.61538461538461542"/>
    <n v="0"/>
    <n v="0"/>
    <n v="27.524999999999999"/>
    <n v="16.938461538461539"/>
    <n v="-1"/>
  </r>
  <r>
    <x v="214"/>
    <s v="CMP202608053"/>
    <s v="CUST100574"/>
    <x v="3"/>
    <s v="Green"/>
    <x v="1"/>
    <s v="South"/>
    <s v="45-54"/>
    <n v="4356"/>
    <n v="4257"/>
    <n v="3951"/>
    <n v="429"/>
    <n v="241"/>
    <n v="17"/>
    <n v="629.42999999999995"/>
    <x v="1003"/>
    <n v="0.92811839323467227"/>
    <n v="0.10858010630220197"/>
    <n v="0.56177156177156173"/>
    <n v="7.0539419087136929E-2"/>
    <n v="4.3027081751455332E-3"/>
    <n v="2.6117427385892116"/>
    <n v="1.467202797202797"/>
    <n v="27.732662885467807"/>
  </r>
  <r>
    <x v="214"/>
    <s v="CMP202608058"/>
    <s v="CUST100975"/>
    <x v="1"/>
    <s v="Green"/>
    <x v="1"/>
    <s v="South"/>
    <s v="25-34"/>
    <n v="609"/>
    <n v="606"/>
    <n v="584"/>
    <n v="41"/>
    <n v="18"/>
    <n v="2"/>
    <n v="128.66"/>
    <x v="1004"/>
    <n v="0.9636963696369637"/>
    <n v="7.0205479452054798E-2"/>
    <n v="0.43902439024390244"/>
    <n v="0.1111111111111111"/>
    <n v="3.4246575342465752E-3"/>
    <n v="7.1477777777777778"/>
    <n v="3.138048780487805"/>
    <n v="19.229830561168974"/>
  </r>
  <r>
    <x v="214"/>
    <s v="CMP202608059"/>
    <s v="CUST100232"/>
    <x v="3"/>
    <s v="Red Saleable"/>
    <x v="0"/>
    <s v="South"/>
    <s v="18-24"/>
    <n v="2905"/>
    <n v="2543"/>
    <n v="2394"/>
    <n v="100"/>
    <n v="40"/>
    <n v="1"/>
    <n v="329.89"/>
    <x v="1005"/>
    <n v="0.94140778607943376"/>
    <n v="4.1771094402673348E-2"/>
    <n v="0.4"/>
    <n v="2.5000000000000001E-2"/>
    <n v="4.1771094402673348E-4"/>
    <n v="8.2472499999999993"/>
    <n v="3.2988999999999997"/>
    <n v="2.3762163145290853"/>
  </r>
  <r>
    <x v="214"/>
    <s v="CMP202608064"/>
    <s v="CUST101091"/>
    <x v="0"/>
    <s v="Red Saleable"/>
    <x v="1"/>
    <s v="West"/>
    <s v="18-24"/>
    <n v="4589"/>
    <n v="3949"/>
    <n v="3691"/>
    <n v="187"/>
    <n v="125"/>
    <n v="4"/>
    <n v="549.39"/>
    <x v="1006"/>
    <n v="0.93466700430488736"/>
    <n v="5.0663776754267136E-2"/>
    <n v="0.66844919786096257"/>
    <n v="3.2000000000000001E-2"/>
    <n v="1.083717149823896E-3"/>
    <n v="4.3951199999999995"/>
    <n v="2.9379144385026739"/>
    <n v="9.8398405504286579"/>
  </r>
  <r>
    <x v="214"/>
    <s v="CMP202608066"/>
    <s v="CUST100476"/>
    <x v="2"/>
    <s v="Amber"/>
    <x v="0"/>
    <s v="East"/>
    <s v="35-44"/>
    <n v="1063"/>
    <n v="941"/>
    <n v="859"/>
    <n v="44"/>
    <n v="23"/>
    <n v="1"/>
    <n v="75.91"/>
    <x v="1007"/>
    <n v="0.91285866099893731"/>
    <n v="5.1222351571594875E-2"/>
    <n v="0.52272727272727271"/>
    <n v="4.3478260869565216E-2"/>
    <n v="1.1641443538998836E-3"/>
    <n v="3.3004347826086957"/>
    <n v="1.7252272727272726"/>
    <n v="8.0177842181530767"/>
  </r>
  <r>
    <x v="215"/>
    <s v="CMP202608007"/>
    <s v="CUST100042"/>
    <x v="1"/>
    <s v="Green"/>
    <x v="0"/>
    <s v="West"/>
    <s v="35-44"/>
    <n v="1931"/>
    <n v="1448"/>
    <n v="1423"/>
    <n v="41"/>
    <n v="14"/>
    <n v="1"/>
    <n v="255.96"/>
    <x v="1008"/>
    <n v="0.98273480662983426"/>
    <n v="2.8812368236120871E-2"/>
    <n v="0.34146341463414637"/>
    <n v="7.1428571428571425E-2"/>
    <n v="7.0274068868587491E-4"/>
    <n v="18.282857142857143"/>
    <n v="6.2429268292682929"/>
    <n v="1.914439756211908"/>
  </r>
  <r>
    <x v="215"/>
    <s v="CMP202608025"/>
    <s v="CUST101203"/>
    <x v="2"/>
    <s v="Red Saleable"/>
    <x v="0"/>
    <s v="West"/>
    <s v="35-44"/>
    <n v="2900"/>
    <n v="2663"/>
    <n v="2572"/>
    <n v="95"/>
    <n v="49"/>
    <n v="2"/>
    <n v="235.19"/>
    <x v="1009"/>
    <n v="0.96582801351858805"/>
    <n v="3.6936236391912909E-2"/>
    <n v="0.51578947368421058"/>
    <n v="4.0816326530612242E-2"/>
    <n v="7.776049766718507E-4"/>
    <n v="4.7997959183673471"/>
    <n v="2.4756842105263157"/>
    <n v="9.2353416386751128"/>
  </r>
  <r>
    <x v="215"/>
    <s v="CMP202608027"/>
    <s v="CUST101419"/>
    <x v="1"/>
    <s v="Red Non-Saleable"/>
    <x v="0"/>
    <s v="South"/>
    <s v="35-44"/>
    <n v="1517"/>
    <n v="1477"/>
    <n v="1409"/>
    <n v="25"/>
    <n v="10"/>
    <n v="0"/>
    <n v="289.10000000000002"/>
    <x v="0"/>
    <n v="0.95396073121191605"/>
    <n v="1.7743080198722498E-2"/>
    <n v="0.4"/>
    <n v="0"/>
    <n v="0"/>
    <n v="28.910000000000004"/>
    <n v="11.564"/>
    <n v="-1"/>
  </r>
  <r>
    <x v="215"/>
    <s v="CMP202608036"/>
    <s v="CUST100384"/>
    <x v="1"/>
    <s v="Green"/>
    <x v="0"/>
    <s v="East"/>
    <s v="45-54"/>
    <n v="3139"/>
    <n v="2982"/>
    <n v="2923"/>
    <n v="113"/>
    <n v="55"/>
    <n v="4"/>
    <n v="584.5"/>
    <x v="1010"/>
    <n v="0.98021462105969148"/>
    <n v="3.8658912076633599E-2"/>
    <n v="0.48672566371681414"/>
    <n v="7.2727272727272724E-2"/>
    <n v="1.3684570646595963E-3"/>
    <n v="10.627272727272727"/>
    <n v="5.1725663716814161"/>
    <n v="7.8372626176218994"/>
  </r>
  <r>
    <x v="215"/>
    <s v="CMP202608040"/>
    <s v="CUST100329"/>
    <x v="2"/>
    <s v="Red Non-Saleable"/>
    <x v="0"/>
    <s v="North"/>
    <s v="35-44"/>
    <n v="1764"/>
    <n v="1540"/>
    <n v="1451"/>
    <n v="35"/>
    <n v="13"/>
    <n v="0"/>
    <n v="111.89"/>
    <x v="0"/>
    <n v="0.94220779220779216"/>
    <n v="2.4121295658166782E-2"/>
    <n v="0.37142857142857144"/>
    <n v="0"/>
    <n v="0"/>
    <n v="8.6069230769230778"/>
    <n v="3.1968571428571431"/>
    <n v="-1"/>
  </r>
  <r>
    <x v="215"/>
    <s v="CMP202608045"/>
    <s v="CUST100859"/>
    <x v="3"/>
    <s v="Green"/>
    <x v="0"/>
    <s v="North"/>
    <s v="45-54"/>
    <n v="1376"/>
    <n v="1186"/>
    <n v="1102"/>
    <n v="81"/>
    <n v="36"/>
    <n v="2"/>
    <n v="189.45"/>
    <x v="1011"/>
    <n v="0.92917369308600339"/>
    <n v="7.3502722323048997E-2"/>
    <n v="0.44444444444444442"/>
    <n v="5.5555555555555552E-2"/>
    <n v="1.8148820326678765E-3"/>
    <n v="5.2624999999999993"/>
    <n v="2.3388888888888886"/>
    <n v="8.70488255476379"/>
  </r>
  <r>
    <x v="215"/>
    <s v="CMP202608046"/>
    <s v="CUST100185"/>
    <x v="1"/>
    <s v="Amber"/>
    <x v="0"/>
    <s v="North"/>
    <s v="25-34"/>
    <n v="2176"/>
    <n v="2134"/>
    <n v="1998"/>
    <n v="71"/>
    <n v="27"/>
    <n v="1"/>
    <n v="367.09"/>
    <x v="1012"/>
    <n v="0.93626991565135897"/>
    <n v="3.5535535535535533E-2"/>
    <n v="0.38028169014084506"/>
    <n v="3.7037037037037035E-2"/>
    <n v="5.005005005005005E-4"/>
    <n v="13.595925925925926"/>
    <n v="5.170281690140845"/>
    <n v="2.4293225094663433"/>
  </r>
  <r>
    <x v="215"/>
    <s v="CMP202608049"/>
    <s v="CUST100200"/>
    <x v="1"/>
    <s v="Red Non-Saleable"/>
    <x v="0"/>
    <s v="West"/>
    <s v="55+"/>
    <n v="2640"/>
    <n v="2129"/>
    <n v="2011"/>
    <n v="23"/>
    <n v="9"/>
    <n v="0"/>
    <n v="416.56"/>
    <x v="0"/>
    <n v="0.94457491780178493"/>
    <n v="1.1437095972153158E-2"/>
    <n v="0.39130434782608697"/>
    <n v="0"/>
    <n v="0"/>
    <n v="46.284444444444446"/>
    <n v="18.111304347826088"/>
    <n v="-1"/>
  </r>
  <r>
    <x v="215"/>
    <s v="CMP202608055"/>
    <s v="CUST101128"/>
    <x v="3"/>
    <s v="Amber"/>
    <x v="1"/>
    <s v="Central"/>
    <s v="35-44"/>
    <n v="886"/>
    <n v="804"/>
    <n v="749"/>
    <n v="63"/>
    <n v="35"/>
    <n v="2"/>
    <n v="120.77"/>
    <x v="1013"/>
    <n v="0.93159203980099503"/>
    <n v="8.4112149532710276E-2"/>
    <n v="0.55555555555555558"/>
    <n v="5.7142857142857141E-2"/>
    <n v="2.6702269692923898E-3"/>
    <n v="3.4505714285714286"/>
    <n v="1.916984126984127"/>
    <n v="13.877701415914549"/>
  </r>
  <r>
    <x v="216"/>
    <s v="CMP202608055"/>
    <s v="CUST101244"/>
    <x v="2"/>
    <s v="Red Saleable"/>
    <x v="0"/>
    <s v="North"/>
    <s v="45-54"/>
    <n v="3367"/>
    <n v="3211"/>
    <n v="3057"/>
    <n v="106"/>
    <n v="50"/>
    <n v="1"/>
    <n v="254.66"/>
    <x v="1014"/>
    <n v="0.95203986297103704"/>
    <n v="3.4674517500817792E-2"/>
    <n v="0.47169811320754718"/>
    <n v="0.02"/>
    <n v="3.2711808963035657E-4"/>
    <n v="5.0931999999999995"/>
    <n v="2.4024528301886794"/>
    <n v="3.9846069268829032"/>
  </r>
  <r>
    <x v="216"/>
    <s v="CMP202608055"/>
    <s v="CUST101347"/>
    <x v="2"/>
    <s v="Green"/>
    <x v="0"/>
    <s v="Central"/>
    <s v="45-54"/>
    <n v="4311"/>
    <n v="3314"/>
    <n v="3213"/>
    <n v="215"/>
    <n v="109"/>
    <n v="10"/>
    <n v="311.17"/>
    <x v="1015"/>
    <n v="0.96952323476161739"/>
    <n v="6.6915655150949271E-2"/>
    <n v="0.50697674418604655"/>
    <n v="9.1743119266055051E-2"/>
    <n v="3.1123560535325241E-3"/>
    <n v="2.8547706422018351"/>
    <n v="1.4473023255813955"/>
    <n v="28.975865282642928"/>
  </r>
  <r>
    <x v="216"/>
    <s v="CMP202608056"/>
    <s v="CUST100797"/>
    <x v="1"/>
    <s v="Amber"/>
    <x v="0"/>
    <s v="West"/>
    <s v="45-54"/>
    <n v="1708"/>
    <n v="1530"/>
    <n v="1431"/>
    <n v="40"/>
    <n v="18"/>
    <n v="1"/>
    <n v="324.39"/>
    <x v="1016"/>
    <n v="0.93529411764705883"/>
    <n v="2.7952480782669462E-2"/>
    <n v="0.45"/>
    <n v="5.5555555555555552E-2"/>
    <n v="6.9881201956673651E-4"/>
    <n v="18.021666666666665"/>
    <n v="8.10975"/>
    <n v="2.9844014920311972"/>
  </r>
  <r>
    <x v="216"/>
    <s v="CMP202608074"/>
    <s v="CUST100577"/>
    <x v="0"/>
    <s v="Red Saleable"/>
    <x v="0"/>
    <s v="East"/>
    <s v="18-24"/>
    <n v="3518"/>
    <n v="2857"/>
    <n v="2673"/>
    <n v="66"/>
    <n v="33"/>
    <n v="2"/>
    <n v="409.14"/>
    <x v="1017"/>
    <n v="0.93559677983899192"/>
    <n v="2.4691358024691357E-2"/>
    <n v="0.5"/>
    <n v="6.0606060606060608E-2"/>
    <n v="7.4822297044519262E-4"/>
    <n v="12.398181818181818"/>
    <n v="6.1990909090909092"/>
    <n v="5.1456714083198909"/>
  </r>
  <r>
    <x v="217"/>
    <s v="CMP202608009"/>
    <s v="CUST100744"/>
    <x v="0"/>
    <s v="Red Saleable"/>
    <x v="0"/>
    <s v="Central"/>
    <s v="35-44"/>
    <n v="3890"/>
    <n v="3160"/>
    <n v="2946"/>
    <n v="81"/>
    <n v="38"/>
    <n v="2"/>
    <n v="442.42"/>
    <x v="1018"/>
    <n v="0.9322784810126582"/>
    <n v="2.7494908350305498E-2"/>
    <n v="0.46913580246913578"/>
    <n v="5.2631578947368418E-2"/>
    <n v="6.7888662593346908E-4"/>
    <n v="11.642631578947368"/>
    <n v="5.4619753086419758"/>
    <n v="3.9636318430450705"/>
  </r>
  <r>
    <x v="217"/>
    <s v="CMP202608022"/>
    <s v="CUST100947"/>
    <x v="0"/>
    <s v="Green"/>
    <x v="0"/>
    <s v="South"/>
    <s v="18-24"/>
    <n v="2653"/>
    <n v="2232"/>
    <n v="2093"/>
    <n v="157"/>
    <n v="70"/>
    <n v="4"/>
    <n v="233.34"/>
    <x v="1019"/>
    <n v="0.93772401433691754"/>
    <n v="7.5011944577161968E-2"/>
    <n v="0.44585987261146498"/>
    <n v="5.7142857142857141E-2"/>
    <n v="1.9111323459149545E-3"/>
    <n v="3.3334285714285716"/>
    <n v="1.4862420382165604"/>
    <n v="22.028927744921571"/>
  </r>
  <r>
    <x v="217"/>
    <s v="CMP202608026"/>
    <s v="CUST100097"/>
    <x v="0"/>
    <s v="Green"/>
    <x v="0"/>
    <s v="South"/>
    <s v="45-54"/>
    <n v="1386"/>
    <n v="1359"/>
    <n v="1259"/>
    <n v="110"/>
    <n v="59"/>
    <n v="3"/>
    <n v="161.1"/>
    <x v="1020"/>
    <n v="0.92641648270787347"/>
    <n v="8.7370929308975373E-2"/>
    <n v="0.53636363636363638"/>
    <n v="5.0847457627118647E-2"/>
    <n v="2.3828435266084196E-3"/>
    <n v="2.7305084745762711"/>
    <n v="1.4645454545454546"/>
    <n v="23.422780881440101"/>
  </r>
  <r>
    <x v="217"/>
    <s v="CMP202608038"/>
    <s v="CUST101098"/>
    <x v="1"/>
    <s v="Amber"/>
    <x v="0"/>
    <s v="South"/>
    <s v="35-44"/>
    <n v="947"/>
    <n v="875"/>
    <n v="857"/>
    <n v="22"/>
    <n v="8"/>
    <n v="0"/>
    <n v="173.27"/>
    <x v="0"/>
    <n v="0.97942857142857143"/>
    <n v="2.5670945157526253E-2"/>
    <n v="0.36363636363636365"/>
    <n v="0"/>
    <n v="0"/>
    <n v="21.658750000000001"/>
    <n v="7.875909090909091"/>
    <n v="-1"/>
  </r>
  <r>
    <x v="217"/>
    <s v="CMP202608043"/>
    <s v="CUST100328"/>
    <x v="2"/>
    <s v="Green"/>
    <x v="0"/>
    <s v="Central"/>
    <s v="18-24"/>
    <n v="4924"/>
    <n v="4297"/>
    <n v="4053"/>
    <n v="227"/>
    <n v="109"/>
    <n v="7"/>
    <n v="339.99"/>
    <x v="1021"/>
    <n v="0.94321619734698625"/>
    <n v="5.6007895386133731E-2"/>
    <n v="0.48017621145374451"/>
    <n v="6.4220183486238536E-2"/>
    <n v="1.7271157167530224E-3"/>
    <n v="3.1191743119266055"/>
    <n v="1.4977533039647577"/>
    <n v="18.518485837818758"/>
  </r>
  <r>
    <x v="217"/>
    <s v="CMP202608052"/>
    <s v="CUST101096"/>
    <x v="0"/>
    <s v="Amber"/>
    <x v="0"/>
    <s v="North"/>
    <s v="45-54"/>
    <n v="601"/>
    <n v="436"/>
    <n v="391"/>
    <n v="19"/>
    <n v="8"/>
    <n v="0"/>
    <n v="52.04"/>
    <x v="0"/>
    <n v="0.89678899082568808"/>
    <n v="4.859335038363171E-2"/>
    <n v="0.42105263157894735"/>
    <n v="0"/>
    <n v="0"/>
    <n v="6.5049999999999999"/>
    <n v="2.7389473684210528"/>
    <n v="-1"/>
  </r>
  <r>
    <x v="217"/>
    <s v="CMP202608062"/>
    <s v="CUST100719"/>
    <x v="2"/>
    <s v="Green"/>
    <x v="0"/>
    <s v="Central"/>
    <s v="35-44"/>
    <n v="4342"/>
    <n v="3523"/>
    <n v="3287"/>
    <n v="229"/>
    <n v="88"/>
    <n v="7"/>
    <n v="313.52"/>
    <x v="1022"/>
    <n v="0.93301163780868579"/>
    <n v="6.9668390629753579E-2"/>
    <n v="0.38427947598253276"/>
    <n v="7.9545454545454544E-2"/>
    <n v="2.1296014602981443E-3"/>
    <n v="3.5627272727272725"/>
    <n v="1.3690829694323143"/>
    <n v="17.979873692268434"/>
  </r>
  <r>
    <x v="217"/>
    <s v="CMP202608063"/>
    <s v="CUST101361"/>
    <x v="3"/>
    <s v="Green"/>
    <x v="1"/>
    <s v="North"/>
    <s v="18-24"/>
    <n v="2448"/>
    <n v="1862"/>
    <n v="1692"/>
    <n v="178"/>
    <n v="112"/>
    <n v="10"/>
    <n v="248.58"/>
    <x v="1023"/>
    <n v="0.90870032223415687"/>
    <n v="0.10520094562647754"/>
    <n v="0.6292134831460674"/>
    <n v="8.9285714285714288E-2"/>
    <n v="5.9101654846335696E-3"/>
    <n v="2.2194642857142859"/>
    <n v="1.3965168539325843"/>
    <n v="54.044251347654672"/>
  </r>
  <r>
    <x v="217"/>
    <s v="CMP202608069"/>
    <s v="CUST100900"/>
    <x v="0"/>
    <s v="Amber"/>
    <x v="0"/>
    <s v="North"/>
    <s v="35-44"/>
    <n v="1235"/>
    <n v="1136"/>
    <n v="1057"/>
    <n v="55"/>
    <n v="27"/>
    <n v="1"/>
    <n v="148.6"/>
    <x v="1024"/>
    <n v="0.93045774647887325"/>
    <n v="5.2034058656575212E-2"/>
    <n v="0.49090909090909091"/>
    <n v="3.7037037037037035E-2"/>
    <n v="9.4607379375591296E-4"/>
    <n v="5.5037037037037031"/>
    <n v="2.7018181818181817"/>
    <n v="6.3901749663526246"/>
  </r>
  <r>
    <x v="217"/>
    <s v="CMP202608074"/>
    <s v="CUST100983"/>
    <x v="2"/>
    <s v="Red Saleable"/>
    <x v="0"/>
    <s v="West"/>
    <s v="45-54"/>
    <n v="4723"/>
    <n v="4662"/>
    <n v="4459"/>
    <n v="137"/>
    <n v="65"/>
    <n v="2"/>
    <n v="402.84"/>
    <x v="1025"/>
    <n v="0.95645645645645649"/>
    <n v="3.0724377663153172E-2"/>
    <n v="0.47445255474452552"/>
    <n v="3.0769230769230771E-2"/>
    <n v="4.4853106077595876E-4"/>
    <n v="6.1975384615384614"/>
    <n v="2.9404379562043794"/>
    <n v="2.9926273458445047"/>
  </r>
  <r>
    <x v="218"/>
    <s v="CMP202608009"/>
    <s v="CUST101377"/>
    <x v="0"/>
    <s v="Amber"/>
    <x v="1"/>
    <s v="North"/>
    <s v="35-44"/>
    <n v="2723"/>
    <n v="2088"/>
    <n v="1895"/>
    <n v="171"/>
    <n v="115"/>
    <n v="8"/>
    <n v="248.79"/>
    <x v="1026"/>
    <n v="0.90756704980842917"/>
    <n v="9.0237467018469658E-2"/>
    <n v="0.67251461988304095"/>
    <n v="6.9565217391304349E-2"/>
    <n v="4.221635883905013E-3"/>
    <n v="2.1633913043478259"/>
    <n v="1.4549122807017543"/>
    <n v="28.045379637445237"/>
  </r>
  <r>
    <x v="218"/>
    <s v="CMP202608020"/>
    <s v="CUST101357"/>
    <x v="2"/>
    <s v="Green"/>
    <x v="1"/>
    <s v="East"/>
    <s v="55+"/>
    <n v="4070"/>
    <n v="3621"/>
    <n v="3335"/>
    <n v="296"/>
    <n v="179"/>
    <n v="17"/>
    <n v="290.52999999999997"/>
    <x v="1027"/>
    <n v="0.9210162938414802"/>
    <n v="8.875562218890555E-2"/>
    <n v="0.60472972972972971"/>
    <n v="9.4972067039106142E-2"/>
    <n v="5.0974512743628183E-3"/>
    <n v="1.6230726256983239"/>
    <n v="0.98152027027027022"/>
    <n v="62.174508656593133"/>
  </r>
  <r>
    <x v="218"/>
    <s v="CMP202608023"/>
    <s v="CUST101375"/>
    <x v="1"/>
    <s v="Amber"/>
    <x v="1"/>
    <s v="North"/>
    <s v="45-54"/>
    <n v="4551"/>
    <n v="4288"/>
    <n v="4200"/>
    <n v="272"/>
    <n v="119"/>
    <n v="10"/>
    <n v="753.84"/>
    <x v="1028"/>
    <n v="0.97947761194029848"/>
    <n v="6.4761904761904757E-2"/>
    <n v="0.4375"/>
    <n v="8.4033613445378158E-2"/>
    <n v="2.3809523809523812E-3"/>
    <n v="6.334789915966387"/>
    <n v="2.7714705882352941"/>
    <n v="11.914265626658178"/>
  </r>
  <r>
    <x v="218"/>
    <s v="CMP202608025"/>
    <s v="CUST100406"/>
    <x v="3"/>
    <s v="Red Saleable"/>
    <x v="0"/>
    <s v="East"/>
    <s v="25-34"/>
    <n v="4839"/>
    <n v="4770"/>
    <n v="4373"/>
    <n v="143"/>
    <n v="53"/>
    <n v="2"/>
    <n v="616.98"/>
    <x v="1029"/>
    <n v="0.91677148846960166"/>
    <n v="3.2700663160301853E-2"/>
    <n v="0.37062937062937062"/>
    <n v="3.7735849056603772E-2"/>
    <n v="4.5735193231191402E-4"/>
    <n v="11.641132075471699"/>
    <n v="4.3145454545454545"/>
    <n v="1.9450387370741351"/>
  </r>
  <r>
    <x v="218"/>
    <s v="CMP202608027"/>
    <s v="CUST101352"/>
    <x v="1"/>
    <s v="Amber"/>
    <x v="1"/>
    <s v="Central"/>
    <s v="45-54"/>
    <n v="2071"/>
    <n v="1991"/>
    <n v="1946"/>
    <n v="103"/>
    <n v="46"/>
    <n v="4"/>
    <n v="333.23"/>
    <x v="1030"/>
    <n v="0.97739829231541941"/>
    <n v="5.2929085303186026E-2"/>
    <n v="0.44660194174757284"/>
    <n v="8.6956521739130432E-2"/>
    <n v="2.0554984583761563E-3"/>
    <n v="7.2441304347826092"/>
    <n v="3.2352427184466022"/>
    <n v="8.1529574167992074"/>
  </r>
  <r>
    <x v="218"/>
    <s v="CMP202608029"/>
    <s v="CUST100888"/>
    <x v="1"/>
    <s v="Red Non-Saleable"/>
    <x v="0"/>
    <s v="East"/>
    <s v="25-34"/>
    <n v="4160"/>
    <n v="3269"/>
    <n v="3190"/>
    <n v="61"/>
    <n v="20"/>
    <n v="1"/>
    <n v="535.12"/>
    <x v="1031"/>
    <n v="0.97583358825328848"/>
    <n v="1.9122257053291535E-2"/>
    <n v="0.32786885245901637"/>
    <n v="0.05"/>
    <n v="3.1347962382445143E-4"/>
    <n v="26.756"/>
    <n v="8.7724590163934426"/>
    <n v="0.83297204365375987"/>
  </r>
  <r>
    <x v="218"/>
    <s v="CMP202608045"/>
    <s v="CUST100566"/>
    <x v="1"/>
    <s v="Green"/>
    <x v="1"/>
    <s v="South"/>
    <s v="45-54"/>
    <n v="2124"/>
    <n v="1879"/>
    <n v="1774"/>
    <n v="109"/>
    <n v="57"/>
    <n v="5"/>
    <n v="362.8"/>
    <x v="1032"/>
    <n v="0.94411921234699303"/>
    <n v="6.144306651634724E-2"/>
    <n v="0.52293577981651373"/>
    <n v="8.771929824561403E-2"/>
    <n v="2.8184892897406989E-3"/>
    <n v="6.3649122807017546"/>
    <n v="3.3284403669724774"/>
    <n v="19.580319735391399"/>
  </r>
  <r>
    <x v="218"/>
    <s v="CMP202608046"/>
    <s v="CUST101064"/>
    <x v="2"/>
    <s v="Green"/>
    <x v="0"/>
    <s v="Central"/>
    <s v="55+"/>
    <n v="4071"/>
    <n v="3419"/>
    <n v="3218"/>
    <n v="190"/>
    <n v="76"/>
    <n v="5"/>
    <n v="326.48"/>
    <x v="1033"/>
    <n v="0.9412108803743785"/>
    <n v="5.9042883778744559E-2"/>
    <n v="0.4"/>
    <n v="6.5789473684210523E-2"/>
    <n v="1.5537600994406464E-3"/>
    <n v="4.295789473684211"/>
    <n v="1.7183157894736842"/>
    <n v="15.223045822102426"/>
  </r>
  <r>
    <x v="218"/>
    <s v="CMP202608048"/>
    <s v="CUST100830"/>
    <x v="2"/>
    <s v="Amber"/>
    <x v="0"/>
    <s v="South"/>
    <s v="25-34"/>
    <n v="1613"/>
    <n v="1552"/>
    <n v="1481"/>
    <n v="91"/>
    <n v="40"/>
    <n v="2"/>
    <n v="129.5"/>
    <x v="1034"/>
    <n v="0.95425257731958768"/>
    <n v="6.1444969615124918E-2"/>
    <n v="0.43956043956043955"/>
    <n v="0.05"/>
    <n v="1.3504388926401081E-3"/>
    <n v="3.2374999999999998"/>
    <n v="1.4230769230769231"/>
    <n v="14.61984555984556"/>
  </r>
  <r>
    <x v="218"/>
    <s v="CMP202608059"/>
    <s v="CUST100245"/>
    <x v="2"/>
    <s v="Green"/>
    <x v="0"/>
    <s v="Central"/>
    <s v="55+"/>
    <n v="1920"/>
    <n v="1798"/>
    <n v="1713"/>
    <n v="136"/>
    <n v="62"/>
    <n v="5"/>
    <n v="157.71"/>
    <x v="1035"/>
    <n v="0.95272525027808674"/>
    <n v="7.9392877991827204E-2"/>
    <n v="0.45588235294117646"/>
    <n v="8.0645161290322578E-2"/>
    <n v="2.918855808523059E-3"/>
    <n v="2.5437096774193551"/>
    <n v="1.1596323529411765"/>
    <n v="48.645361739902349"/>
  </r>
  <r>
    <x v="219"/>
    <s v="CMP202608004"/>
    <s v="CUST100793"/>
    <x v="0"/>
    <s v="Amber"/>
    <x v="1"/>
    <s v="Central"/>
    <s v="35-44"/>
    <n v="4330"/>
    <n v="3180"/>
    <n v="2872"/>
    <n v="218"/>
    <n v="141"/>
    <n v="7"/>
    <n v="400.45"/>
    <x v="1036"/>
    <n v="0.90314465408805034"/>
    <n v="7.5905292479108641E-2"/>
    <n v="0.64678899082568808"/>
    <n v="4.9645390070921988E-2"/>
    <n v="2.4373259052924792E-3"/>
    <n v="2.8400709219858156"/>
    <n v="1.8369266055045872"/>
    <n v="14.61792982894244"/>
  </r>
  <r>
    <x v="219"/>
    <s v="CMP202608012"/>
    <s v="CUST100167"/>
    <x v="2"/>
    <s v="Red Saleable"/>
    <x v="0"/>
    <s v="South"/>
    <s v="35-44"/>
    <n v="2594"/>
    <n v="2240"/>
    <n v="2113"/>
    <n v="66"/>
    <n v="23"/>
    <n v="1"/>
    <n v="183.14"/>
    <x v="1037"/>
    <n v="0.94330357142857146"/>
    <n v="3.1235210601041175E-2"/>
    <n v="0.34848484848484851"/>
    <n v="4.3478260869565216E-2"/>
    <n v="4.7326076668244201E-4"/>
    <n v="7.9626086956521736"/>
    <n v="2.7748484848484845"/>
    <n v="4.8313858250518731"/>
  </r>
  <r>
    <x v="219"/>
    <s v="CMP202608057"/>
    <s v="CUST100059"/>
    <x v="3"/>
    <s v="Red Non-Saleable"/>
    <x v="0"/>
    <s v="West"/>
    <s v="35-44"/>
    <n v="727"/>
    <n v="545"/>
    <n v="503"/>
    <n v="11"/>
    <n v="4"/>
    <n v="0"/>
    <n v="72.33"/>
    <x v="0"/>
    <n v="0.92293577981651376"/>
    <n v="2.186878727634195E-2"/>
    <n v="0.36363636363636365"/>
    <n v="0"/>
    <n v="0"/>
    <n v="18.0825"/>
    <n v="6.5754545454545452"/>
    <n v="-1"/>
  </r>
  <r>
    <x v="219"/>
    <s v="CMP202608058"/>
    <s v="CUST101493"/>
    <x v="2"/>
    <s v="Green"/>
    <x v="0"/>
    <s v="West"/>
    <s v="25-34"/>
    <n v="484"/>
    <n v="363"/>
    <n v="342"/>
    <n v="24"/>
    <n v="11"/>
    <n v="1"/>
    <n v="26.02"/>
    <x v="1038"/>
    <n v="0.94214876033057848"/>
    <n v="7.0175438596491224E-2"/>
    <n v="0.45833333333333331"/>
    <n v="9.0909090909090912E-2"/>
    <n v="2.9239766081871343E-3"/>
    <n v="2.3654545454545453"/>
    <n v="1.0841666666666667"/>
    <n v="60.990007686395082"/>
  </r>
  <r>
    <x v="219"/>
    <s v="CMP202608062"/>
    <s v="CUST101077"/>
    <x v="1"/>
    <s v="Amber"/>
    <x v="0"/>
    <s v="East"/>
    <s v="35-44"/>
    <n v="502"/>
    <n v="452"/>
    <n v="434"/>
    <n v="13"/>
    <n v="5"/>
    <n v="0"/>
    <n v="91.9"/>
    <x v="0"/>
    <n v="0.96017699115044253"/>
    <n v="2.9953917050691243E-2"/>
    <n v="0.38461538461538464"/>
    <n v="0"/>
    <n v="0"/>
    <n v="18.380000000000003"/>
    <n v="7.0692307692307699"/>
    <n v="-1"/>
  </r>
  <r>
    <x v="220"/>
    <s v="CMP202608015"/>
    <s v="CUST100853"/>
    <x v="2"/>
    <s v="Green"/>
    <x v="0"/>
    <s v="North"/>
    <s v="45-54"/>
    <n v="468"/>
    <n v="455"/>
    <n v="430"/>
    <n v="31"/>
    <n v="14"/>
    <n v="1"/>
    <n v="34.840000000000003"/>
    <x v="1039"/>
    <n v="0.94505494505494503"/>
    <n v="7.2093023255813959E-2"/>
    <n v="0.45161290322580644"/>
    <n v="7.1428571428571425E-2"/>
    <n v="2.3255813953488372E-3"/>
    <n v="2.4885714285714289"/>
    <n v="1.1238709677419356"/>
    <n v="25.496842709529272"/>
  </r>
  <r>
    <x v="220"/>
    <s v="CMP202608018"/>
    <s v="CUST100486"/>
    <x v="3"/>
    <s v="Green"/>
    <x v="1"/>
    <s v="West"/>
    <s v="18-24"/>
    <n v="4086"/>
    <n v="2995"/>
    <n v="2695"/>
    <n v="285"/>
    <n v="204"/>
    <n v="17"/>
    <n v="518.47"/>
    <x v="1040"/>
    <n v="0.89983305509181966"/>
    <n v="0.10575139146567718"/>
    <n v="0.71578947368421053"/>
    <n v="8.3333333333333329E-2"/>
    <n v="6.3079777365491647E-3"/>
    <n v="2.5415196078431372"/>
    <n v="1.8191929824561404"/>
    <n v="45.781356684089722"/>
  </r>
  <r>
    <x v="220"/>
    <s v="CMP202608030"/>
    <s v="CUST101015"/>
    <x v="3"/>
    <s v="Red Saleable"/>
    <x v="0"/>
    <s v="Central"/>
    <s v="25-34"/>
    <n v="4513"/>
    <n v="3850"/>
    <n v="3542"/>
    <n v="170"/>
    <n v="77"/>
    <n v="4"/>
    <n v="561.59"/>
    <x v="1041"/>
    <n v="0.92"/>
    <n v="4.7995482778091472E-2"/>
    <n v="0.45294117647058824"/>
    <n v="5.1948051948051951E-2"/>
    <n v="1.129305477131564E-3"/>
    <n v="7.2933766233766235"/>
    <n v="3.3034705882352942"/>
    <n v="9.317811926850549"/>
  </r>
  <r>
    <x v="220"/>
    <s v="CMP202608036"/>
    <s v="CUST100665"/>
    <x v="1"/>
    <s v="Red Non-Saleable"/>
    <x v="0"/>
    <s v="South"/>
    <s v="35-44"/>
    <n v="2692"/>
    <n v="2639"/>
    <n v="2545"/>
    <n v="28"/>
    <n v="11"/>
    <n v="0"/>
    <n v="500.17"/>
    <x v="0"/>
    <n v="0.96438044713906779"/>
    <n v="1.100196463654224E-2"/>
    <n v="0.39285714285714285"/>
    <n v="0"/>
    <n v="0"/>
    <n v="45.47"/>
    <n v="17.863214285714285"/>
    <n v="-1"/>
  </r>
  <r>
    <x v="220"/>
    <s v="CMP202608037"/>
    <s v="CUST100535"/>
    <x v="1"/>
    <s v="Red Saleable"/>
    <x v="1"/>
    <s v="West"/>
    <s v="35-44"/>
    <n v="4420"/>
    <n v="3382"/>
    <n v="3249"/>
    <n v="135"/>
    <n v="72"/>
    <n v="4"/>
    <n v="668.55"/>
    <x v="1042"/>
    <n v="0.9606741573033708"/>
    <n v="4.1551246537396121E-2"/>
    <n v="0.53333333333333333"/>
    <n v="5.5555555555555552E-2"/>
    <n v="1.2311480455524776E-3"/>
    <n v="9.2854166666666664"/>
    <n v="4.9522222222222219"/>
    <n v="4.2357639667938072"/>
  </r>
  <r>
    <x v="220"/>
    <s v="CMP202608041"/>
    <s v="CUST100321"/>
    <x v="3"/>
    <s v="Red Non-Saleable"/>
    <x v="0"/>
    <s v="North"/>
    <s v="25-34"/>
    <n v="2559"/>
    <n v="2350"/>
    <n v="2218"/>
    <n v="47"/>
    <n v="23"/>
    <n v="0"/>
    <n v="334.62"/>
    <x v="0"/>
    <n v="0.94382978723404254"/>
    <n v="2.1190261496844005E-2"/>
    <n v="0.48936170212765956"/>
    <n v="0"/>
    <n v="0"/>
    <n v="14.548695652173913"/>
    <n v="7.1195744680851067"/>
    <n v="-1"/>
  </r>
  <r>
    <x v="220"/>
    <s v="CMP202608046"/>
    <s v="CUST100193"/>
    <x v="2"/>
    <s v="Green"/>
    <x v="0"/>
    <s v="East"/>
    <s v="18-24"/>
    <n v="4970"/>
    <n v="3674"/>
    <n v="3454"/>
    <n v="253"/>
    <n v="130"/>
    <n v="8"/>
    <n v="335.82"/>
    <x v="1043"/>
    <n v="0.94011976047904189"/>
    <n v="7.32484076433121E-2"/>
    <n v="0.51383399209486169"/>
    <n v="6.1538461538461542E-2"/>
    <n v="2.3161551823972205E-3"/>
    <n v="2.5832307692307692"/>
    <n v="1.3273517786561264"/>
    <n v="23.433178488475971"/>
  </r>
  <r>
    <x v="220"/>
    <s v="CMP202608064"/>
    <s v="CUST100536"/>
    <x v="1"/>
    <s v="Amber"/>
    <x v="0"/>
    <s v="North"/>
    <s v="55+"/>
    <n v="4332"/>
    <n v="3669"/>
    <n v="3550"/>
    <n v="139"/>
    <n v="46"/>
    <n v="3"/>
    <n v="624.69000000000005"/>
    <x v="1044"/>
    <n v="0.96756609430362495"/>
    <n v="3.9154929577464789E-2"/>
    <n v="0.33093525179856115"/>
    <n v="6.5217391304347824E-2"/>
    <n v="8.4507042253521131E-4"/>
    <n v="13.580217391304348"/>
    <n v="4.494172661870504"/>
    <n v="3.331140245561798"/>
  </r>
  <r>
    <x v="220"/>
    <s v="CMP202608067"/>
    <s v="CUST100579"/>
    <x v="2"/>
    <s v="Amber"/>
    <x v="0"/>
    <s v="West"/>
    <s v="25-34"/>
    <n v="1054"/>
    <n v="1021"/>
    <n v="940"/>
    <n v="35"/>
    <n v="18"/>
    <n v="0"/>
    <n v="85.25"/>
    <x v="0"/>
    <n v="0.92066601371204704"/>
    <n v="3.7234042553191488E-2"/>
    <n v="0.51428571428571423"/>
    <n v="0"/>
    <n v="0"/>
    <n v="4.7361111111111107"/>
    <n v="2.4357142857142855"/>
    <n v="-1"/>
  </r>
  <r>
    <x v="221"/>
    <s v="CMP202608002"/>
    <s v="CUST100225"/>
    <x v="3"/>
    <s v="Amber"/>
    <x v="0"/>
    <s v="North"/>
    <s v="45-54"/>
    <n v="770"/>
    <n v="732"/>
    <n v="693"/>
    <n v="40"/>
    <n v="21"/>
    <n v="1"/>
    <n v="103.48"/>
    <x v="1045"/>
    <n v="0.94672131147540983"/>
    <n v="5.772005772005772E-2"/>
    <n v="0.52500000000000002"/>
    <n v="4.7619047619047616E-2"/>
    <n v="1.443001443001443E-3"/>
    <n v="4.9276190476190482"/>
    <n v="2.5870000000000002"/>
    <n v="12.54126401236954"/>
  </r>
  <r>
    <x v="221"/>
    <s v="CMP202608021"/>
    <s v="CUST100226"/>
    <x v="2"/>
    <s v="Amber"/>
    <x v="1"/>
    <s v="North"/>
    <s v="55+"/>
    <n v="1322"/>
    <n v="1172"/>
    <n v="1117"/>
    <n v="66"/>
    <n v="40"/>
    <n v="3"/>
    <n v="104.66"/>
    <x v="1046"/>
    <n v="0.95307167235494883"/>
    <n v="5.908683974932856E-2"/>
    <n v="0.60606060606060608"/>
    <n v="7.4999999999999997E-2"/>
    <n v="2.6857654431512983E-3"/>
    <n v="2.6164999999999998"/>
    <n v="1.5857575757575757"/>
    <n v="23.771450410854197"/>
  </r>
  <r>
    <x v="221"/>
    <s v="CMP202608024"/>
    <s v="CUST100288"/>
    <x v="0"/>
    <s v="Green"/>
    <x v="0"/>
    <s v="West"/>
    <s v="45-54"/>
    <n v="1155"/>
    <n v="857"/>
    <n v="791"/>
    <n v="62"/>
    <n v="26"/>
    <n v="2"/>
    <n v="92.58"/>
    <x v="1047"/>
    <n v="0.92298716452742124"/>
    <n v="7.8381795195954493E-2"/>
    <n v="0.41935483870967744"/>
    <n v="7.6923076923076927E-2"/>
    <n v="2.5284450063211127E-3"/>
    <n v="3.5607692307692309"/>
    <n v="1.4932258064516128"/>
    <n v="17.658349535536836"/>
  </r>
  <r>
    <x v="221"/>
    <s v="CMP202608027"/>
    <s v="CUST100051"/>
    <x v="3"/>
    <s v="Red Saleable"/>
    <x v="0"/>
    <s v="South"/>
    <s v="45-54"/>
    <n v="3045"/>
    <n v="2801"/>
    <n v="2674"/>
    <n v="98"/>
    <n v="46"/>
    <n v="1"/>
    <n v="412.83"/>
    <x v="1048"/>
    <n v="0.95465905033916454"/>
    <n v="3.6649214659685861E-2"/>
    <n v="0.46938775510204084"/>
    <n v="2.1739130434782608E-2"/>
    <n v="3.7397157816005983E-4"/>
    <n v="8.9745652173913033"/>
    <n v="4.2125510204081635"/>
    <n v="1.460092532034978"/>
  </r>
  <r>
    <x v="221"/>
    <s v="CMP202608045"/>
    <s v="CUST101236"/>
    <x v="0"/>
    <s v="Amber"/>
    <x v="1"/>
    <s v="West"/>
    <s v="25-34"/>
    <n v="1188"/>
    <n v="1119"/>
    <n v="1006"/>
    <n v="76"/>
    <n v="50"/>
    <n v="3"/>
    <n v="161.02000000000001"/>
    <x v="1049"/>
    <n v="0.89901697944593384"/>
    <n v="7.5546719681908542E-2"/>
    <n v="0.65789473684210531"/>
    <n v="0.06"/>
    <n v="2.982107355864811E-3"/>
    <n v="3.2204000000000002"/>
    <n v="2.1186842105263159"/>
    <n v="22.803130045957023"/>
  </r>
  <r>
    <x v="221"/>
    <s v="CMP202608068"/>
    <s v="CUST100881"/>
    <x v="2"/>
    <s v="Green"/>
    <x v="1"/>
    <s v="Central"/>
    <s v="35-44"/>
    <n v="506"/>
    <n v="374"/>
    <n v="347"/>
    <n v="32"/>
    <n v="19"/>
    <n v="2"/>
    <n v="35.32"/>
    <x v="1050"/>
    <n v="0.92780748663101609"/>
    <n v="9.2219020172910657E-2"/>
    <n v="0.59375"/>
    <n v="0.10526315789473684"/>
    <n v="5.763688760806916E-3"/>
    <n v="1.8589473684210527"/>
    <n v="1.10375"/>
    <n v="76.986976217440542"/>
  </r>
  <r>
    <x v="222"/>
    <s v="CMP202608004"/>
    <s v="CUST100508"/>
    <x v="2"/>
    <s v="Red Saleable"/>
    <x v="0"/>
    <s v="North"/>
    <s v="35-44"/>
    <n v="4463"/>
    <n v="3650"/>
    <n v="3387"/>
    <n v="74"/>
    <n v="37"/>
    <n v="1"/>
    <n v="276.27999999999997"/>
    <x v="1051"/>
    <n v="0.92794520547945203"/>
    <n v="2.1848243283141423E-2"/>
    <n v="0.5"/>
    <n v="2.7027027027027029E-2"/>
    <n v="2.9524653085326248E-4"/>
    <n v="7.4670270270270267"/>
    <n v="3.7335135135135133"/>
    <n v="3.4756044592442454"/>
  </r>
  <r>
    <x v="222"/>
    <s v="CMP202608007"/>
    <s v="CUST101403"/>
    <x v="3"/>
    <s v="Red Non-Saleable"/>
    <x v="1"/>
    <s v="East"/>
    <s v="35-44"/>
    <n v="4952"/>
    <n v="3609"/>
    <n v="3298"/>
    <n v="74"/>
    <n v="46"/>
    <n v="2"/>
    <n v="594.89"/>
    <x v="1052"/>
    <n v="0.91382654474923797"/>
    <n v="2.2437841115827774E-2"/>
    <n v="0.6216216216216216"/>
    <n v="4.3478260869565216E-2"/>
    <n v="6.0642813826561554E-4"/>
    <n v="12.932391304347826"/>
    <n v="8.0390540540540538"/>
    <n v="2.145169695237775"/>
  </r>
  <r>
    <x v="222"/>
    <s v="CMP202608011"/>
    <s v="CUST101373"/>
    <x v="3"/>
    <s v="Red Non-Saleable"/>
    <x v="0"/>
    <s v="South"/>
    <s v="35-44"/>
    <n v="2478"/>
    <n v="2462"/>
    <n v="2229"/>
    <n v="39"/>
    <n v="15"/>
    <n v="1"/>
    <n v="340.52"/>
    <x v="1053"/>
    <n v="0.90536149471974003"/>
    <n v="1.7496635262449527E-2"/>
    <n v="0.38461538461538464"/>
    <n v="6.6666666666666666E-2"/>
    <n v="4.4863167339614175E-4"/>
    <n v="22.701333333333331"/>
    <n v="8.7312820512820508"/>
    <n v="1.5557089157758723"/>
  </r>
  <r>
    <x v="222"/>
    <s v="CMP202608014"/>
    <s v="CUST100278"/>
    <x v="2"/>
    <s v="Red Saleable"/>
    <x v="1"/>
    <s v="Central"/>
    <s v="45-54"/>
    <n v="3872"/>
    <n v="3689"/>
    <n v="3480"/>
    <n v="183"/>
    <n v="103"/>
    <n v="4"/>
    <n v="326.14999999999998"/>
    <x v="1054"/>
    <n v="0.94334507996747086"/>
    <n v="5.2586206896551725E-2"/>
    <n v="0.56284153005464477"/>
    <n v="3.8834951456310676E-2"/>
    <n v="1.1494252873563218E-3"/>
    <n v="3.1665048543689318"/>
    <n v="1.7822404371584699"/>
    <n v="15.872788594205124"/>
  </r>
  <r>
    <x v="222"/>
    <s v="CMP202608018"/>
    <s v="CUST100862"/>
    <x v="0"/>
    <s v="Green"/>
    <x v="0"/>
    <s v="Central"/>
    <s v="55+"/>
    <n v="1961"/>
    <n v="1632"/>
    <n v="1522"/>
    <n v="120"/>
    <n v="54"/>
    <n v="3"/>
    <n v="206.56"/>
    <x v="1055"/>
    <n v="0.93259803921568629"/>
    <n v="7.8843626806833114E-2"/>
    <n v="0.45"/>
    <n v="5.5555555555555552E-2"/>
    <n v="1.9710906701708277E-3"/>
    <n v="3.8251851851851852"/>
    <n v="1.7213333333333334"/>
    <n v="18.229618512780792"/>
  </r>
  <r>
    <x v="222"/>
    <s v="CMP202608033"/>
    <s v="CUST101013"/>
    <x v="2"/>
    <s v="Red Saleable"/>
    <x v="0"/>
    <s v="South"/>
    <s v="25-34"/>
    <n v="4887"/>
    <n v="4014"/>
    <n v="3853"/>
    <n v="170"/>
    <n v="62"/>
    <n v="2"/>
    <n v="377.9"/>
    <x v="1056"/>
    <n v="0.95989038365719981"/>
    <n v="4.4121463794445884E-2"/>
    <n v="0.36470588235294116"/>
    <n v="3.2258064516129031E-2"/>
    <n v="5.1907604464053979E-4"/>
    <n v="6.0951612903225802"/>
    <n v="2.222941176470588"/>
    <n v="5.7847843344800207"/>
  </r>
  <r>
    <x v="222"/>
    <s v="CMP202608034"/>
    <s v="CUST101023"/>
    <x v="0"/>
    <s v="Green"/>
    <x v="0"/>
    <s v="Central"/>
    <s v="35-44"/>
    <n v="4890"/>
    <n v="4260"/>
    <n v="3891"/>
    <n v="290"/>
    <n v="139"/>
    <n v="5"/>
    <n v="608.84"/>
    <x v="1057"/>
    <n v="0.91338028169014085"/>
    <n v="7.4530968902595737E-2"/>
    <n v="0.47931034482758622"/>
    <n v="3.5971223021582732E-2"/>
    <n v="1.2850167052171678E-3"/>
    <n v="4.3801438848920862"/>
    <n v="2.0994482758620689"/>
    <n v="7.5125156034426119"/>
  </r>
  <r>
    <x v="222"/>
    <s v="CMP202608036"/>
    <s v="CUST100409"/>
    <x v="2"/>
    <s v="Green"/>
    <x v="0"/>
    <s v="North"/>
    <s v="55+"/>
    <n v="4330"/>
    <n v="3574"/>
    <n v="3364"/>
    <n v="249"/>
    <n v="124"/>
    <n v="7"/>
    <n v="308.97000000000003"/>
    <x v="1058"/>
    <n v="0.9412423055400112"/>
    <n v="7.4019024970273489E-2"/>
    <n v="0.49799196787148592"/>
    <n v="5.6451612903225805E-2"/>
    <n v="2.0808561236623068E-3"/>
    <n v="2.4916935483870968"/>
    <n v="1.2408433734939761"/>
    <n v="35.572450399715187"/>
  </r>
  <r>
    <x v="222"/>
    <s v="CMP202608043"/>
    <s v="CUST100352"/>
    <x v="0"/>
    <s v="Red Saleable"/>
    <x v="0"/>
    <s v="North"/>
    <s v="18-24"/>
    <n v="3551"/>
    <n v="3090"/>
    <n v="2791"/>
    <n v="148"/>
    <n v="73"/>
    <n v="3"/>
    <n v="376.89"/>
    <x v="1059"/>
    <n v="0.90323624595469254"/>
    <n v="5.3027588677893228E-2"/>
    <n v="0.49324324324324326"/>
    <n v="4.1095890410958902E-2"/>
    <n v="1.0748835542816195E-3"/>
    <n v="5.1628767123287673"/>
    <n v="2.5465540540540541"/>
    <n v="8.9939770224734019"/>
  </r>
  <r>
    <x v="223"/>
    <s v="CMP202608002"/>
    <s v="CUST101164"/>
    <x v="1"/>
    <s v="Amber"/>
    <x v="0"/>
    <s v="Central"/>
    <s v="45-54"/>
    <n v="2690"/>
    <n v="2244"/>
    <n v="2153"/>
    <n v="79"/>
    <n v="26"/>
    <n v="1"/>
    <n v="481.94"/>
    <x v="1060"/>
    <n v="0.95944741532976829"/>
    <n v="3.6692986530422668E-2"/>
    <n v="0.32911392405063289"/>
    <n v="3.8461538461538464E-2"/>
    <n v="4.6446818392940084E-4"/>
    <n v="18.536153846153844"/>
    <n v="6.1005063291139239"/>
    <n v="1.5173050587210026"/>
  </r>
  <r>
    <x v="223"/>
    <s v="CMP202608005"/>
    <s v="CUST101131"/>
    <x v="2"/>
    <s v="Green"/>
    <x v="0"/>
    <s v="West"/>
    <s v="35-44"/>
    <n v="4607"/>
    <n v="4342"/>
    <n v="4076"/>
    <n v="307"/>
    <n v="138"/>
    <n v="11"/>
    <n v="378.93"/>
    <x v="1061"/>
    <n v="0.93873790879778907"/>
    <n v="7.5318940137389601E-2"/>
    <n v="0.44951140065146578"/>
    <n v="7.9710144927536225E-2"/>
    <n v="2.6987242394504417E-3"/>
    <n v="2.7458695652173915"/>
    <n v="1.2342996742671011"/>
    <n v="45.597814899849581"/>
  </r>
  <r>
    <x v="223"/>
    <s v="CMP202608030"/>
    <s v="CUST100027"/>
    <x v="3"/>
    <s v="Amber"/>
    <x v="1"/>
    <s v="South"/>
    <s v="18-24"/>
    <n v="995"/>
    <n v="947"/>
    <n v="890"/>
    <n v="64"/>
    <n v="39"/>
    <n v="3"/>
    <n v="168"/>
    <x v="1062"/>
    <n v="0.93980992608236535"/>
    <n v="7.1910112359550568E-2"/>
    <n v="0.609375"/>
    <n v="7.6923076923076927E-2"/>
    <n v="3.3707865168539327E-3"/>
    <n v="4.3076923076923075"/>
    <n v="2.625"/>
    <n v="20.383035714285715"/>
  </r>
  <r>
    <x v="223"/>
    <s v="CMP202608034"/>
    <s v="CUST101400"/>
    <x v="0"/>
    <s v="Red Saleable"/>
    <x v="0"/>
    <s v="East"/>
    <s v="18-24"/>
    <n v="542"/>
    <n v="436"/>
    <n v="400"/>
    <n v="16"/>
    <n v="8"/>
    <n v="0"/>
    <n v="53.75"/>
    <x v="0"/>
    <n v="0.91743119266055051"/>
    <n v="0.04"/>
    <n v="0.5"/>
    <n v="0"/>
    <n v="0"/>
    <n v="6.71875"/>
    <n v="3.359375"/>
    <n v="-1"/>
  </r>
  <r>
    <x v="223"/>
    <s v="CMP202608038"/>
    <s v="CUST100186"/>
    <x v="0"/>
    <s v="Red Saleable"/>
    <x v="0"/>
    <s v="North"/>
    <s v="25-34"/>
    <n v="2749"/>
    <n v="2312"/>
    <n v="2055"/>
    <n v="76"/>
    <n v="37"/>
    <n v="2"/>
    <n v="329.1"/>
    <x v="1063"/>
    <n v="0.88884083044982698"/>
    <n v="3.6982968369829686E-2"/>
    <n v="0.48684210526315791"/>
    <n v="5.4054054054054057E-2"/>
    <n v="9.7323600973236014E-4"/>
    <n v="8.8945945945945954"/>
    <n v="4.3302631578947368"/>
    <n v="3.9075660893345487"/>
  </r>
  <r>
    <x v="223"/>
    <s v="CMP202608040"/>
    <s v="CUST100421"/>
    <x v="1"/>
    <s v="Red Saleable"/>
    <x v="0"/>
    <s v="Central"/>
    <s v="18-24"/>
    <n v="3341"/>
    <n v="2906"/>
    <n v="2779"/>
    <n v="57"/>
    <n v="19"/>
    <n v="1"/>
    <n v="567.66"/>
    <x v="1064"/>
    <n v="0.95629731589814182"/>
    <n v="2.0510975170924792E-2"/>
    <n v="0.33333333333333331"/>
    <n v="5.2631578947368418E-2"/>
    <n v="3.5984166966534722E-4"/>
    <n v="29.876842105263155"/>
    <n v="9.9589473684210521"/>
    <n v="1.1346052214353664"/>
  </r>
  <r>
    <x v="223"/>
    <s v="CMP202608049"/>
    <s v="CUST100164"/>
    <x v="0"/>
    <s v="Amber"/>
    <x v="0"/>
    <s v="Central"/>
    <s v="25-34"/>
    <n v="764"/>
    <n v="713"/>
    <n v="646"/>
    <n v="43"/>
    <n v="19"/>
    <n v="1"/>
    <n v="78.55"/>
    <x v="1065"/>
    <n v="0.90603085553997198"/>
    <n v="6.6563467492260067E-2"/>
    <n v="0.44186046511627908"/>
    <n v="5.2631578947368418E-2"/>
    <n v="1.5479876160990713E-3"/>
    <n v="4.1342105263157896"/>
    <n v="1.8267441860465115"/>
    <n v="7.8621260343730119"/>
  </r>
  <r>
    <x v="223"/>
    <s v="CMP202608051"/>
    <s v="CUST100546"/>
    <x v="2"/>
    <s v="Green"/>
    <x v="1"/>
    <s v="North"/>
    <s v="18-24"/>
    <n v="4941"/>
    <n v="4074"/>
    <n v="3803"/>
    <n v="362"/>
    <n v="216"/>
    <n v="19"/>
    <n v="338.51"/>
    <x v="1066"/>
    <n v="0.93348060873834071"/>
    <n v="9.5188009466210879E-2"/>
    <n v="0.59668508287292821"/>
    <n v="8.7962962962962965E-2"/>
    <n v="4.9960557454641072E-3"/>
    <n v="1.5671759259259259"/>
    <n v="0.935110497237569"/>
    <n v="58.766299370771925"/>
  </r>
  <r>
    <x v="223"/>
    <s v="CMP202608067"/>
    <s v="CUST100297"/>
    <x v="2"/>
    <s v="Amber"/>
    <x v="0"/>
    <s v="North"/>
    <s v="55+"/>
    <n v="3740"/>
    <n v="2870"/>
    <n v="2704"/>
    <n v="122"/>
    <n v="57"/>
    <n v="2"/>
    <n v="204.19"/>
    <x v="1067"/>
    <n v="0.94216027874564456"/>
    <n v="4.5118343195266274E-2"/>
    <n v="0.46721311475409838"/>
    <n v="3.5087719298245612E-2"/>
    <n v="7.3964497041420117E-4"/>
    <n v="3.5822807017543861"/>
    <n v="1.6736885245901638"/>
    <n v="7.9680199813898822"/>
  </r>
  <r>
    <x v="223"/>
    <s v="CMP202608076"/>
    <s v="CUST101315"/>
    <x v="1"/>
    <s v="Red Saleable"/>
    <x v="0"/>
    <s v="North"/>
    <s v="35-44"/>
    <n v="4613"/>
    <n v="3497"/>
    <n v="3305"/>
    <n v="49"/>
    <n v="16"/>
    <n v="0"/>
    <n v="560.79999999999995"/>
    <x v="0"/>
    <n v="0.94509579639691166"/>
    <n v="1.4826021180030256E-2"/>
    <n v="0.32653061224489793"/>
    <n v="0"/>
    <n v="0"/>
    <n v="35.049999999999997"/>
    <n v="11.444897959183672"/>
    <n v="-1"/>
  </r>
  <r>
    <x v="224"/>
    <s v="CMP202608010"/>
    <s v="CUST101477"/>
    <x v="3"/>
    <s v="Green"/>
    <x v="0"/>
    <s v="South"/>
    <s v="55+"/>
    <n v="3970"/>
    <n v="3657"/>
    <n v="3386"/>
    <n v="253"/>
    <n v="113"/>
    <n v="8"/>
    <n v="538.32000000000005"/>
    <x v="1068"/>
    <n v="0.92589554279464037"/>
    <n v="7.471943295924395E-2"/>
    <n v="0.44664031620553357"/>
    <n v="7.0796460176991149E-2"/>
    <n v="2.3626698168930892E-3"/>
    <n v="4.7638938053097348"/>
    <n v="2.1277470355731229"/>
    <n v="10.658065834447912"/>
  </r>
  <r>
    <x v="224"/>
    <s v="CMP202608012"/>
    <s v="CUST101282"/>
    <x v="1"/>
    <s v="Red Non-Saleable"/>
    <x v="0"/>
    <s v="Central"/>
    <s v="35-44"/>
    <n v="575"/>
    <n v="488"/>
    <n v="464"/>
    <n v="12"/>
    <n v="4"/>
    <n v="0"/>
    <n v="102.18"/>
    <x v="0"/>
    <n v="0.95081967213114749"/>
    <n v="2.5862068965517241E-2"/>
    <n v="0.33333333333333331"/>
    <n v="0"/>
    <n v="0"/>
    <n v="25.545000000000002"/>
    <n v="8.5150000000000006"/>
    <n v="-1"/>
  </r>
  <r>
    <x v="224"/>
    <s v="CMP202608018"/>
    <s v="CUST101176"/>
    <x v="1"/>
    <s v="Green"/>
    <x v="0"/>
    <s v="North"/>
    <s v="25-34"/>
    <n v="4385"/>
    <n v="3240"/>
    <n v="3111"/>
    <n v="195"/>
    <n v="68"/>
    <n v="4"/>
    <n v="645.17999999999995"/>
    <x v="1069"/>
    <n v="0.96018518518518514"/>
    <n v="6.2680810028929598E-2"/>
    <n v="0.3487179487179487"/>
    <n v="5.8823529411764705E-2"/>
    <n v="1.2857602057216328E-3"/>
    <n v="9.4879411764705868"/>
    <n v="3.3086153846153845"/>
    <n v="5.296754394122571"/>
  </r>
  <r>
    <x v="224"/>
    <s v="CMP202608025"/>
    <s v="CUST101251"/>
    <x v="2"/>
    <s v="Amber"/>
    <x v="0"/>
    <s v="Central"/>
    <s v="18-24"/>
    <n v="4677"/>
    <n v="4462"/>
    <n v="4222"/>
    <n v="205"/>
    <n v="88"/>
    <n v="3"/>
    <n v="345.53"/>
    <x v="1070"/>
    <n v="0.94621246077991927"/>
    <n v="4.8555187115111323E-2"/>
    <n v="0.42926829268292682"/>
    <n v="3.4090909090909088E-2"/>
    <n v="7.1056371387967791E-4"/>
    <n v="3.9264772727272725"/>
    <n v="1.6855121951219512"/>
    <n v="9.9195149480508213"/>
  </r>
  <r>
    <x v="224"/>
    <s v="CMP202608036"/>
    <s v="CUST100374"/>
    <x v="3"/>
    <s v="Red Non-Saleable"/>
    <x v="1"/>
    <s v="West"/>
    <s v="25-34"/>
    <n v="2570"/>
    <n v="2316"/>
    <n v="2166"/>
    <n v="38"/>
    <n v="22"/>
    <n v="0"/>
    <n v="339.34"/>
    <x v="0"/>
    <n v="0.93523316062176165"/>
    <n v="1.7543859649122806E-2"/>
    <n v="0.57894736842105265"/>
    <n v="0"/>
    <n v="0"/>
    <n v="15.424545454545454"/>
    <n v="8.93"/>
    <n v="-1"/>
  </r>
  <r>
    <x v="224"/>
    <s v="CMP202608046"/>
    <s v="CUST101072"/>
    <x v="1"/>
    <s v="Red Saleable"/>
    <x v="0"/>
    <s v="South"/>
    <s v="18-24"/>
    <n v="1528"/>
    <n v="1439"/>
    <n v="1423"/>
    <n v="34"/>
    <n v="13"/>
    <n v="0"/>
    <n v="293.51"/>
    <x v="0"/>
    <n v="0.98888116747741484"/>
    <n v="2.3893183415319746E-2"/>
    <n v="0.38235294117647056"/>
    <n v="0"/>
    <n v="0"/>
    <n v="22.577692307692306"/>
    <n v="8.6326470588235296"/>
    <n v="-1"/>
  </r>
  <r>
    <x v="224"/>
    <s v="CMP202608068"/>
    <s v="CUST101449"/>
    <x v="3"/>
    <s v="Green"/>
    <x v="0"/>
    <s v="Central"/>
    <s v="45-54"/>
    <n v="4720"/>
    <n v="3636"/>
    <n v="3317"/>
    <n v="223"/>
    <n v="105"/>
    <n v="7"/>
    <n v="520.28"/>
    <x v="1071"/>
    <n v="0.91226622662266221"/>
    <n v="6.7229424178474523E-2"/>
    <n v="0.47085201793721976"/>
    <n v="6.6666666666666666E-2"/>
    <n v="2.1103406692794696E-3"/>
    <n v="4.9550476190476189"/>
    <n v="2.3330941704035872"/>
    <n v="20.002268009533328"/>
  </r>
  <r>
    <x v="224"/>
    <s v="CMP202608071"/>
    <s v="CUST100834"/>
    <x v="0"/>
    <s v="Red Non-Saleable"/>
    <x v="0"/>
    <s v="North"/>
    <s v="55+"/>
    <n v="3619"/>
    <n v="3036"/>
    <n v="2700"/>
    <n v="19"/>
    <n v="9"/>
    <n v="0"/>
    <n v="374.83"/>
    <x v="0"/>
    <n v="0.88932806324110669"/>
    <n v="7.037037037037037E-3"/>
    <n v="0.47368421052631576"/>
    <n v="0"/>
    <n v="0"/>
    <n v="41.647777777777776"/>
    <n v="19.727894736842103"/>
    <n v="-1"/>
  </r>
  <r>
    <x v="224"/>
    <s v="CMP202608077"/>
    <s v="CUST100008"/>
    <x v="2"/>
    <s v="Red Saleable"/>
    <x v="0"/>
    <s v="South"/>
    <s v="35-44"/>
    <n v="1109"/>
    <n v="957"/>
    <n v="879"/>
    <n v="27"/>
    <n v="12"/>
    <n v="0"/>
    <n v="90.34"/>
    <x v="0"/>
    <n v="0.91849529780564265"/>
    <n v="3.0716723549488054E-2"/>
    <n v="0.44444444444444442"/>
    <n v="0"/>
    <n v="0"/>
    <n v="7.5283333333333333"/>
    <n v="3.345925925925926"/>
    <n v="-1"/>
  </r>
  <r>
    <x v="224"/>
    <s v="CMP202608078"/>
    <s v="CUST100618"/>
    <x v="0"/>
    <s v="Red Non-Saleable"/>
    <x v="0"/>
    <s v="West"/>
    <s v="18-24"/>
    <n v="2948"/>
    <n v="2256"/>
    <n v="2068"/>
    <n v="42"/>
    <n v="18"/>
    <n v="0"/>
    <n v="282.69"/>
    <x v="0"/>
    <n v="0.91666666666666663"/>
    <n v="2.0309477756286266E-2"/>
    <n v="0.42857142857142855"/>
    <n v="0"/>
    <n v="0"/>
    <n v="15.705"/>
    <n v="6.7307142857142859"/>
    <n v="-1"/>
  </r>
  <r>
    <x v="225"/>
    <s v="CMP202608010"/>
    <s v="CUST100509"/>
    <x v="0"/>
    <s v="Amber"/>
    <x v="0"/>
    <s v="East"/>
    <s v="35-44"/>
    <n v="4331"/>
    <n v="3985"/>
    <n v="3641"/>
    <n v="221"/>
    <n v="100"/>
    <n v="7"/>
    <n v="406.68"/>
    <x v="1072"/>
    <n v="0.91367628607277285"/>
    <n v="6.0697610546553142E-2"/>
    <n v="0.45248868778280543"/>
    <n v="7.0000000000000007E-2"/>
    <n v="1.9225487503433123E-3"/>
    <n v="4.0667999999999997"/>
    <n v="1.8401809954751132"/>
    <n v="11.842751057342381"/>
  </r>
  <r>
    <x v="225"/>
    <s v="CMP202608015"/>
    <s v="CUST100481"/>
    <x v="2"/>
    <s v="Red Non-Saleable"/>
    <x v="0"/>
    <s v="East"/>
    <s v="18-24"/>
    <n v="4963"/>
    <n v="4588"/>
    <n v="4435"/>
    <n v="28"/>
    <n v="14"/>
    <n v="0"/>
    <n v="318.66000000000003"/>
    <x v="0"/>
    <n v="0.96665213600697475"/>
    <n v="6.3134160090191661E-3"/>
    <n v="0.5"/>
    <n v="0"/>
    <n v="0"/>
    <n v="22.761428571428574"/>
    <n v="11.380714285714287"/>
    <n v="-1"/>
  </r>
  <r>
    <x v="225"/>
    <s v="CMP202608025"/>
    <s v="CUST100304"/>
    <x v="3"/>
    <s v="Red Saleable"/>
    <x v="1"/>
    <s v="West"/>
    <s v="18-24"/>
    <n v="2064"/>
    <n v="1675"/>
    <n v="1548"/>
    <n v="74"/>
    <n v="42"/>
    <n v="3"/>
    <n v="251.9"/>
    <x v="1073"/>
    <n v="0.92417910447761198"/>
    <n v="4.7803617571059429E-2"/>
    <n v="0.56756756756756754"/>
    <n v="7.1428571428571425E-2"/>
    <n v="1.937984496124031E-3"/>
    <n v="5.9976190476190476"/>
    <n v="3.404054054054054"/>
    <n v="13.473124255657007"/>
  </r>
  <r>
    <x v="225"/>
    <s v="CMP202608034"/>
    <s v="CUST100194"/>
    <x v="1"/>
    <s v="Amber"/>
    <x v="1"/>
    <s v="South"/>
    <s v="18-24"/>
    <n v="3652"/>
    <n v="2918"/>
    <n v="2779"/>
    <n v="136"/>
    <n v="70"/>
    <n v="4"/>
    <n v="446.46"/>
    <x v="1074"/>
    <n v="0.9523646333104866"/>
    <n v="4.8938467074487228E-2"/>
    <n v="0.51470588235294112"/>
    <n v="5.7142857142857141E-2"/>
    <n v="1.4393666786613889E-3"/>
    <n v="6.3780000000000001"/>
    <n v="3.2827941176470588"/>
    <n v="8.514066209738834"/>
  </r>
  <r>
    <x v="225"/>
    <s v="CMP202608035"/>
    <s v="CUST100422"/>
    <x v="2"/>
    <s v="Red Saleable"/>
    <x v="0"/>
    <s v="South"/>
    <s v="55+"/>
    <n v="1642"/>
    <n v="1188"/>
    <n v="1139"/>
    <n v="24"/>
    <n v="13"/>
    <n v="0"/>
    <n v="91.31"/>
    <x v="0"/>
    <n v="0.9587542087542088"/>
    <n v="2.1071115013169446E-2"/>
    <n v="0.54166666666666663"/>
    <n v="0"/>
    <n v="0"/>
    <n v="7.0238461538461543"/>
    <n v="3.8045833333333334"/>
    <n v="-1"/>
  </r>
  <r>
    <x v="225"/>
    <s v="CMP202608035"/>
    <s v="CUST101314"/>
    <x v="2"/>
    <s v="Green"/>
    <x v="0"/>
    <s v="North"/>
    <s v="55+"/>
    <n v="4859"/>
    <n v="3998"/>
    <n v="3704"/>
    <n v="293"/>
    <n v="125"/>
    <n v="10"/>
    <n v="313.66000000000003"/>
    <x v="1075"/>
    <n v="0.9264632316158079"/>
    <n v="7.9103671706263493E-2"/>
    <n v="0.42662116040955633"/>
    <n v="0.08"/>
    <n v="2.6997840172786176E-3"/>
    <n v="2.5092800000000004"/>
    <n v="1.0705119453924916"/>
    <n v="44.467895173117384"/>
  </r>
  <r>
    <x v="225"/>
    <s v="CMP202608051"/>
    <s v="CUST100231"/>
    <x v="0"/>
    <s v="Amber"/>
    <x v="0"/>
    <s v="Central"/>
    <s v="45-54"/>
    <n v="2617"/>
    <n v="2408"/>
    <n v="2170"/>
    <n v="126"/>
    <n v="76"/>
    <n v="3"/>
    <n v="314.14"/>
    <x v="1076"/>
    <n v="0.90116279069767447"/>
    <n v="5.8064516129032261E-2"/>
    <n v="0.60317460317460314"/>
    <n v="3.9473684210526314E-2"/>
    <n v="1.3824884792626728E-3"/>
    <n v="4.1334210526315784"/>
    <n v="2.4931746031746029"/>
    <n v="8.0580314509454389"/>
  </r>
  <r>
    <x v="225"/>
    <s v="CMP202608061"/>
    <s v="CUST100787"/>
    <x v="0"/>
    <s v="Red Saleable"/>
    <x v="0"/>
    <s v="East"/>
    <s v="35-44"/>
    <n v="3651"/>
    <n v="3211"/>
    <n v="2860"/>
    <n v="104"/>
    <n v="49"/>
    <n v="2"/>
    <n v="341.53"/>
    <x v="1077"/>
    <n v="0.89068825910931171"/>
    <n v="3.6363636363636362E-2"/>
    <n v="0.47115384615384615"/>
    <n v="4.0816326530612242E-2"/>
    <n v="6.993006993006993E-4"/>
    <n v="6.97"/>
    <n v="3.2839423076923073"/>
    <n v="6.1332825813252132"/>
  </r>
  <r>
    <x v="225"/>
    <s v="CMP202608070"/>
    <s v="CUST100322"/>
    <x v="3"/>
    <s v="Green"/>
    <x v="1"/>
    <s v="Central"/>
    <s v="18-24"/>
    <n v="578"/>
    <n v="493"/>
    <n v="454"/>
    <n v="47"/>
    <n v="26"/>
    <n v="1"/>
    <n v="68.349999999999994"/>
    <x v="1078"/>
    <n v="0.92089249492900604"/>
    <n v="0.10352422907488987"/>
    <n v="0.55319148936170215"/>
    <n v="3.8461538461538464E-2"/>
    <n v="2.2026431718061676E-3"/>
    <n v="2.6288461538461538"/>
    <n v="1.454255319148936"/>
    <n v="12.139136795903438"/>
  </r>
  <r>
    <x v="225"/>
    <s v="CMP202608071"/>
    <s v="CUST101300"/>
    <x v="2"/>
    <s v="Green"/>
    <x v="0"/>
    <s v="East"/>
    <s v="35-44"/>
    <n v="4410"/>
    <n v="3784"/>
    <n v="3621"/>
    <n v="229"/>
    <n v="100"/>
    <n v="7"/>
    <n v="294.47000000000003"/>
    <x v="1079"/>
    <n v="0.95692389006342493"/>
    <n v="6.3242198287765811E-2"/>
    <n v="0.4366812227074236"/>
    <n v="7.0000000000000007E-2"/>
    <n v="1.9331676332504833E-3"/>
    <n v="2.9447000000000001"/>
    <n v="1.2858951965065504"/>
    <n v="30.835467110401737"/>
  </r>
  <r>
    <x v="225"/>
    <s v="CMP202608075"/>
    <s v="CUST100099"/>
    <x v="1"/>
    <s v="Red Saleable"/>
    <x v="0"/>
    <s v="South"/>
    <s v="18-24"/>
    <n v="3172"/>
    <n v="2572"/>
    <n v="2420"/>
    <n v="28"/>
    <n v="10"/>
    <n v="1"/>
    <n v="466.22"/>
    <x v="1080"/>
    <n v="0.94090202177293936"/>
    <n v="1.1570247933884297E-2"/>
    <n v="0.35714285714285715"/>
    <n v="0.1"/>
    <n v="4.1322314049586776E-4"/>
    <n v="46.622"/>
    <n v="16.650714285714287"/>
    <n v="0.80181030414825605"/>
  </r>
  <r>
    <x v="226"/>
    <s v="CMP202608012"/>
    <s v="CUST100247"/>
    <x v="1"/>
    <s v="Green"/>
    <x v="0"/>
    <s v="South"/>
    <s v="55+"/>
    <n v="3351"/>
    <n v="2676"/>
    <n v="2552"/>
    <n v="101"/>
    <n v="37"/>
    <n v="3"/>
    <n v="536"/>
    <x v="1081"/>
    <n v="0.95366218236173395"/>
    <n v="3.9576802507836989E-2"/>
    <n v="0.36633663366336633"/>
    <n v="8.1081081081081086E-2"/>
    <n v="1.1755485893416929E-3"/>
    <n v="14.486486486486486"/>
    <n v="5.3069306930693072"/>
    <n v="3.7039365671641789"/>
  </r>
  <r>
    <x v="226"/>
    <s v="CMP202608020"/>
    <s v="CUST101079"/>
    <x v="0"/>
    <s v="Amber"/>
    <x v="0"/>
    <s v="South"/>
    <s v="18-24"/>
    <n v="2428"/>
    <n v="1889"/>
    <n v="1731"/>
    <n v="85"/>
    <n v="39"/>
    <n v="2"/>
    <n v="247.09"/>
    <x v="1082"/>
    <n v="0.91635786130227637"/>
    <n v="4.9104563835932986E-2"/>
    <n v="0.45882352941176469"/>
    <n v="5.128205128205128E-2"/>
    <n v="1.1554015020219526E-3"/>
    <n v="6.335641025641026"/>
    <n v="2.9069411764705881"/>
    <n v="6.243716864300457"/>
  </r>
  <r>
    <x v="226"/>
    <s v="CMP202608027"/>
    <s v="CUST100494"/>
    <x v="0"/>
    <s v="Amber"/>
    <x v="1"/>
    <s v="Central"/>
    <s v="18-24"/>
    <n v="1759"/>
    <n v="1535"/>
    <n v="1409"/>
    <n v="104"/>
    <n v="69"/>
    <n v="4"/>
    <n v="201.99"/>
    <x v="1083"/>
    <n v="0.9179153094462541"/>
    <n v="7.3811213626685593E-2"/>
    <n v="0.66346153846153844"/>
    <n v="5.7971014492753624E-2"/>
    <n v="2.8388928317955998E-3"/>
    <n v="2.9273913043478261"/>
    <n v="1.9422115384615386"/>
    <n v="20.666864696272093"/>
  </r>
  <r>
    <x v="226"/>
    <s v="CMP202608029"/>
    <s v="CUST100772"/>
    <x v="1"/>
    <s v="Green"/>
    <x v="0"/>
    <s v="North"/>
    <s v="55+"/>
    <n v="550"/>
    <n v="545"/>
    <n v="520"/>
    <n v="27"/>
    <n v="11"/>
    <n v="1"/>
    <n v="100.2"/>
    <x v="1084"/>
    <n v="0.95412844036697253"/>
    <n v="5.1923076923076926E-2"/>
    <n v="0.40740740740740738"/>
    <n v="9.0909090909090912E-2"/>
    <n v="1.9230769230769232E-3"/>
    <n v="9.1090909090909093"/>
    <n v="3.7111111111111112"/>
    <n v="7.2637724550898195"/>
  </r>
  <r>
    <x v="226"/>
    <s v="CMP202608037"/>
    <s v="CUST100963"/>
    <x v="1"/>
    <s v="Amber"/>
    <x v="1"/>
    <s v="West"/>
    <s v="55+"/>
    <n v="2101"/>
    <n v="2056"/>
    <n v="1984"/>
    <n v="103"/>
    <n v="45"/>
    <n v="4"/>
    <n v="319.18"/>
    <x v="1085"/>
    <n v="0.96498054474708173"/>
    <n v="5.1915322580645164E-2"/>
    <n v="0.43689320388349512"/>
    <n v="8.8888888888888892E-2"/>
    <n v="2.0161290322580645E-3"/>
    <n v="7.092888888888889"/>
    <n v="3.0988349514563107"/>
    <n v="17.928566952816592"/>
  </r>
  <r>
    <x v="226"/>
    <s v="CMP202608048"/>
    <s v="CUST100667"/>
    <x v="0"/>
    <s v="Red Saleable"/>
    <x v="1"/>
    <s v="East"/>
    <s v="45-54"/>
    <n v="4656"/>
    <n v="4632"/>
    <n v="4305"/>
    <n v="218"/>
    <n v="133"/>
    <n v="7"/>
    <n v="632.76"/>
    <x v="1086"/>
    <n v="0.92940414507772018"/>
    <n v="5.0638792102206738E-2"/>
    <n v="0.61009174311926606"/>
    <n v="5.2631578947368418E-2"/>
    <n v="1.6260162601626016E-3"/>
    <n v="4.7575939849624058"/>
    <n v="2.9025688073394496"/>
    <n v="13.237799481636008"/>
  </r>
  <r>
    <x v="226"/>
    <s v="CMP202608050"/>
    <s v="CUST101218"/>
    <x v="0"/>
    <s v="Red Saleable"/>
    <x v="0"/>
    <s v="East"/>
    <s v="25-34"/>
    <n v="3169"/>
    <n v="2790"/>
    <n v="2493"/>
    <n v="122"/>
    <n v="58"/>
    <n v="2"/>
    <n v="296.22000000000003"/>
    <x v="1087"/>
    <n v="0.8935483870967742"/>
    <n v="4.8937023666265546E-2"/>
    <n v="0.47540983606557374"/>
    <n v="3.4482758620689655E-2"/>
    <n v="8.0224628961091051E-4"/>
    <n v="5.1072413793103451"/>
    <n v="2.4280327868852463"/>
    <n v="7.1790898656404023"/>
  </r>
  <r>
    <x v="226"/>
    <s v="CMP202608052"/>
    <s v="CUST100989"/>
    <x v="0"/>
    <s v="Red Non-Saleable"/>
    <x v="0"/>
    <s v="Central"/>
    <s v="18-24"/>
    <n v="3790"/>
    <n v="3274"/>
    <n v="3004"/>
    <n v="73"/>
    <n v="41"/>
    <n v="1"/>
    <n v="457.13"/>
    <x v="1088"/>
    <n v="0.91753207086133171"/>
    <n v="2.430093209054594E-2"/>
    <n v="0.56164383561643838"/>
    <n v="2.4390243902439025E-2"/>
    <n v="3.3288948069241014E-4"/>
    <n v="11.14951219512195"/>
    <n v="6.262054794520548"/>
    <n v="1.72390785990856"/>
  </r>
  <r>
    <x v="226"/>
    <s v="CMP202608054"/>
    <s v="CUST100676"/>
    <x v="3"/>
    <s v="Red Non-Saleable"/>
    <x v="1"/>
    <s v="East"/>
    <s v="35-44"/>
    <n v="2886"/>
    <n v="2501"/>
    <n v="2367"/>
    <n v="93"/>
    <n v="57"/>
    <n v="1"/>
    <n v="321.66000000000003"/>
    <x v="1089"/>
    <n v="0.94642143142742907"/>
    <n v="3.9290240811153357E-2"/>
    <n v="0.61290322580645162"/>
    <n v="1.7543859649122806E-2"/>
    <n v="4.224757076468103E-4"/>
    <n v="5.6431578947368424"/>
    <n v="3.4587096774193551"/>
    <n v="1.7431449356463347"/>
  </r>
  <r>
    <x v="226"/>
    <s v="CMP202608071"/>
    <s v="CUST100928"/>
    <x v="3"/>
    <s v="Amber"/>
    <x v="0"/>
    <s v="Central"/>
    <s v="25-34"/>
    <n v="1847"/>
    <n v="1566"/>
    <n v="1429"/>
    <n v="78"/>
    <n v="37"/>
    <n v="1"/>
    <n v="280.64999999999998"/>
    <x v="1090"/>
    <n v="0.91251596424010217"/>
    <n v="5.4583624912526239E-2"/>
    <n v="0.47435897435897434"/>
    <n v="2.7027027027027029E-2"/>
    <n v="6.9979006298110562E-4"/>
    <n v="7.5851351351351344"/>
    <n v="3.5980769230769227"/>
    <n v="1.5904151077854982"/>
  </r>
  <r>
    <x v="227"/>
    <s v="CMP202608002"/>
    <s v="CUST100084"/>
    <x v="0"/>
    <s v="Green"/>
    <x v="0"/>
    <s v="West"/>
    <s v="55+"/>
    <n v="3168"/>
    <n v="2291"/>
    <n v="2079"/>
    <n v="150"/>
    <n v="94"/>
    <n v="6"/>
    <n v="261.75"/>
    <x v="1091"/>
    <n v="0.90746398952422525"/>
    <n v="7.2150072150072145E-2"/>
    <n v="0.62666666666666671"/>
    <n v="6.3829787234042548E-2"/>
    <n v="2.886002886002886E-3"/>
    <n v="2.7845744680851063"/>
    <n v="1.7450000000000001"/>
    <n v="29.961680993314232"/>
  </r>
  <r>
    <x v="227"/>
    <s v="CMP202608030"/>
    <s v="CUST101106"/>
    <x v="1"/>
    <s v="Amber"/>
    <x v="0"/>
    <s v="East"/>
    <s v="25-34"/>
    <n v="4214"/>
    <n v="3500"/>
    <n v="3281"/>
    <n v="105"/>
    <n v="43"/>
    <n v="1"/>
    <n v="722.55"/>
    <x v="1092"/>
    <n v="0.93742857142857139"/>
    <n v="3.2002438281011888E-2"/>
    <n v="0.40952380952380951"/>
    <n v="2.3255813953488372E-2"/>
    <n v="3.0478512648582747E-4"/>
    <n v="16.803488372093021"/>
    <n v="6.8814285714285708"/>
    <n v="0.48355131132793594"/>
  </r>
  <r>
    <x v="227"/>
    <s v="CMP202608039"/>
    <s v="CUST100436"/>
    <x v="0"/>
    <s v="Green"/>
    <x v="0"/>
    <s v="South"/>
    <s v="45-54"/>
    <n v="1878"/>
    <n v="1400"/>
    <n v="1282"/>
    <n v="110"/>
    <n v="51"/>
    <n v="4"/>
    <n v="174.38"/>
    <x v="1093"/>
    <n v="0.9157142857142857"/>
    <n v="8.5803432137285487E-2"/>
    <n v="0.46363636363636362"/>
    <n v="7.8431372549019607E-2"/>
    <n v="3.1201248049921998E-3"/>
    <n v="3.4192156862745096"/>
    <n v="1.5852727272727272"/>
    <n v="30.851072370684708"/>
  </r>
  <r>
    <x v="227"/>
    <s v="CMP202608041"/>
    <s v="CUST100948"/>
    <x v="3"/>
    <s v="Red Saleable"/>
    <x v="0"/>
    <s v="West"/>
    <s v="35-44"/>
    <n v="1348"/>
    <n v="1338"/>
    <n v="1260"/>
    <n v="46"/>
    <n v="22"/>
    <n v="1"/>
    <n v="193.08"/>
    <x v="1094"/>
    <n v="0.94170403587443952"/>
    <n v="3.650793650793651E-2"/>
    <n v="0.47826086956521741"/>
    <n v="4.5454545454545456E-2"/>
    <n v="7.9365079365079365E-4"/>
    <n v="8.7763636363636373"/>
    <n v="4.1973913043478266"/>
    <n v="5.8489227263310548"/>
  </r>
  <r>
    <x v="227"/>
    <s v="CMP202608043"/>
    <s v="CUST101384"/>
    <x v="0"/>
    <s v="Red Non-Saleable"/>
    <x v="1"/>
    <s v="East"/>
    <s v="18-24"/>
    <n v="2701"/>
    <n v="2686"/>
    <n v="2480"/>
    <n v="70"/>
    <n v="42"/>
    <n v="0"/>
    <n v="376.21"/>
    <x v="0"/>
    <n v="0.92330603127326882"/>
    <n v="2.8225806451612902E-2"/>
    <n v="0.6"/>
    <n v="0"/>
    <n v="0"/>
    <n v="8.9573809523809516"/>
    <n v="5.3744285714285711"/>
    <n v="-1"/>
  </r>
  <r>
    <x v="227"/>
    <s v="CMP202608052"/>
    <s v="CUST100391"/>
    <x v="1"/>
    <s v="Red Saleable"/>
    <x v="0"/>
    <s v="East"/>
    <s v="55+"/>
    <n v="2413"/>
    <n v="1880"/>
    <n v="1780"/>
    <n v="60"/>
    <n v="19"/>
    <n v="1"/>
    <n v="401.31"/>
    <x v="1095"/>
    <n v="0.94680851063829785"/>
    <n v="3.3707865168539325E-2"/>
    <n v="0.31666666666666665"/>
    <n v="5.2631578947368418E-2"/>
    <n v="5.6179775280898881E-4"/>
    <n v="21.12157894736842"/>
    <n v="6.6885000000000003"/>
    <n v="2.3173108071067254"/>
  </r>
  <r>
    <x v="227"/>
    <s v="CMP202608066"/>
    <s v="CUST100736"/>
    <x v="1"/>
    <s v="Amber"/>
    <x v="1"/>
    <s v="West"/>
    <s v="25-34"/>
    <n v="4161"/>
    <n v="3668"/>
    <n v="3461"/>
    <n v="187"/>
    <n v="98"/>
    <n v="6"/>
    <n v="618.19000000000005"/>
    <x v="1096"/>
    <n v="0.94356597600872405"/>
    <n v="5.4030626986420111E-2"/>
    <n v="0.52406417112299464"/>
    <n v="6.1224489795918366E-2"/>
    <n v="1.7336030049118752E-3"/>
    <n v="6.3080612244897969"/>
    <n v="3.3058288770053479"/>
    <n v="11.418156230285186"/>
  </r>
  <r>
    <x v="228"/>
    <s v="CMP202608017"/>
    <s v="CUST101003"/>
    <x v="1"/>
    <s v="Red Non-Saleable"/>
    <x v="0"/>
    <s v="Central"/>
    <s v="25-34"/>
    <n v="4267"/>
    <n v="3740"/>
    <n v="3511"/>
    <n v="47"/>
    <n v="21"/>
    <n v="1"/>
    <n v="633.27"/>
    <x v="1097"/>
    <n v="0.93877005347593578"/>
    <n v="1.338649957277129E-2"/>
    <n v="0.44680851063829785"/>
    <n v="4.7619047619047616E-2"/>
    <n v="2.8481913984619768E-4"/>
    <n v="30.155714285714286"/>
    <n v="13.473829787234042"/>
    <n v="0.28578647338418056"/>
  </r>
  <r>
    <x v="228"/>
    <s v="CMP202608024"/>
    <s v="CUST100129"/>
    <x v="0"/>
    <s v="Red Saleable"/>
    <x v="0"/>
    <s v="North"/>
    <s v="25-34"/>
    <n v="3659"/>
    <n v="3480"/>
    <n v="3124"/>
    <n v="123"/>
    <n v="61"/>
    <n v="2"/>
    <n v="469.68"/>
    <x v="1098"/>
    <n v="0.89770114942528734"/>
    <n v="3.9372599231754159E-2"/>
    <n v="0.49593495934959347"/>
    <n v="3.2786885245901641E-2"/>
    <n v="6.4020486555697821E-4"/>
    <n v="7.6996721311475413"/>
    <n v="3.8185365853658535"/>
    <n v="4.1786109691704985"/>
  </r>
  <r>
    <x v="228"/>
    <s v="CMP202608038"/>
    <s v="CUST100501"/>
    <x v="2"/>
    <s v="Amber"/>
    <x v="0"/>
    <s v="West"/>
    <s v="18-24"/>
    <n v="2988"/>
    <n v="2987"/>
    <n v="2742"/>
    <n v="172"/>
    <n v="71"/>
    <n v="3"/>
    <n v="243.22"/>
    <x v="1099"/>
    <n v="0.91797790425175763"/>
    <n v="6.2727935813274988E-2"/>
    <n v="0.41279069767441862"/>
    <n v="4.2253521126760563E-2"/>
    <n v="1.0940919037199124E-3"/>
    <n v="3.4256338028169013"/>
    <n v="1.4140697674418605"/>
    <n v="10.641600197352192"/>
  </r>
  <r>
    <x v="228"/>
    <s v="CMP202608039"/>
    <s v="CUST100780"/>
    <x v="1"/>
    <s v="Amber"/>
    <x v="0"/>
    <s v="North"/>
    <s v="18-24"/>
    <n v="3150"/>
    <n v="2330"/>
    <n v="2253"/>
    <n v="104"/>
    <n v="33"/>
    <n v="3"/>
    <n v="397.16"/>
    <x v="1100"/>
    <n v="0.96695278969957077"/>
    <n v="4.61606746560142E-2"/>
    <n v="0.31730769230769229"/>
    <n v="9.0909090909090912E-2"/>
    <n v="1.3315579227696406E-3"/>
    <n v="12.035151515151515"/>
    <n v="3.8188461538461542"/>
    <n v="6.7141957901097795"/>
  </r>
  <r>
    <x v="229"/>
    <s v="CMP202608003"/>
    <s v="CUST101266"/>
    <x v="1"/>
    <s v="Red Non-Saleable"/>
    <x v="1"/>
    <s v="South"/>
    <s v="45-54"/>
    <n v="1984"/>
    <n v="1952"/>
    <n v="1882"/>
    <n v="30"/>
    <n v="15"/>
    <n v="0"/>
    <n v="370.11"/>
    <x v="0"/>
    <n v="0.96413934426229508"/>
    <n v="1.5940488841657812E-2"/>
    <n v="0.5"/>
    <n v="0"/>
    <n v="0"/>
    <n v="24.673999999999999"/>
    <n v="12.337"/>
    <n v="-1"/>
  </r>
  <r>
    <x v="229"/>
    <s v="CMP202608020"/>
    <s v="CUST101337"/>
    <x v="2"/>
    <s v="Red Non-Saleable"/>
    <x v="0"/>
    <s v="South"/>
    <s v="35-44"/>
    <n v="3376"/>
    <n v="3282"/>
    <n v="3059"/>
    <n v="9"/>
    <n v="4"/>
    <n v="0"/>
    <n v="240.13"/>
    <x v="0"/>
    <n v="0.93205362583790374"/>
    <n v="2.9421379535796012E-3"/>
    <n v="0.44444444444444442"/>
    <n v="0"/>
    <n v="0"/>
    <n v="60.032499999999999"/>
    <n v="26.681111111111111"/>
    <n v="-1"/>
  </r>
  <r>
    <x v="229"/>
    <s v="CMP202608047"/>
    <s v="CUST101126"/>
    <x v="1"/>
    <s v="Green"/>
    <x v="0"/>
    <s v="East"/>
    <s v="18-24"/>
    <n v="4625"/>
    <n v="4289"/>
    <n v="4105"/>
    <n v="178"/>
    <n v="70"/>
    <n v="5"/>
    <n v="694.4"/>
    <x v="1101"/>
    <n v="0.95709955700629512"/>
    <n v="4.3361753958587088E-2"/>
    <n v="0.39325842696629215"/>
    <n v="7.1428571428571425E-2"/>
    <n v="1.2180267965895249E-3"/>
    <n v="9.92"/>
    <n v="3.9011235955056178"/>
    <n v="9.9500432027649772"/>
  </r>
  <r>
    <x v="229"/>
    <s v="CMP202608055"/>
    <s v="CUST101027"/>
    <x v="1"/>
    <s v="Green"/>
    <x v="0"/>
    <s v="North"/>
    <s v="35-44"/>
    <n v="4966"/>
    <n v="3787"/>
    <n v="3639"/>
    <n v="184"/>
    <n v="64"/>
    <n v="4"/>
    <n v="739.18"/>
    <x v="1102"/>
    <n v="0.96091893319250066"/>
    <n v="5.0563341577356417E-2"/>
    <n v="0.34782608695652173"/>
    <n v="6.25E-2"/>
    <n v="1.0992030777686177E-3"/>
    <n v="11.549687499999999"/>
    <n v="4.0172826086956519"/>
    <n v="3.6076598392813661"/>
  </r>
  <r>
    <x v="229"/>
    <s v="CMP202608058"/>
    <s v="CUST100181"/>
    <x v="1"/>
    <s v="Amber"/>
    <x v="0"/>
    <s v="East"/>
    <s v="35-44"/>
    <n v="4164"/>
    <n v="3087"/>
    <n v="2893"/>
    <n v="72"/>
    <n v="27"/>
    <n v="1"/>
    <n v="536.9"/>
    <x v="1103"/>
    <n v="0.93715581470683507"/>
    <n v="2.4887659868648462E-2"/>
    <n v="0.375"/>
    <n v="3.7037037037037035E-2"/>
    <n v="3.4566194262011752E-4"/>
    <n v="19.885185185185183"/>
    <n v="7.4569444444444439"/>
    <n v="0.71994784876140827"/>
  </r>
  <r>
    <x v="229"/>
    <s v="CMP202608077"/>
    <s v="CUST101068"/>
    <x v="1"/>
    <s v="Amber"/>
    <x v="1"/>
    <s v="East"/>
    <s v="55+"/>
    <n v="3592"/>
    <n v="3538"/>
    <n v="3408"/>
    <n v="180"/>
    <n v="77"/>
    <n v="5"/>
    <n v="590.67999999999995"/>
    <x v="1104"/>
    <n v="0.96325607687959303"/>
    <n v="5.2816901408450703E-2"/>
    <n v="0.42777777777777776"/>
    <n v="6.4935064935064929E-2"/>
    <n v="1.4671361502347417E-3"/>
    <n v="7.6711688311688304"/>
    <n v="3.2815555555555553"/>
    <n v="8.1825184533080524"/>
  </r>
  <r>
    <x v="230"/>
    <s v="CMP202608006"/>
    <s v="CUST100589"/>
    <x v="0"/>
    <s v="Green"/>
    <x v="0"/>
    <s v="Central"/>
    <s v="25-34"/>
    <n v="1684"/>
    <n v="1321"/>
    <n v="1189"/>
    <n v="103"/>
    <n v="57"/>
    <n v="3"/>
    <n v="166.17"/>
    <x v="1105"/>
    <n v="0.90007570022710071"/>
    <n v="8.6627417998317913E-2"/>
    <n v="0.55339805825242716"/>
    <n v="5.2631578947368418E-2"/>
    <n v="2.5231286795626578E-3"/>
    <n v="2.9152631578947368"/>
    <n v="1.6133009708737862"/>
    <n v="19.774387675272312"/>
  </r>
  <r>
    <x v="230"/>
    <s v="CMP202608007"/>
    <s v="CUST100496"/>
    <x v="2"/>
    <s v="Amber"/>
    <x v="0"/>
    <s v="South"/>
    <s v="35-44"/>
    <n v="2428"/>
    <n v="2089"/>
    <n v="1981"/>
    <n v="105"/>
    <n v="57"/>
    <n v="4"/>
    <n v="158.6"/>
    <x v="1106"/>
    <n v="0.94830062230732404"/>
    <n v="5.3003533568904596E-2"/>
    <n v="0.54285714285714282"/>
    <n v="7.0175438596491224E-2"/>
    <n v="2.0191822311963654E-3"/>
    <n v="2.782456140350877"/>
    <n v="1.5104761904761905"/>
    <n v="33.448802017654472"/>
  </r>
  <r>
    <x v="230"/>
    <s v="CMP202608013"/>
    <s v="CUST101299"/>
    <x v="0"/>
    <s v="Red Saleable"/>
    <x v="1"/>
    <s v="South"/>
    <s v="35-44"/>
    <n v="3993"/>
    <n v="3282"/>
    <n v="2982"/>
    <n v="165"/>
    <n v="101"/>
    <n v="3"/>
    <n v="462.53"/>
    <x v="1107"/>
    <n v="0.90859232175502747"/>
    <n v="5.5331991951710263E-2"/>
    <n v="0.61212121212121207"/>
    <n v="2.9702970297029702E-2"/>
    <n v="1.006036217303823E-3"/>
    <n v="4.5795049504950489"/>
    <n v="2.803212121212121"/>
    <n v="6.3765593583118942"/>
  </r>
  <r>
    <x v="230"/>
    <s v="CMP202608030"/>
    <s v="CUST100400"/>
    <x v="1"/>
    <s v="Green"/>
    <x v="1"/>
    <s v="Central"/>
    <s v="18-24"/>
    <n v="1508"/>
    <n v="1488"/>
    <n v="1473"/>
    <n v="113"/>
    <n v="60"/>
    <n v="5"/>
    <n v="290.08999999999997"/>
    <x v="1108"/>
    <n v="0.98991935483870963"/>
    <n v="7.6714188730482011E-2"/>
    <n v="0.53097345132743368"/>
    <n v="8.3333333333333329E-2"/>
    <n v="3.3944331296673455E-3"/>
    <n v="4.8348333333333331"/>
    <n v="2.5671681415929202"/>
    <n v="26.272742941845635"/>
  </r>
  <r>
    <x v="230"/>
    <s v="CMP202608042"/>
    <s v="CUST100244"/>
    <x v="0"/>
    <s v="Red Saleable"/>
    <x v="0"/>
    <s v="North"/>
    <s v="18-24"/>
    <n v="675"/>
    <n v="557"/>
    <n v="500"/>
    <n v="16"/>
    <n v="7"/>
    <n v="0"/>
    <n v="63.69"/>
    <x v="0"/>
    <n v="0.89766606822262118"/>
    <n v="3.2000000000000001E-2"/>
    <n v="0.4375"/>
    <n v="0"/>
    <n v="0"/>
    <n v="9.0985714285714288"/>
    <n v="3.9806249999999999"/>
    <n v="-1"/>
  </r>
  <r>
    <x v="230"/>
    <s v="CMP202608054"/>
    <s v="CUST101216"/>
    <x v="1"/>
    <s v="Amber"/>
    <x v="1"/>
    <s v="West"/>
    <s v="18-24"/>
    <n v="3582"/>
    <n v="3180"/>
    <n v="2990"/>
    <n v="149"/>
    <n v="60"/>
    <n v="5"/>
    <n v="512.07000000000005"/>
    <x v="1109"/>
    <n v="0.94025157232704404"/>
    <n v="4.9832775919732439E-2"/>
    <n v="0.40268456375838924"/>
    <n v="8.3333333333333329E-2"/>
    <n v="1.6722408026755853E-3"/>
    <n v="8.5345000000000013"/>
    <n v="3.4367114093959734"/>
    <n v="9.771808541800926"/>
  </r>
  <r>
    <x v="230"/>
    <s v="CMP202608074"/>
    <s v="CUST101463"/>
    <x v="2"/>
    <s v="Amber"/>
    <x v="0"/>
    <s v="South"/>
    <s v="45-54"/>
    <n v="4894"/>
    <n v="4531"/>
    <n v="4160"/>
    <n v="214"/>
    <n v="95"/>
    <n v="6"/>
    <n v="396.35"/>
    <x v="1110"/>
    <n v="0.91811962039284922"/>
    <n v="5.144230769230769E-2"/>
    <n v="0.44392523364485981"/>
    <n v="6.3157894736842107E-2"/>
    <n v="1.4423076923076924E-3"/>
    <n v="4.1721052631578948"/>
    <n v="1.8521028037383178"/>
    <n v="16.746411000378451"/>
  </r>
  <r>
    <x v="231"/>
    <s v="CMP202608022"/>
    <s v="CUST100901"/>
    <x v="3"/>
    <s v="Green"/>
    <x v="0"/>
    <s v="South"/>
    <s v="55+"/>
    <n v="2538"/>
    <n v="2177"/>
    <n v="2057"/>
    <n v="137"/>
    <n v="74"/>
    <n v="4"/>
    <n v="301.23"/>
    <x v="1111"/>
    <n v="0.94487827285254933"/>
    <n v="6.6601847350510446E-2"/>
    <n v="0.54014598540145986"/>
    <n v="5.4054054054054057E-2"/>
    <n v="1.9445794846864365E-3"/>
    <n v="4.0706756756756759"/>
    <n v="2.1987591240875912"/>
    <n v="13.15297281147296"/>
  </r>
  <r>
    <x v="231"/>
    <s v="CMP202608038"/>
    <s v="CUST100875"/>
    <x v="0"/>
    <s v="Red Saleable"/>
    <x v="0"/>
    <s v="North"/>
    <s v="55+"/>
    <n v="887"/>
    <n v="887"/>
    <n v="800"/>
    <n v="32"/>
    <n v="14"/>
    <n v="1"/>
    <n v="91.68"/>
    <x v="1112"/>
    <n v="0.90191657271702363"/>
    <n v="0.04"/>
    <n v="0.4375"/>
    <n v="7.1428571428571425E-2"/>
    <n v="1.25E-3"/>
    <n v="6.5485714285714289"/>
    <n v="2.8650000000000002"/>
    <n v="13.252617801047119"/>
  </r>
  <r>
    <x v="231"/>
    <s v="CMP202608059"/>
    <s v="CUST100119"/>
    <x v="0"/>
    <s v="Red Saleable"/>
    <x v="0"/>
    <s v="South"/>
    <s v="18-24"/>
    <n v="4326"/>
    <n v="3743"/>
    <n v="3432"/>
    <n v="116"/>
    <n v="70"/>
    <n v="3"/>
    <n v="388.34"/>
    <x v="1113"/>
    <n v="0.91691156826075337"/>
    <n v="3.37995337995338E-2"/>
    <n v="0.60344827586206895"/>
    <n v="4.2857142857142858E-2"/>
    <n v="8.7412587412587413E-4"/>
    <n v="5.5477142857142852"/>
    <n v="3.347758620689655"/>
    <n v="4.5453983622598759"/>
  </r>
  <r>
    <x v="232"/>
    <s v="CMP202608027"/>
    <s v="CUST101202"/>
    <x v="0"/>
    <s v="Amber"/>
    <x v="0"/>
    <s v="West"/>
    <s v="35-44"/>
    <n v="4576"/>
    <n v="4235"/>
    <n v="3765"/>
    <n v="220"/>
    <n v="96"/>
    <n v="5"/>
    <n v="510.01"/>
    <x v="1114"/>
    <n v="0.88902007083825263"/>
    <n v="5.8432934926958828E-2"/>
    <n v="0.43636363636363634"/>
    <n v="5.2083333333333336E-2"/>
    <n v="1.3280212483399733E-3"/>
    <n v="5.3126041666666666"/>
    <n v="2.3182272727272726"/>
    <n v="11.643359934118939"/>
  </r>
  <r>
    <x v="232"/>
    <s v="CMP202608051"/>
    <s v="CUST101020"/>
    <x v="1"/>
    <s v="Red Non-Saleable"/>
    <x v="1"/>
    <s v="North"/>
    <s v="35-44"/>
    <n v="2224"/>
    <n v="2196"/>
    <n v="2096"/>
    <n v="27"/>
    <n v="13"/>
    <n v="0"/>
    <n v="446.56"/>
    <x v="0"/>
    <n v="0.95446265938069219"/>
    <n v="1.2881679389312978E-2"/>
    <n v="0.48148148148148145"/>
    <n v="0"/>
    <n v="0"/>
    <n v="34.350769230769231"/>
    <n v="16.539259259259261"/>
    <n v="-1"/>
  </r>
  <r>
    <x v="233"/>
    <s v="CMP202608011"/>
    <s v="CUST100977"/>
    <x v="3"/>
    <s v="Green"/>
    <x v="1"/>
    <s v="Central"/>
    <s v="25-34"/>
    <n v="1010"/>
    <n v="913"/>
    <n v="845"/>
    <n v="84"/>
    <n v="45"/>
    <n v="4"/>
    <n v="121.32"/>
    <x v="1115"/>
    <n v="0.92552026286966049"/>
    <n v="9.9408284023668636E-2"/>
    <n v="0.5357142857142857"/>
    <n v="8.8888888888888892E-2"/>
    <n v="4.7337278106508876E-3"/>
    <n v="2.6959999999999997"/>
    <n v="1.4442857142857142"/>
    <n v="34.568578964721404"/>
  </r>
  <r>
    <x v="233"/>
    <s v="CMP202608014"/>
    <s v="CUST100659"/>
    <x v="0"/>
    <s v="Green"/>
    <x v="0"/>
    <s v="North"/>
    <s v="35-44"/>
    <n v="1039"/>
    <n v="1027"/>
    <n v="947"/>
    <n v="86"/>
    <n v="34"/>
    <n v="2"/>
    <n v="119.98"/>
    <x v="1116"/>
    <n v="0.9221032132424537"/>
    <n v="9.0813093980992604E-2"/>
    <n v="0.39534883720930231"/>
    <n v="5.8823529411764705E-2"/>
    <n v="2.1119324181626186E-3"/>
    <n v="3.5288235294117647"/>
    <n v="1.3951162790697675"/>
    <n v="20.640106684447407"/>
  </r>
  <r>
    <x v="233"/>
    <s v="CMP202608020"/>
    <s v="CUST100061"/>
    <x v="3"/>
    <s v="Amber"/>
    <x v="0"/>
    <s v="Central"/>
    <s v="55+"/>
    <n v="1679"/>
    <n v="1468"/>
    <n v="1327"/>
    <n v="65"/>
    <n v="34"/>
    <n v="2"/>
    <n v="248.81"/>
    <x v="1117"/>
    <n v="0.90395095367847411"/>
    <n v="4.8982667671439335E-2"/>
    <n v="0.52307692307692311"/>
    <n v="5.8823529411764705E-2"/>
    <n v="1.5071590052750565E-3"/>
    <n v="7.3179411764705886"/>
    <n v="3.8278461538461537"/>
    <n v="6.9592460110124188"/>
  </r>
  <r>
    <x v="233"/>
    <s v="CMP202608025"/>
    <s v="CUST100812"/>
    <x v="3"/>
    <s v="Red Saleable"/>
    <x v="0"/>
    <s v="West"/>
    <s v="25-34"/>
    <n v="3945"/>
    <n v="3569"/>
    <n v="3237"/>
    <n v="104"/>
    <n v="53"/>
    <n v="2"/>
    <n v="597.25"/>
    <x v="1118"/>
    <n v="0.90697674418604646"/>
    <n v="3.2128514056224897E-2"/>
    <n v="0.50961538461538458"/>
    <n v="3.7735849056603772E-2"/>
    <n v="6.1785603954278654E-4"/>
    <n v="11.268867924528301"/>
    <n v="5.7427884615384617"/>
    <n v="1.9725073252406864"/>
  </r>
  <r>
    <x v="233"/>
    <s v="CMP202608029"/>
    <s v="CUST100491"/>
    <x v="3"/>
    <s v="Green"/>
    <x v="0"/>
    <s v="North"/>
    <s v="25-34"/>
    <n v="4312"/>
    <n v="3260"/>
    <n v="2951"/>
    <n v="203"/>
    <n v="105"/>
    <n v="6"/>
    <n v="420.99"/>
    <x v="1119"/>
    <n v="0.90521472392638036"/>
    <n v="6.8790240596407995E-2"/>
    <n v="0.51724137931034486"/>
    <n v="5.7142857142857141E-2"/>
    <n v="2.0332090816672314E-3"/>
    <n v="4.0094285714285718"/>
    <n v="2.0738423645320196"/>
    <n v="21.7223211952778"/>
  </r>
  <r>
    <x v="233"/>
    <s v="CMP202608047"/>
    <s v="CUST100857"/>
    <x v="3"/>
    <s v="Red Saleable"/>
    <x v="0"/>
    <s v="Central"/>
    <s v="45-54"/>
    <n v="2086"/>
    <n v="1648"/>
    <n v="1567"/>
    <n v="60"/>
    <n v="22"/>
    <n v="1"/>
    <n v="235.45"/>
    <x v="1120"/>
    <n v="0.95084951456310685"/>
    <n v="3.8289725590299938E-2"/>
    <n v="0.36666666666666664"/>
    <n v="4.5454545454545456E-2"/>
    <n v="6.3816209317166565E-4"/>
    <n v="10.702272727272726"/>
    <n v="3.9241666666666664"/>
    <n v="2.3531110639201529"/>
  </r>
  <r>
    <x v="233"/>
    <s v="CMP202608060"/>
    <s v="CUST100069"/>
    <x v="1"/>
    <s v="Red Saleable"/>
    <x v="0"/>
    <s v="Central"/>
    <s v="25-34"/>
    <n v="530"/>
    <n v="485"/>
    <n v="475"/>
    <n v="8"/>
    <n v="3"/>
    <n v="0"/>
    <n v="90.69"/>
    <x v="0"/>
    <n v="0.97938144329896903"/>
    <n v="1.6842105263157894E-2"/>
    <n v="0.375"/>
    <n v="0"/>
    <n v="0"/>
    <n v="30.23"/>
    <n v="11.33625"/>
    <n v="-1"/>
  </r>
  <r>
    <x v="233"/>
    <s v="CMP202608062"/>
    <s v="CUST100547"/>
    <x v="0"/>
    <s v="Amber"/>
    <x v="0"/>
    <s v="South"/>
    <s v="55+"/>
    <n v="4949"/>
    <n v="3984"/>
    <n v="3612"/>
    <n v="221"/>
    <n v="114"/>
    <n v="3"/>
    <n v="544.21"/>
    <x v="1121"/>
    <n v="0.90662650602409633"/>
    <n v="6.1184939091915837E-2"/>
    <n v="0.51583710407239824"/>
    <n v="2.6315789473684209E-2"/>
    <n v="8.3056478405315617E-4"/>
    <n v="4.7737719298245613"/>
    <n v="2.4624886877828054"/>
    <n v="3.038055162529171"/>
  </r>
  <r>
    <x v="233"/>
    <s v="CMP202608074"/>
    <s v="CUST100937"/>
    <x v="0"/>
    <s v="Amber"/>
    <x v="0"/>
    <s v="West"/>
    <s v="55+"/>
    <n v="1111"/>
    <n v="888"/>
    <n v="807"/>
    <n v="49"/>
    <n v="25"/>
    <n v="1"/>
    <n v="97.64"/>
    <x v="1122"/>
    <n v="0.90878378378378377"/>
    <n v="6.0718711276332091E-2"/>
    <n v="0.51020408163265307"/>
    <n v="0.04"/>
    <n v="1.2391573729863693E-3"/>
    <n v="3.9056000000000002"/>
    <n v="1.9926530612244897"/>
    <n v="8.6168578451454323"/>
  </r>
  <r>
    <x v="234"/>
    <s v="CMP202608008"/>
    <s v="CUST101364"/>
    <x v="2"/>
    <s v="Amber"/>
    <x v="0"/>
    <s v="East"/>
    <s v="45-54"/>
    <n v="1327"/>
    <n v="999"/>
    <n v="957"/>
    <n v="45"/>
    <n v="23"/>
    <n v="1"/>
    <n v="77.7"/>
    <x v="1123"/>
    <n v="0.95795795795795791"/>
    <n v="4.7021943573667714E-2"/>
    <n v="0.51111111111111107"/>
    <n v="4.3478260869565216E-2"/>
    <n v="1.0449320794148381E-3"/>
    <n v="3.3782608695652177"/>
    <n v="1.7266666666666668"/>
    <n v="17.089060489060486"/>
  </r>
  <r>
    <x v="234"/>
    <s v="CMP202608019"/>
    <s v="CUST100405"/>
    <x v="3"/>
    <s v="Amber"/>
    <x v="0"/>
    <s v="Central"/>
    <s v="55+"/>
    <n v="2913"/>
    <n v="2497"/>
    <n v="2333"/>
    <n v="130"/>
    <n v="50"/>
    <n v="2"/>
    <n v="382.86"/>
    <x v="1124"/>
    <n v="0.93432118542250697"/>
    <n v="5.5722246035147881E-2"/>
    <n v="0.38461538461538464"/>
    <n v="0.04"/>
    <n v="8.5726532361765965E-4"/>
    <n v="7.6572000000000005"/>
    <n v="2.9450769230769231"/>
    <n v="4.7891657524943838"/>
  </r>
  <r>
    <x v="234"/>
    <s v="CMP202608023"/>
    <s v="CUST100039"/>
    <x v="0"/>
    <s v="Amber"/>
    <x v="0"/>
    <s v="West"/>
    <s v="45-54"/>
    <n v="4855"/>
    <n v="4442"/>
    <n v="4109"/>
    <n v="226"/>
    <n v="119"/>
    <n v="6"/>
    <n v="565.38"/>
    <x v="1125"/>
    <n v="0.92503376857271502"/>
    <n v="5.5001216841080558E-2"/>
    <n v="0.52654867256637172"/>
    <n v="5.0420168067226892E-2"/>
    <n v="1.4602092966658554E-3"/>
    <n v="4.7510924369747896"/>
    <n v="2.5016814159292036"/>
    <n v="7.7984718242597886"/>
  </r>
  <r>
    <x v="234"/>
    <s v="CMP202608028"/>
    <s v="CUST101188"/>
    <x v="0"/>
    <s v="Green"/>
    <x v="1"/>
    <s v="South"/>
    <s v="45-54"/>
    <n v="3275"/>
    <n v="2628"/>
    <n v="2319"/>
    <n v="280"/>
    <n v="176"/>
    <n v="14"/>
    <n v="348.06"/>
    <x v="1126"/>
    <n v="0.88242009132420096"/>
    <n v="0.12074169900819319"/>
    <n v="0.62857142857142856"/>
    <n v="7.9545454545454544E-2"/>
    <n v="6.0370849504096597E-3"/>
    <n v="1.9776136363636363"/>
    <n v="1.2430714285714286"/>
    <n v="54.445900132161114"/>
  </r>
  <r>
    <x v="234"/>
    <s v="CMP202608044"/>
    <s v="CUST100291"/>
    <x v="2"/>
    <s v="Amber"/>
    <x v="0"/>
    <s v="North"/>
    <s v="35-44"/>
    <n v="1558"/>
    <n v="1515"/>
    <n v="1395"/>
    <n v="63"/>
    <n v="26"/>
    <n v="1"/>
    <n v="137.83000000000001"/>
    <x v="1127"/>
    <n v="0.92079207920792083"/>
    <n v="4.5161290322580643E-2"/>
    <n v="0.41269841269841268"/>
    <n v="3.8461538461538464E-2"/>
    <n v="7.1684587813620072E-4"/>
    <n v="5.3011538461538468"/>
    <n v="2.1877777777777778"/>
    <n v="8.5122252049626344"/>
  </r>
  <r>
    <x v="234"/>
    <s v="CMP202608050"/>
    <s v="CUST101120"/>
    <x v="2"/>
    <s v="Green"/>
    <x v="1"/>
    <s v="North"/>
    <s v="45-54"/>
    <n v="1436"/>
    <n v="1353"/>
    <n v="1282"/>
    <n v="115"/>
    <n v="59"/>
    <n v="6"/>
    <n v="109.94"/>
    <x v="1128"/>
    <n v="0.94752402069475239"/>
    <n v="8.9703588143525748E-2"/>
    <n v="0.5130434782608696"/>
    <n v="0.10169491525423729"/>
    <n v="4.6801872074882997E-3"/>
    <n v="1.8633898305084746"/>
    <n v="0.95599999999999996"/>
    <n v="77.921593596507179"/>
  </r>
  <r>
    <x v="234"/>
    <s v="CMP202608055"/>
    <s v="CUST100498"/>
    <x v="2"/>
    <s v="Red Saleable"/>
    <x v="1"/>
    <s v="South"/>
    <s v="18-24"/>
    <n v="3382"/>
    <n v="2837"/>
    <n v="2598"/>
    <n v="116"/>
    <n v="66"/>
    <n v="4"/>
    <n v="236.08"/>
    <x v="1129"/>
    <n v="0.9157560803665844"/>
    <n v="4.4649730561970746E-2"/>
    <n v="0.56896551724137934"/>
    <n v="6.0606060606060608E-2"/>
    <n v="1.539645881447267E-3"/>
    <n v="3.5769696969696971"/>
    <n v="2.0351724137931035"/>
    <n v="15.35568451372416"/>
  </r>
  <r>
    <x v="234"/>
    <s v="CMP202608057"/>
    <s v="CUST101439"/>
    <x v="3"/>
    <s v="Green"/>
    <x v="0"/>
    <s v="North"/>
    <s v="55+"/>
    <n v="4102"/>
    <n v="3182"/>
    <n v="2968"/>
    <n v="194"/>
    <n v="93"/>
    <n v="5"/>
    <n v="547.80999999999995"/>
    <x v="1130"/>
    <n v="0.93274670018856065"/>
    <n v="6.5363881401617252E-2"/>
    <n v="0.47938144329896909"/>
    <n v="5.3763440860215055E-2"/>
    <n v="1.6846361185983828E-3"/>
    <n v="5.890430107526881"/>
    <n v="2.8237628865979381"/>
    <n v="6.0363447180591816"/>
  </r>
  <r>
    <x v="235"/>
    <s v="CMP202608009"/>
    <s v="CUST101334"/>
    <x v="2"/>
    <s v="Amber"/>
    <x v="1"/>
    <s v="Central"/>
    <s v="25-34"/>
    <n v="2154"/>
    <n v="2152"/>
    <n v="2037"/>
    <n v="145"/>
    <n v="84"/>
    <n v="3"/>
    <n v="177.79"/>
    <x v="1131"/>
    <n v="0.94656133828996281"/>
    <n v="7.1183112420225819E-2"/>
    <n v="0.57931034482758625"/>
    <n v="3.5714285714285712E-2"/>
    <n v="1.4727540500736377E-3"/>
    <n v="2.1165476190476191"/>
    <n v="1.2261379310344827"/>
    <n v="13.675122335339447"/>
  </r>
  <r>
    <x v="235"/>
    <s v="CMP202608020"/>
    <s v="CUST100571"/>
    <x v="2"/>
    <s v="Red Non-Saleable"/>
    <x v="1"/>
    <s v="Central"/>
    <s v="55+"/>
    <n v="1243"/>
    <n v="1043"/>
    <n v="977"/>
    <n v="13"/>
    <n v="7"/>
    <n v="0"/>
    <n v="83.89"/>
    <x v="0"/>
    <n v="0.93672099712368173"/>
    <n v="1.3306038894575231E-2"/>
    <n v="0.53846153846153844"/>
    <n v="0"/>
    <n v="0"/>
    <n v="11.984285714285715"/>
    <n v="6.4530769230769227"/>
    <n v="-1"/>
  </r>
  <r>
    <x v="235"/>
    <s v="CMP202608034"/>
    <s v="CUST100375"/>
    <x v="0"/>
    <s v="Red Non-Saleable"/>
    <x v="1"/>
    <s v="East"/>
    <s v="55+"/>
    <n v="3585"/>
    <n v="2894"/>
    <n v="2601"/>
    <n v="68"/>
    <n v="44"/>
    <n v="1"/>
    <n v="353.27"/>
    <x v="1132"/>
    <n v="0.8987560469937802"/>
    <n v="2.6143790849673203E-2"/>
    <n v="0.6470588235294118"/>
    <n v="2.2727272727272728E-2"/>
    <n v="3.8446751249519417E-4"/>
    <n v="8.0288636363636368"/>
    <n v="5.1951470588235296"/>
    <n v="1.5133467319613894"/>
  </r>
  <r>
    <x v="235"/>
    <s v="CMP202608044"/>
    <s v="CUST101371"/>
    <x v="1"/>
    <s v="Red Saleable"/>
    <x v="0"/>
    <s v="North"/>
    <s v="55+"/>
    <n v="3005"/>
    <n v="2772"/>
    <n v="2657"/>
    <n v="76"/>
    <n v="30"/>
    <n v="1"/>
    <n v="474.71"/>
    <x v="1133"/>
    <n v="0.95851370851370854"/>
    <n v="2.8603688370342491E-2"/>
    <n v="0.39473684210526316"/>
    <n v="3.3333333333333333E-2"/>
    <n v="3.7636432066240122E-4"/>
    <n v="15.823666666666666"/>
    <n v="6.2461842105263159"/>
    <n v="1.0988814223420618"/>
  </r>
  <r>
    <x v="235"/>
    <s v="CMP202608051"/>
    <s v="CUST101045"/>
    <x v="2"/>
    <s v="Red Saleable"/>
    <x v="0"/>
    <s v="North"/>
    <s v="35-44"/>
    <n v="2911"/>
    <n v="2749"/>
    <n v="2549"/>
    <n v="73"/>
    <n v="35"/>
    <n v="2"/>
    <n v="239.35"/>
    <x v="1134"/>
    <n v="0.9272462713714078"/>
    <n v="2.8638681836014122E-2"/>
    <n v="0.47945205479452052"/>
    <n v="5.7142857142857141E-2"/>
    <n v="7.8462142016477048E-4"/>
    <n v="6.8385714285714281"/>
    <n v="3.2787671232876709"/>
    <n v="8.1256319197827445"/>
  </r>
  <r>
    <x v="235"/>
    <s v="CMP202608056"/>
    <s v="CUST100680"/>
    <x v="2"/>
    <s v="Green"/>
    <x v="0"/>
    <s v="North"/>
    <s v="55+"/>
    <n v="4631"/>
    <n v="4533"/>
    <n v="4373"/>
    <n v="248"/>
    <n v="120"/>
    <n v="9"/>
    <n v="374.15"/>
    <x v="1135"/>
    <n v="0.96470328700639751"/>
    <n v="5.6711639606677341E-2"/>
    <n v="0.4838709677419355"/>
    <n v="7.4999999999999997E-2"/>
    <n v="2.0580836954036132E-3"/>
    <n v="3.1179166666666664"/>
    <n v="1.5086693548387096"/>
    <n v="35.002993451824139"/>
  </r>
  <r>
    <x v="235"/>
    <s v="CMP202608066"/>
    <s v="CUST100334"/>
    <x v="2"/>
    <s v="Green"/>
    <x v="0"/>
    <s v="North"/>
    <s v="18-24"/>
    <n v="1502"/>
    <n v="1222"/>
    <n v="1130"/>
    <n v="73"/>
    <n v="35"/>
    <n v="3"/>
    <n v="115.22"/>
    <x v="1136"/>
    <n v="0.92471358428805239"/>
    <n v="6.4601769911504431E-2"/>
    <n v="0.47945205479452052"/>
    <n v="8.5714285714285715E-2"/>
    <n v="2.6548672566371681E-3"/>
    <n v="3.2919999999999998"/>
    <n v="1.5783561643835615"/>
    <n v="29.441503211248047"/>
  </r>
  <r>
    <x v="236"/>
    <s v="CMP202608009"/>
    <s v="CUST101090"/>
    <x v="3"/>
    <s v="Green"/>
    <x v="0"/>
    <s v="North"/>
    <s v="35-44"/>
    <n v="3693"/>
    <n v="3311"/>
    <n v="3001"/>
    <n v="192"/>
    <n v="101"/>
    <n v="9"/>
    <n v="473.18"/>
    <x v="1137"/>
    <n v="0.90637269707037149"/>
    <n v="6.3978673775408196E-2"/>
    <n v="0.52604166666666663"/>
    <n v="8.9108910891089105E-2"/>
    <n v="2.9990003332222592E-3"/>
    <n v="4.6849504950495051"/>
    <n v="2.4644791666666666"/>
    <n v="15.391965002747369"/>
  </r>
  <r>
    <x v="236"/>
    <s v="CMP202608020"/>
    <s v="CUST100731"/>
    <x v="0"/>
    <s v="Green"/>
    <x v="0"/>
    <s v="West"/>
    <s v="45-54"/>
    <n v="1543"/>
    <n v="1234"/>
    <n v="1115"/>
    <n v="96"/>
    <n v="43"/>
    <n v="3"/>
    <n v="129.30000000000001"/>
    <x v="1138"/>
    <n v="0.90356564019448948"/>
    <n v="8.6098654708520184E-2"/>
    <n v="0.44791666666666669"/>
    <n v="6.9767441860465115E-2"/>
    <n v="2.6905829596412557E-3"/>
    <n v="3.0069767441860469"/>
    <n v="1.346875"/>
    <n v="20.380046403712296"/>
  </r>
  <r>
    <x v="236"/>
    <s v="CMP202608021"/>
    <s v="CUST100610"/>
    <x v="2"/>
    <s v="Amber"/>
    <x v="1"/>
    <s v="East"/>
    <s v="25-34"/>
    <n v="3865"/>
    <n v="3543"/>
    <n v="3388"/>
    <n v="234"/>
    <n v="129"/>
    <n v="8"/>
    <n v="333.84"/>
    <x v="1139"/>
    <n v="0.95625176404177248"/>
    <n v="6.9067296340023607E-2"/>
    <n v="0.55128205128205132"/>
    <n v="6.2015503875968991E-2"/>
    <n v="2.3612750885478157E-3"/>
    <n v="2.5879069767441858"/>
    <n v="1.4266666666666665"/>
    <n v="23.652797747423918"/>
  </r>
  <r>
    <x v="236"/>
    <s v="CMP202608036"/>
    <s v="CUST100214"/>
    <x v="2"/>
    <s v="Red Non-Saleable"/>
    <x v="1"/>
    <s v="North"/>
    <s v="18-24"/>
    <n v="4809"/>
    <n v="4730"/>
    <n v="4522"/>
    <n v="24"/>
    <n v="12"/>
    <n v="0"/>
    <n v="435.38"/>
    <x v="0"/>
    <n v="0.95602536997885834"/>
    <n v="5.307386112339673E-3"/>
    <n v="0.5"/>
    <n v="0"/>
    <n v="0"/>
    <n v="36.281666666666666"/>
    <n v="18.140833333333333"/>
    <n v="-1"/>
  </r>
  <r>
    <x v="236"/>
    <s v="CMP202608039"/>
    <s v="CUST101460"/>
    <x v="1"/>
    <s v="Red Saleable"/>
    <x v="0"/>
    <s v="East"/>
    <s v="55+"/>
    <n v="975"/>
    <n v="835"/>
    <n v="797"/>
    <n v="16"/>
    <n v="6"/>
    <n v="0"/>
    <n v="161.49"/>
    <x v="0"/>
    <n v="0.95449101796407188"/>
    <n v="2.0075282308657464E-2"/>
    <n v="0.375"/>
    <n v="0"/>
    <n v="0"/>
    <n v="26.915000000000003"/>
    <n v="10.093125000000001"/>
    <n v="-1"/>
  </r>
  <r>
    <x v="236"/>
    <s v="CMP202608054"/>
    <s v="CUST100822"/>
    <x v="2"/>
    <s v="Red Saleable"/>
    <x v="0"/>
    <s v="East"/>
    <s v="45-54"/>
    <n v="1886"/>
    <n v="1761"/>
    <n v="1660"/>
    <n v="53"/>
    <n v="23"/>
    <n v="1"/>
    <n v="137.66"/>
    <x v="1140"/>
    <n v="0.9426462237365133"/>
    <n v="3.1927710843373494E-2"/>
    <n v="0.43396226415094341"/>
    <n v="4.3478260869565216E-2"/>
    <n v="6.0240963855421692E-4"/>
    <n v="5.9852173913043476"/>
    <n v="2.5973584905660378"/>
    <n v="7.2704489321516785"/>
  </r>
  <r>
    <x v="236"/>
    <s v="CMP202608057"/>
    <s v="CUST100631"/>
    <x v="0"/>
    <s v="Amber"/>
    <x v="1"/>
    <s v="West"/>
    <s v="18-24"/>
    <n v="1037"/>
    <n v="749"/>
    <n v="672"/>
    <n v="37"/>
    <n v="25"/>
    <n v="1"/>
    <n v="85.86"/>
    <x v="1141"/>
    <n v="0.89719626168224298"/>
    <n v="5.5059523809523808E-2"/>
    <n v="0.67567567567567566"/>
    <n v="0.04"/>
    <n v="1.488095238095238E-3"/>
    <n v="3.4344000000000001"/>
    <n v="2.3205405405405406"/>
    <n v="8.8579082226880974"/>
  </r>
  <r>
    <x v="237"/>
    <s v="CMP202608012"/>
    <s v="CUST100141"/>
    <x v="0"/>
    <s v="Green"/>
    <x v="1"/>
    <s v="North"/>
    <s v="35-44"/>
    <n v="3324"/>
    <n v="3237"/>
    <n v="2929"/>
    <n v="306"/>
    <n v="182"/>
    <n v="17"/>
    <n v="390.04"/>
    <x v="1142"/>
    <n v="0.9048501699104109"/>
    <n v="0.10447251621713896"/>
    <n v="0.59477124183006536"/>
    <n v="9.3406593406593408E-2"/>
    <n v="5.8040286787299422E-3"/>
    <n v="2.1430769230769231"/>
    <n v="1.2746405228758171"/>
    <n v="59.219669777458719"/>
  </r>
  <r>
    <x v="237"/>
    <s v="CMP202608019"/>
    <s v="CUST101360"/>
    <x v="0"/>
    <s v="Amber"/>
    <x v="1"/>
    <s v="North"/>
    <s v="55+"/>
    <n v="1007"/>
    <n v="951"/>
    <n v="883"/>
    <n v="65"/>
    <n v="42"/>
    <n v="3"/>
    <n v="135.72999999999999"/>
    <x v="1143"/>
    <n v="0.92849631966351209"/>
    <n v="7.3612684031710077E-2"/>
    <n v="0.64615384615384619"/>
    <n v="7.1428571428571425E-2"/>
    <n v="3.3975084937712344E-3"/>
    <n v="3.2316666666666665"/>
    <n v="2.0881538461538458"/>
    <n v="33.254696824578218"/>
  </r>
  <r>
    <x v="237"/>
    <s v="CMP202608029"/>
    <s v="CUST100966"/>
    <x v="0"/>
    <s v="Red Saleable"/>
    <x v="1"/>
    <s v="Central"/>
    <s v="55+"/>
    <n v="3522"/>
    <n v="3073"/>
    <n v="2837"/>
    <n v="202"/>
    <n v="126"/>
    <n v="5"/>
    <n v="377.06"/>
    <x v="1144"/>
    <n v="0.92320208265538561"/>
    <n v="7.1201973916108566E-2"/>
    <n v="0.62376237623762376"/>
    <n v="3.968253968253968E-2"/>
    <n v="1.7624250969333803E-3"/>
    <n v="2.9925396825396824"/>
    <n v="1.8666336633663367"/>
    <n v="15.564419455789528"/>
  </r>
  <r>
    <x v="237"/>
    <s v="CMP202608044"/>
    <s v="CUST100863"/>
    <x v="2"/>
    <s v="Red Saleable"/>
    <x v="0"/>
    <s v="West"/>
    <s v="55+"/>
    <n v="3920"/>
    <n v="3818"/>
    <n v="3504"/>
    <n v="146"/>
    <n v="66"/>
    <n v="1"/>
    <n v="352.27"/>
    <x v="1145"/>
    <n v="0.91775798847564172"/>
    <n v="4.1666666666666664E-2"/>
    <n v="0.45205479452054792"/>
    <n v="1.5151515151515152E-2"/>
    <n v="2.8538812785388126E-4"/>
    <n v="5.337424242424242"/>
    <n v="2.412808219178082"/>
    <n v="2.6499843869758992"/>
  </r>
  <r>
    <x v="237"/>
    <s v="CMP202608061"/>
    <s v="CUST101366"/>
    <x v="3"/>
    <s v="Amber"/>
    <x v="0"/>
    <s v="East"/>
    <s v="25-34"/>
    <n v="2203"/>
    <n v="2158"/>
    <n v="2047"/>
    <n v="158"/>
    <n v="67"/>
    <n v="1"/>
    <n v="370.92"/>
    <x v="1146"/>
    <n v="0.94856348470806306"/>
    <n v="7.7186126038104541E-2"/>
    <n v="0.42405063291139239"/>
    <n v="1.4925373134328358E-2"/>
    <n v="4.8851978505129456E-4"/>
    <n v="5.5361194029850749"/>
    <n v="2.3475949367088607"/>
    <n v="2.0664294187425858"/>
  </r>
  <r>
    <x v="237"/>
    <s v="CMP202608072"/>
    <s v="CUST101358"/>
    <x v="2"/>
    <s v="Red Non-Saleable"/>
    <x v="0"/>
    <s v="East"/>
    <s v="35-44"/>
    <n v="2935"/>
    <n v="2927"/>
    <n v="2788"/>
    <n v="43"/>
    <n v="18"/>
    <n v="1"/>
    <n v="240.26"/>
    <x v="1147"/>
    <n v="0.9525111035189614"/>
    <n v="1.5423242467718794E-2"/>
    <n v="0.41860465116279072"/>
    <n v="5.5555555555555552E-2"/>
    <n v="3.586800573888092E-4"/>
    <n v="13.347777777777777"/>
    <n v="5.5874418604651162"/>
    <n v="2.5069091817198039"/>
  </r>
  <r>
    <x v="238"/>
    <s v="CMP202608003"/>
    <s v="CUST101259"/>
    <x v="2"/>
    <s v="Amber"/>
    <x v="0"/>
    <s v="Central"/>
    <s v="18-24"/>
    <n v="912"/>
    <n v="723"/>
    <n v="675"/>
    <n v="30"/>
    <n v="13"/>
    <n v="0"/>
    <n v="49.35"/>
    <x v="0"/>
    <n v="0.93360995850622408"/>
    <n v="4.4444444444444446E-2"/>
    <n v="0.43333333333333335"/>
    <n v="0"/>
    <n v="0"/>
    <n v="3.7961538461538464"/>
    <n v="1.645"/>
    <n v="-1"/>
  </r>
  <r>
    <x v="238"/>
    <s v="CMP202608003"/>
    <s v="CUST101472"/>
    <x v="1"/>
    <s v="Amber"/>
    <x v="0"/>
    <s v="East"/>
    <s v="18-24"/>
    <n v="1528"/>
    <n v="1459"/>
    <n v="1427"/>
    <n v="50"/>
    <n v="26"/>
    <n v="1"/>
    <n v="314.70999999999998"/>
    <x v="1148"/>
    <n v="0.97806716929403703"/>
    <n v="3.5038542396636299E-2"/>
    <n v="0.52"/>
    <n v="3.8461538461538464E-2"/>
    <n v="7.0077084793272596E-4"/>
    <n v="12.104230769230769"/>
    <n v="6.2942"/>
    <n v="3.4841282450509996"/>
  </r>
  <r>
    <x v="238"/>
    <s v="CMP202608026"/>
    <s v="CUST100041"/>
    <x v="0"/>
    <s v="Green"/>
    <x v="0"/>
    <s v="East"/>
    <s v="18-24"/>
    <n v="2455"/>
    <n v="2282"/>
    <n v="2058"/>
    <n v="150"/>
    <n v="74"/>
    <n v="3"/>
    <n v="292.02"/>
    <x v="1149"/>
    <n v="0.90184049079754602"/>
    <n v="7.2886297376093298E-2"/>
    <n v="0.49333333333333335"/>
    <n v="4.0540540540540543E-2"/>
    <n v="1.4577259475218659E-3"/>
    <n v="3.9462162162162158"/>
    <n v="1.9467999999999999"/>
    <n v="9.8747346072186843"/>
  </r>
  <r>
    <x v="238"/>
    <s v="CMP202608026"/>
    <s v="CUST100939"/>
    <x v="2"/>
    <s v="Red Non-Saleable"/>
    <x v="0"/>
    <s v="North"/>
    <s v="55+"/>
    <n v="2580"/>
    <n v="2111"/>
    <n v="1998"/>
    <n v="10"/>
    <n v="5"/>
    <n v="0"/>
    <n v="144.47"/>
    <x v="0"/>
    <n v="0.94647086688773097"/>
    <n v="5.005005005005005E-3"/>
    <n v="0.5"/>
    <n v="0"/>
    <n v="0"/>
    <n v="28.893999999999998"/>
    <n v="14.446999999999999"/>
    <n v="-1"/>
  </r>
  <r>
    <x v="238"/>
    <s v="CMP202608033"/>
    <s v="CUST100490"/>
    <x v="1"/>
    <s v="Green"/>
    <x v="0"/>
    <s v="Central"/>
    <s v="18-24"/>
    <n v="3799"/>
    <n v="3746"/>
    <n v="3485"/>
    <n v="188"/>
    <n v="73"/>
    <n v="5"/>
    <n v="588.29999999999995"/>
    <x v="1150"/>
    <n v="0.93032568072610788"/>
    <n v="5.3945480631276903E-2"/>
    <n v="0.38829787234042551"/>
    <n v="6.8493150684931503E-2"/>
    <n v="1.4347202295552368E-3"/>
    <n v="8.0589041095890401"/>
    <n v="3.1292553191489358"/>
    <n v="10.082168961414245"/>
  </r>
  <r>
    <x v="238"/>
    <s v="CMP202608041"/>
    <s v="CUST101213"/>
    <x v="2"/>
    <s v="Amber"/>
    <x v="0"/>
    <s v="North"/>
    <s v="45-54"/>
    <n v="3703"/>
    <n v="2902"/>
    <n v="2715"/>
    <n v="150"/>
    <n v="76"/>
    <n v="3"/>
    <n v="222.09"/>
    <x v="1151"/>
    <n v="0.9355616815988973"/>
    <n v="5.5248618784530384E-2"/>
    <n v="0.50666666666666671"/>
    <n v="3.9473684210526314E-2"/>
    <n v="1.1049723756906078E-3"/>
    <n v="2.9222368421052631"/>
    <n v="1.4805999999999999"/>
    <n v="8.3526047998559143"/>
  </r>
  <r>
    <x v="238"/>
    <s v="CMP202608054"/>
    <s v="CUST100959"/>
    <x v="0"/>
    <s v="Red Non-Saleable"/>
    <x v="1"/>
    <s v="North"/>
    <s v="18-24"/>
    <n v="4187"/>
    <n v="3975"/>
    <n v="3679"/>
    <n v="172"/>
    <n v="114"/>
    <n v="3"/>
    <n v="524.64"/>
    <x v="1152"/>
    <n v="0.9255345911949685"/>
    <n v="4.6751834737700462E-2"/>
    <n v="0.66279069767441856"/>
    <n v="2.6315789473684209E-2"/>
    <n v="8.1543897798314763E-4"/>
    <n v="4.6021052631578945"/>
    <n v="3.0502325581395349"/>
    <n v="2.6924557792009765"/>
  </r>
  <r>
    <x v="238"/>
    <s v="CMP202608055"/>
    <s v="CUST100886"/>
    <x v="3"/>
    <s v="Red Saleable"/>
    <x v="1"/>
    <s v="Central"/>
    <s v="45-54"/>
    <n v="1962"/>
    <n v="1506"/>
    <n v="1400"/>
    <n v="66"/>
    <n v="43"/>
    <n v="1"/>
    <n v="258.39999999999998"/>
    <x v="1153"/>
    <n v="0.92961487383798136"/>
    <n v="4.7142857142857146E-2"/>
    <n v="0.65151515151515149"/>
    <n v="2.3255813953488372E-2"/>
    <n v="7.1428571428571429E-4"/>
    <n v="6.0093023255813947"/>
    <n v="3.9151515151515146"/>
    <n v="2.9217105263157896"/>
  </r>
  <r>
    <x v="238"/>
    <s v="CMP202608059"/>
    <s v="CUST101233"/>
    <x v="2"/>
    <s v="Amber"/>
    <x v="0"/>
    <s v="South"/>
    <s v="25-34"/>
    <n v="2623"/>
    <n v="2416"/>
    <n v="2256"/>
    <n v="96"/>
    <n v="37"/>
    <n v="2"/>
    <n v="194.73"/>
    <x v="1154"/>
    <n v="0.93377483443708609"/>
    <n v="4.2553191489361701E-2"/>
    <n v="0.38541666666666669"/>
    <n v="5.4054054054054057E-2"/>
    <n v="8.8652482269503544E-4"/>
    <n v="5.2629729729729728"/>
    <n v="2.0284374999999999"/>
    <n v="6.967236686694398"/>
  </r>
  <r>
    <x v="238"/>
    <s v="CMP202608074"/>
    <s v="CUST101389"/>
    <x v="3"/>
    <s v="Red Saleable"/>
    <x v="0"/>
    <s v="West"/>
    <s v="25-34"/>
    <n v="1716"/>
    <n v="1683"/>
    <n v="1577"/>
    <n v="72"/>
    <n v="35"/>
    <n v="1"/>
    <n v="224.79"/>
    <x v="1155"/>
    <n v="0.93701723113487823"/>
    <n v="4.5656309448319596E-2"/>
    <n v="0.4861111111111111"/>
    <n v="2.8571428571428571E-2"/>
    <n v="6.3411540900443881E-4"/>
    <n v="6.4225714285714286"/>
    <n v="3.1220833333333333"/>
    <n v="4.8903865830330533"/>
  </r>
  <r>
    <x v="239"/>
    <s v="CMP202608007"/>
    <s v="CUST100956"/>
    <x v="0"/>
    <s v="Red Non-Saleable"/>
    <x v="1"/>
    <s v="West"/>
    <s v="55+"/>
    <n v="2626"/>
    <n v="2225"/>
    <n v="2022"/>
    <n v="47"/>
    <n v="32"/>
    <n v="1"/>
    <n v="292.25"/>
    <x v="1156"/>
    <n v="0.90876404494382024"/>
    <n v="2.3244312561819979E-2"/>
    <n v="0.68085106382978722"/>
    <n v="3.125E-2"/>
    <n v="4.9455984174085062E-4"/>
    <n v="9.1328125"/>
    <n v="6.2180851063829783"/>
    <n v="2.9145936698032506"/>
  </r>
  <r>
    <x v="239"/>
    <s v="CMP202608007"/>
    <s v="CUST100994"/>
    <x v="3"/>
    <s v="Red Saleable"/>
    <x v="0"/>
    <s v="Central"/>
    <s v="25-34"/>
    <n v="4348"/>
    <n v="3515"/>
    <n v="3293"/>
    <n v="86"/>
    <n v="41"/>
    <n v="1"/>
    <n v="577.91999999999996"/>
    <x v="1157"/>
    <n v="0.93684210526315792"/>
    <n v="2.6116003644093531E-2"/>
    <n v="0.47674418604651164"/>
    <n v="2.4390243902439025E-2"/>
    <n v="3.0367446097783179E-4"/>
    <n v="14.095609756097559"/>
    <n v="6.72"/>
    <n v="0.61608873200442982"/>
  </r>
  <r>
    <x v="239"/>
    <s v="CMP202608011"/>
    <s v="CUST100465"/>
    <x v="2"/>
    <s v="Red Non-Saleable"/>
    <x v="1"/>
    <s v="Central"/>
    <s v="55+"/>
    <n v="3544"/>
    <n v="2931"/>
    <n v="2798"/>
    <n v="41"/>
    <n v="24"/>
    <n v="1"/>
    <n v="241.29"/>
    <x v="1158"/>
    <n v="0.95462299556465369"/>
    <n v="1.4653323802716226E-2"/>
    <n v="0.58536585365853655"/>
    <n v="4.1666666666666664E-2"/>
    <n v="3.5739814152966406E-4"/>
    <n v="10.053749999999999"/>
    <n v="5.8851219512195119"/>
    <n v="2.0610054291516438"/>
  </r>
  <r>
    <x v="239"/>
    <s v="CMP202608070"/>
    <s v="CUST101183"/>
    <x v="0"/>
    <s v="Red Saleable"/>
    <x v="0"/>
    <s v="West"/>
    <s v="55+"/>
    <n v="3730"/>
    <n v="3215"/>
    <n v="2961"/>
    <n v="140"/>
    <n v="72"/>
    <n v="2"/>
    <n v="458.79"/>
    <x v="1159"/>
    <n v="0.92099533437013992"/>
    <n v="4.7281323877068557E-2"/>
    <n v="0.51428571428571423"/>
    <n v="2.7777777777777776E-2"/>
    <n v="6.754474839581223E-4"/>
    <n v="6.3720833333333333"/>
    <n v="3.2770714285714289"/>
    <n v="2.3802611216460687"/>
  </r>
  <r>
    <x v="239"/>
    <s v="CMP202608071"/>
    <s v="CUST100213"/>
    <x v="0"/>
    <s v="Red Saleable"/>
    <x v="1"/>
    <s v="West"/>
    <s v="55+"/>
    <n v="1202"/>
    <n v="1137"/>
    <n v="1067"/>
    <n v="41"/>
    <n v="28"/>
    <n v="1"/>
    <n v="119.63"/>
    <x v="1160"/>
    <n v="0.93843447669305191"/>
    <n v="3.8425492033739454E-2"/>
    <n v="0.68292682926829273"/>
    <n v="3.5714285714285712E-2"/>
    <n v="9.372071227741331E-4"/>
    <n v="4.2725"/>
    <n v="2.9178048780487802"/>
    <n v="11.170525787845857"/>
  </r>
  <r>
    <x v="240"/>
    <s v="CMP202608021"/>
    <s v="CUST101219"/>
    <x v="0"/>
    <s v="Amber"/>
    <x v="0"/>
    <s v="West"/>
    <s v="35-44"/>
    <n v="4908"/>
    <n v="4597"/>
    <n v="4137"/>
    <n v="259"/>
    <n v="135"/>
    <n v="5"/>
    <n v="611.98"/>
    <x v="1161"/>
    <n v="0.89993474004785734"/>
    <n v="6.2605752961082908E-2"/>
    <n v="0.52123552123552119"/>
    <n v="3.7037037037037035E-2"/>
    <n v="1.208605269518975E-3"/>
    <n v="4.533185185185185"/>
    <n v="2.362857142857143"/>
    <n v="6.396581587633583"/>
  </r>
  <r>
    <x v="240"/>
    <s v="CMP202608060"/>
    <s v="CUST100649"/>
    <x v="1"/>
    <s v="Green"/>
    <x v="0"/>
    <s v="Central"/>
    <s v="35-44"/>
    <n v="4949"/>
    <n v="4531"/>
    <n v="4275"/>
    <n v="195"/>
    <n v="89"/>
    <n v="4"/>
    <n v="963.87"/>
    <x v="1162"/>
    <n v="0.94350033105274778"/>
    <n v="4.5614035087719301E-2"/>
    <n v="0.4564102564102564"/>
    <n v="4.49438202247191E-2"/>
    <n v="9.3567251461988308E-4"/>
    <n v="10.83"/>
    <n v="4.9429230769230772"/>
    <n v="2.2767904385446172"/>
  </r>
  <r>
    <x v="240"/>
    <s v="CMP202608069"/>
    <s v="CUST100258"/>
    <x v="2"/>
    <s v="Green"/>
    <x v="0"/>
    <s v="North"/>
    <s v="18-24"/>
    <n v="806"/>
    <n v="700"/>
    <n v="658"/>
    <n v="42"/>
    <n v="16"/>
    <n v="1"/>
    <n v="60.47"/>
    <x v="1163"/>
    <n v="0.94"/>
    <n v="6.3829787234042548E-2"/>
    <n v="0.38095238095238093"/>
    <n v="6.25E-2"/>
    <n v="1.5197568389057751E-3"/>
    <n v="3.7793749999999999"/>
    <n v="1.4397619047619048"/>
    <n v="25.428807673226395"/>
  </r>
  <r>
    <x v="240"/>
    <s v="CMP202608072"/>
    <s v="CUST100100"/>
    <x v="0"/>
    <s v="Green"/>
    <x v="0"/>
    <s v="North"/>
    <s v="25-34"/>
    <n v="3389"/>
    <n v="2915"/>
    <n v="2680"/>
    <n v="209"/>
    <n v="106"/>
    <n v="6"/>
    <n v="327.45999999999998"/>
    <x v="1164"/>
    <n v="0.9193825042881647"/>
    <n v="7.7985074626865672E-2"/>
    <n v="0.50717703349282295"/>
    <n v="5.6603773584905662E-2"/>
    <n v="2.2388059701492539E-3"/>
    <n v="3.0892452830188679"/>
    <n v="1.5667942583732057"/>
    <n v="20.165058327734688"/>
  </r>
  <r>
    <x v="241"/>
    <s v="CMP202608012"/>
    <s v="CUST100662"/>
    <x v="2"/>
    <s v="Red Non-Saleable"/>
    <x v="0"/>
    <s v="Central"/>
    <s v="25-34"/>
    <n v="855"/>
    <n v="696"/>
    <n v="651"/>
    <n v="5"/>
    <n v="2"/>
    <n v="0"/>
    <n v="60.3"/>
    <x v="0"/>
    <n v="0.93534482758620685"/>
    <n v="7.6804915514592934E-3"/>
    <n v="0.4"/>
    <n v="0"/>
    <n v="0"/>
    <n v="30.15"/>
    <n v="12.059999999999999"/>
    <n v="-1"/>
  </r>
  <r>
    <x v="241"/>
    <s v="CMP202608021"/>
    <s v="CUST100246"/>
    <x v="0"/>
    <s v="Red Non-Saleable"/>
    <x v="0"/>
    <s v="South"/>
    <s v="35-44"/>
    <n v="542"/>
    <n v="528"/>
    <n v="485"/>
    <n v="24"/>
    <n v="10"/>
    <n v="0"/>
    <n v="72.47"/>
    <x v="0"/>
    <n v="0.91856060606060608"/>
    <n v="4.9484536082474224E-2"/>
    <n v="0.41666666666666669"/>
    <n v="0"/>
    <n v="0"/>
    <n v="7.2469999999999999"/>
    <n v="3.0195833333333333"/>
    <n v="-1"/>
  </r>
  <r>
    <x v="241"/>
    <s v="CMP202608033"/>
    <s v="CUST100394"/>
    <x v="2"/>
    <s v="Red Non-Saleable"/>
    <x v="1"/>
    <s v="North"/>
    <s v="18-24"/>
    <n v="1152"/>
    <n v="1012"/>
    <n v="978"/>
    <n v="19"/>
    <n v="11"/>
    <n v="1"/>
    <n v="74.27"/>
    <x v="1165"/>
    <n v="0.96640316205533594"/>
    <n v="1.9427402862985686E-2"/>
    <n v="0.57894736842105265"/>
    <n v="9.0909090909090912E-2"/>
    <n v="1.0224948875255625E-3"/>
    <n v="6.7518181818181811"/>
    <n v="3.9089473684210523"/>
    <n v="12.067187289618959"/>
  </r>
  <r>
    <x v="241"/>
    <s v="CMP202608051"/>
    <s v="CUST100922"/>
    <x v="2"/>
    <s v="Red Non-Saleable"/>
    <x v="0"/>
    <s v="North"/>
    <s v="55+"/>
    <n v="2096"/>
    <n v="1792"/>
    <n v="1683"/>
    <n v="47"/>
    <n v="22"/>
    <n v="0"/>
    <n v="159.93"/>
    <x v="0"/>
    <n v="0.9391741071428571"/>
    <n v="2.7926322043969103E-2"/>
    <n v="0.46808510638297873"/>
    <n v="0"/>
    <n v="0"/>
    <n v="7.2695454545454545"/>
    <n v="3.4027659574468085"/>
    <n v="-1"/>
  </r>
  <r>
    <x v="241"/>
    <s v="CMP202608062"/>
    <s v="CUST100872"/>
    <x v="1"/>
    <s v="Red Non-Saleable"/>
    <x v="0"/>
    <s v="North"/>
    <s v="35-44"/>
    <n v="3944"/>
    <n v="3017"/>
    <n v="2908"/>
    <n v="9"/>
    <n v="4"/>
    <n v="0"/>
    <n v="496.01"/>
    <x v="0"/>
    <n v="0.96387139542591982"/>
    <n v="3.0949105914718019E-3"/>
    <n v="0.44444444444444442"/>
    <n v="0"/>
    <n v="0"/>
    <n v="124.0025"/>
    <n v="55.112222222222222"/>
    <n v="-1"/>
  </r>
  <r>
    <x v="242"/>
    <s v="CMP202608004"/>
    <s v="CUST101336"/>
    <x v="3"/>
    <s v="Red Non-Saleable"/>
    <x v="0"/>
    <s v="East"/>
    <s v="18-24"/>
    <n v="3785"/>
    <n v="3291"/>
    <n v="3019"/>
    <n v="78"/>
    <n v="39"/>
    <n v="1"/>
    <n v="545.41999999999996"/>
    <x v="1166"/>
    <n v="0.91735034943786087"/>
    <n v="2.5836369658827428E-2"/>
    <n v="0.5"/>
    <n v="2.564102564102564E-2"/>
    <n v="3.3123550844650548E-4"/>
    <n v="13.985128205128204"/>
    <n v="6.9925641025641019"/>
    <n v="1.27267060247149"/>
  </r>
  <r>
    <x v="242"/>
    <s v="CMP202608036"/>
    <s v="CUST101150"/>
    <x v="0"/>
    <s v="Green"/>
    <x v="0"/>
    <s v="Central"/>
    <s v="25-34"/>
    <n v="4558"/>
    <n v="3799"/>
    <n v="3462"/>
    <n v="242"/>
    <n v="123"/>
    <n v="8"/>
    <n v="477.9"/>
    <x v="1167"/>
    <n v="0.91129244538036325"/>
    <n v="6.9901790872328132E-2"/>
    <n v="0.50826446280991733"/>
    <n v="6.5040650406504072E-2"/>
    <n v="2.3108030040439051E-3"/>
    <n v="3.8853658536585365"/>
    <n v="1.9747933884297519"/>
    <n v="22.045406988909814"/>
  </r>
  <r>
    <x v="242"/>
    <s v="CMP202608047"/>
    <s v="CUST100531"/>
    <x v="2"/>
    <s v="Green"/>
    <x v="1"/>
    <s v="West"/>
    <s v="35-44"/>
    <n v="4690"/>
    <n v="3944"/>
    <n v="3764"/>
    <n v="401"/>
    <n v="225"/>
    <n v="24"/>
    <n v="320.41000000000003"/>
    <x v="1168"/>
    <n v="0.95436105476673427"/>
    <n v="0.1065356004250797"/>
    <n v="0.56109725685785539"/>
    <n v="0.10666666666666667"/>
    <n v="6.376195536663124E-3"/>
    <n v="1.4240444444444444"/>
    <n v="0.7990274314214465"/>
    <n v="104.54096314097559"/>
  </r>
  <r>
    <x v="242"/>
    <s v="CMP202608071"/>
    <s v="CUST100319"/>
    <x v="2"/>
    <s v="Amber"/>
    <x v="0"/>
    <s v="North"/>
    <s v="25-34"/>
    <n v="4965"/>
    <n v="4663"/>
    <n v="4366"/>
    <n v="248"/>
    <n v="106"/>
    <n v="6"/>
    <n v="386.89"/>
    <x v="1169"/>
    <n v="0.93630709843448423"/>
    <n v="5.6802565277141545E-2"/>
    <n v="0.42741935483870969"/>
    <n v="5.6603773584905662E-2"/>
    <n v="1.3742556115437471E-3"/>
    <n v="3.6499056603773585"/>
    <n v="1.5600403225806452"/>
    <n v="19.7347049548967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F879A-B45C-4972-A224-13E68CAEB18A}"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8" firstHeaderRow="0" firstDataRow="1" firstDataCol="1"/>
  <pivotFields count="26">
    <pivotField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2" showAll="0"/>
    <pivotField numFmtId="2"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4">
    <i>
      <x/>
    </i>
    <i i="1">
      <x v="1"/>
    </i>
    <i i="2">
      <x v="2"/>
    </i>
    <i i="3">
      <x v="3"/>
    </i>
  </colItems>
  <dataFields count="4">
    <dataField name="Sum of Logins" fld="12" baseField="0" baseItem="0"/>
    <dataField name="Sum of Spend" fld="14" baseField="0" baseItem="0"/>
    <dataField name="Sum of Revenue" fld="15" baseField="0" baseItem="0"/>
    <dataField name="Sum of Conversions" fld="13" baseField="0" baseItem="0"/>
  </dataFields>
  <formats count="4">
    <format dxfId="4">
      <pivotArea collapsedLevelsAreSubtotals="1" fieldPosition="0">
        <references count="2">
          <reference field="4294967294" count="1" selected="0">
            <x v="2"/>
          </reference>
          <reference field="3" count="1">
            <x v="0"/>
          </reference>
        </references>
      </pivotArea>
    </format>
    <format dxfId="3">
      <pivotArea collapsedLevelsAreSubtotals="1" fieldPosition="0">
        <references count="2">
          <reference field="4294967294" count="1" selected="0">
            <x v="2"/>
          </reference>
          <reference field="3" count="1">
            <x v="1"/>
          </reference>
        </references>
      </pivotArea>
    </format>
    <format dxfId="2">
      <pivotArea collapsedLevelsAreSubtotals="1" fieldPosition="0">
        <references count="2">
          <reference field="4294967294" count="1" selected="0">
            <x v="2"/>
          </reference>
          <reference field="3" count="1">
            <x v="2"/>
          </reference>
        </references>
      </pivotArea>
    </format>
    <format dxfId="1">
      <pivotArea collapsedLevelsAreSubtotals="1" fieldPosition="0">
        <references count="2">
          <reference field="4294967294" count="1" selected="0">
            <x v="2"/>
          </reference>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4A341E-1CD9-4510-97CB-CAAB9648B75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A3:E6" firstHeaderRow="0" firstDataRow="1" firstDataCol="1"/>
  <pivotFields count="26">
    <pivotField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2" showAll="0"/>
    <pivotField numFmtId="2"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Fields count="1">
    <field x="-2"/>
  </colFields>
  <colItems count="4">
    <i>
      <x/>
    </i>
    <i i="1">
      <x v="1"/>
    </i>
    <i i="2">
      <x v="2"/>
    </i>
    <i i="3">
      <x v="3"/>
    </i>
  </colItems>
  <dataFields count="4">
    <dataField name="Sum of Spend" fld="14" baseField="0" baseItem="0"/>
    <dataField name="Sum of Logins" fld="12" baseField="0" baseItem="0"/>
    <dataField name="Sum of Revenue" fld="15" baseField="0" baseItem="0"/>
    <dataField name="Sum of Conversio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4A653B-018E-4D41-A6A9-8C8E5AE5173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0" firstDataRow="1" firstDataCol="1"/>
  <pivotFields count="26">
    <pivotField axis="axisRow" numFmtId="164" showAll="0">
      <items count="2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2" showAll="0"/>
    <pivotField numFmtId="2"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0"/>
  </rowFields>
  <rowItems count="9">
    <i>
      <x v="1"/>
    </i>
    <i>
      <x v="2"/>
    </i>
    <i>
      <x v="3"/>
    </i>
    <i>
      <x v="4"/>
    </i>
    <i>
      <x v="5"/>
    </i>
    <i>
      <x v="6"/>
    </i>
    <i>
      <x v="7"/>
    </i>
    <i>
      <x v="8"/>
    </i>
    <i t="grand">
      <x/>
    </i>
  </rowItems>
  <colFields count="1">
    <field x="-2"/>
  </colFields>
  <colItems count="4">
    <i>
      <x/>
    </i>
    <i i="1">
      <x v="1"/>
    </i>
    <i i="2">
      <x v="2"/>
    </i>
    <i i="3">
      <x v="3"/>
    </i>
  </colItems>
  <dataFields count="4">
    <dataField name="Sum of Logins" fld="12" baseField="0" baseItem="0"/>
    <dataField name="Sum of Spend" fld="14" baseField="0" baseItem="0"/>
    <dataField name="Sum of Conversions" fld="13" baseField="0" baseItem="0"/>
    <dataField name="Sum of Revenue" fld="15" baseField="0" baseItem="0"/>
  </dataFields>
  <formats count="1">
    <format dxfId="0">
      <pivotArea collapsedLevelsAreSubtotals="1" fieldPosition="0">
        <references count="2">
          <reference field="4294967294" count="1" selected="0">
            <x v="3"/>
          </reference>
          <reference field="2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61BA-2F28-4953-A293-8AC8929804A9}">
  <dimension ref="A1:Q8"/>
  <sheetViews>
    <sheetView topLeftCell="E1" workbookViewId="0">
      <selection activeCell="R4" sqref="R4"/>
    </sheetView>
  </sheetViews>
  <sheetFormatPr defaultRowHeight="14.5" x14ac:dyDescent="0.35"/>
  <cols>
    <col min="1" max="1" width="12.36328125" bestFit="1" customWidth="1"/>
    <col min="2" max="2" width="12.26953125" bestFit="1" customWidth="1"/>
    <col min="3" max="3" width="14.36328125" bestFit="1" customWidth="1"/>
    <col min="4" max="4" width="17.453125" bestFit="1" customWidth="1"/>
    <col min="5" max="5" width="18.54296875" customWidth="1"/>
    <col min="7" max="7" width="13.08984375" bestFit="1" customWidth="1"/>
    <col min="9" max="9" width="8" customWidth="1"/>
    <col min="10" max="10" width="10.453125" customWidth="1"/>
    <col min="12" max="12" width="12" customWidth="1"/>
    <col min="14" max="14" width="10" customWidth="1"/>
    <col min="17" max="17" width="23.54296875" bestFit="1" customWidth="1"/>
    <col min="19" max="19" width="10.08984375" customWidth="1"/>
    <col min="20" max="20" width="10.54296875" customWidth="1"/>
  </cols>
  <sheetData>
    <row r="1" spans="1:17" x14ac:dyDescent="0.35">
      <c r="J1" s="41" t="s">
        <v>2132</v>
      </c>
      <c r="K1" s="41"/>
      <c r="L1" s="41"/>
    </row>
    <row r="3" spans="1:17" x14ac:dyDescent="0.35">
      <c r="A3" s="10" t="s">
        <v>2125</v>
      </c>
      <c r="B3" t="s">
        <v>2131</v>
      </c>
      <c r="C3" t="s">
        <v>2129</v>
      </c>
      <c r="D3" t="s">
        <v>2128</v>
      </c>
      <c r="E3" t="s">
        <v>2127</v>
      </c>
      <c r="F3" s="13" t="s">
        <v>2120</v>
      </c>
      <c r="G3" s="13" t="s">
        <v>2130</v>
      </c>
      <c r="J3" s="15" t="s">
        <v>3</v>
      </c>
      <c r="K3" s="17" t="s">
        <v>12</v>
      </c>
      <c r="L3" s="17" t="s">
        <v>13</v>
      </c>
      <c r="M3" s="17" t="s">
        <v>2133</v>
      </c>
      <c r="N3" s="15" t="s">
        <v>14</v>
      </c>
      <c r="O3" s="17" t="s">
        <v>15</v>
      </c>
      <c r="P3" s="17" t="s">
        <v>2124</v>
      </c>
      <c r="Q3" s="8" t="s">
        <v>2134</v>
      </c>
    </row>
    <row r="4" spans="1:17" x14ac:dyDescent="0.35">
      <c r="A4" s="11" t="s">
        <v>34</v>
      </c>
      <c r="B4">
        <v>25973</v>
      </c>
      <c r="C4">
        <v>93227.950000000026</v>
      </c>
      <c r="D4" s="12">
        <v>1884377.8800000004</v>
      </c>
      <c r="E4">
        <v>1581</v>
      </c>
      <c r="F4" s="14">
        <f>E4/B4</f>
        <v>6.0870904400723826E-2</v>
      </c>
      <c r="G4" s="5">
        <f>(D4-C4)/C4</f>
        <v>19.212585174295906</v>
      </c>
      <c r="J4" t="str">
        <f>A4</f>
        <v>Email</v>
      </c>
      <c r="K4">
        <f>B4</f>
        <v>25973</v>
      </c>
      <c r="L4">
        <f>E4</f>
        <v>1581</v>
      </c>
      <c r="M4" s="18">
        <f>F4</f>
        <v>6.0870904400723826E-2</v>
      </c>
      <c r="N4">
        <f>C4</f>
        <v>93227.950000000026</v>
      </c>
      <c r="O4" s="12">
        <f>D4</f>
        <v>1884377.8800000004</v>
      </c>
      <c r="P4" s="19">
        <f>G4</f>
        <v>19.212585174295906</v>
      </c>
      <c r="Q4" s="14">
        <f>L4/SUM($L$4:$L$7)</f>
        <v>0.32517482517482516</v>
      </c>
    </row>
    <row r="5" spans="1:17" x14ac:dyDescent="0.35">
      <c r="A5" s="11" t="s">
        <v>18</v>
      </c>
      <c r="B5">
        <v>29199</v>
      </c>
      <c r="C5">
        <v>121393.83000000005</v>
      </c>
      <c r="D5" s="12">
        <v>1979683.4500000014</v>
      </c>
      <c r="E5">
        <v>1751</v>
      </c>
      <c r="F5" s="14">
        <f t="shared" ref="F5:F7" si="0">E5/B5</f>
        <v>5.9967807116682079E-2</v>
      </c>
      <c r="G5" s="5">
        <f t="shared" ref="G5:G7" si="1">(D5-C5)/C5</f>
        <v>15.307941268514229</v>
      </c>
      <c r="J5" t="str">
        <f t="shared" ref="J5:J7" si="2">A5</f>
        <v>RCS</v>
      </c>
      <c r="K5">
        <f t="shared" ref="K5:K7" si="3">B5</f>
        <v>29199</v>
      </c>
      <c r="L5">
        <f t="shared" ref="L5:L7" si="4">E5</f>
        <v>1751</v>
      </c>
      <c r="M5" s="18">
        <f t="shared" ref="M5:M7" si="5">F5</f>
        <v>5.9967807116682079E-2</v>
      </c>
      <c r="N5">
        <f t="shared" ref="N5:N7" si="6">C5</f>
        <v>121393.83000000005</v>
      </c>
      <c r="O5" s="12">
        <f t="shared" ref="O5:O7" si="7">D5</f>
        <v>1979683.4500000014</v>
      </c>
      <c r="P5" s="19">
        <f t="shared" ref="P5:P7" si="8">G5</f>
        <v>15.307941268514229</v>
      </c>
      <c r="Q5" s="14">
        <f t="shared" ref="Q5:Q7" si="9">L5/SUM($L$4:$L$7)</f>
        <v>0.36013986013986016</v>
      </c>
    </row>
    <row r="6" spans="1:17" x14ac:dyDescent="0.35">
      <c r="A6" s="11" t="s">
        <v>31</v>
      </c>
      <c r="B6">
        <v>10349</v>
      </c>
      <c r="C6">
        <v>138965.34999999989</v>
      </c>
      <c r="D6" s="12">
        <v>711695.92000000027</v>
      </c>
      <c r="E6">
        <v>611</v>
      </c>
      <c r="F6" s="14">
        <f t="shared" si="0"/>
        <v>5.9039520726640253E-2</v>
      </c>
      <c r="G6" s="5">
        <f t="shared" si="1"/>
        <v>4.1213911957189389</v>
      </c>
      <c r="J6" t="str">
        <f t="shared" si="2"/>
        <v>SMS</v>
      </c>
      <c r="K6">
        <f t="shared" si="3"/>
        <v>10349</v>
      </c>
      <c r="L6">
        <f t="shared" si="4"/>
        <v>611</v>
      </c>
      <c r="M6" s="18">
        <f t="shared" si="5"/>
        <v>5.9039520726640253E-2</v>
      </c>
      <c r="N6">
        <f t="shared" si="6"/>
        <v>138965.34999999989</v>
      </c>
      <c r="O6" s="12">
        <f t="shared" si="7"/>
        <v>711695.92000000027</v>
      </c>
      <c r="P6" s="19">
        <f t="shared" si="8"/>
        <v>4.1213911957189389</v>
      </c>
      <c r="Q6" s="14">
        <f t="shared" si="9"/>
        <v>0.12566844919786097</v>
      </c>
    </row>
    <row r="7" spans="1:17" x14ac:dyDescent="0.35">
      <c r="A7" s="11" t="s">
        <v>40</v>
      </c>
      <c r="B7">
        <v>15787</v>
      </c>
      <c r="C7">
        <v>92875.509999999937</v>
      </c>
      <c r="D7" s="12">
        <v>1053133.5900000001</v>
      </c>
      <c r="E7">
        <v>919</v>
      </c>
      <c r="F7" s="14">
        <f t="shared" si="0"/>
        <v>5.8212453284347883E-2</v>
      </c>
      <c r="G7" s="5">
        <f t="shared" si="1"/>
        <v>10.339195768615438</v>
      </c>
      <c r="J7" t="str">
        <f t="shared" si="2"/>
        <v>WhatsApp</v>
      </c>
      <c r="K7">
        <f t="shared" si="3"/>
        <v>15787</v>
      </c>
      <c r="L7">
        <f t="shared" si="4"/>
        <v>919</v>
      </c>
      <c r="M7" s="18">
        <f t="shared" si="5"/>
        <v>5.8212453284347883E-2</v>
      </c>
      <c r="N7">
        <f t="shared" si="6"/>
        <v>92875.509999999937</v>
      </c>
      <c r="O7" s="12">
        <f t="shared" si="7"/>
        <v>1053133.5900000001</v>
      </c>
      <c r="P7" s="19">
        <f t="shared" si="8"/>
        <v>10.339195768615438</v>
      </c>
      <c r="Q7" s="14">
        <f t="shared" si="9"/>
        <v>0.18901686548745372</v>
      </c>
    </row>
    <row r="8" spans="1:17" x14ac:dyDescent="0.35">
      <c r="A8" s="11" t="s">
        <v>2126</v>
      </c>
      <c r="B8">
        <v>81308</v>
      </c>
      <c r="C8">
        <v>446462.63999999996</v>
      </c>
      <c r="D8">
        <v>5628890.8400000017</v>
      </c>
      <c r="E8">
        <v>4862</v>
      </c>
    </row>
  </sheetData>
  <mergeCells count="1">
    <mergeCell ref="J1:L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B007-E337-460D-8FDB-BEB0D577602C}">
  <dimension ref="A1:R6"/>
  <sheetViews>
    <sheetView topLeftCell="F1" zoomScaleNormal="100" workbookViewId="0">
      <selection activeCell="O6" sqref="O6"/>
    </sheetView>
  </sheetViews>
  <sheetFormatPr defaultRowHeight="14.5" x14ac:dyDescent="0.35"/>
  <cols>
    <col min="1" max="1" width="15.81640625" bestFit="1" customWidth="1"/>
    <col min="2" max="3" width="12.26953125" bestFit="1" customWidth="1"/>
    <col min="4" max="4" width="14.90625" customWidth="1"/>
    <col min="5" max="5" width="17.453125" bestFit="1" customWidth="1"/>
    <col min="7" max="7" width="20.6328125" customWidth="1"/>
    <col min="9" max="9" width="9.81640625" customWidth="1"/>
    <col min="11" max="11" width="15" customWidth="1"/>
    <col min="13" max="13" width="15.1796875" customWidth="1"/>
    <col min="15" max="15" width="12.81640625" bestFit="1" customWidth="1"/>
    <col min="16" max="16" width="14.453125" bestFit="1" customWidth="1"/>
    <col min="18" max="18" width="14.81640625" customWidth="1"/>
  </cols>
  <sheetData>
    <row r="1" spans="1:18" x14ac:dyDescent="0.35">
      <c r="K1" s="42" t="s">
        <v>2138</v>
      </c>
      <c r="L1" s="42"/>
      <c r="M1" s="42"/>
      <c r="N1" s="42"/>
    </row>
    <row r="3" spans="1:18" ht="29" x14ac:dyDescent="0.35">
      <c r="A3" s="10" t="s">
        <v>2135</v>
      </c>
      <c r="B3" t="s">
        <v>2129</v>
      </c>
      <c r="C3" t="s">
        <v>2131</v>
      </c>
      <c r="D3" t="s">
        <v>2128</v>
      </c>
      <c r="E3" t="s">
        <v>2127</v>
      </c>
      <c r="F3" s="20" t="s">
        <v>2120</v>
      </c>
      <c r="G3" s="20" t="s">
        <v>2136</v>
      </c>
      <c r="H3" s="20" t="s">
        <v>2137</v>
      </c>
      <c r="K3" s="15" t="s">
        <v>2135</v>
      </c>
      <c r="L3" s="17" t="s">
        <v>12</v>
      </c>
      <c r="M3" s="17" t="s">
        <v>13</v>
      </c>
      <c r="N3" s="17" t="s">
        <v>2133</v>
      </c>
      <c r="O3" s="17" t="s">
        <v>14</v>
      </c>
      <c r="P3" s="17" t="s">
        <v>15</v>
      </c>
      <c r="Q3" s="17" t="s">
        <v>2124</v>
      </c>
      <c r="R3" s="17" t="s">
        <v>2136</v>
      </c>
    </row>
    <row r="4" spans="1:18" x14ac:dyDescent="0.35">
      <c r="A4" s="11" t="s">
        <v>20</v>
      </c>
      <c r="B4">
        <v>308401.98000000021</v>
      </c>
      <c r="C4">
        <v>45372</v>
      </c>
      <c r="D4">
        <v>2633626.5000000028</v>
      </c>
      <c r="E4">
        <v>2362</v>
      </c>
      <c r="F4" s="14">
        <f>E4/C4</f>
        <v>5.2058538305562903E-2</v>
      </c>
      <c r="G4" s="5">
        <f>D4/SUM($D$4:$D$5)</f>
        <v>0.46787663411145541</v>
      </c>
      <c r="H4" s="5">
        <f>(D4-B4)/B4</f>
        <v>7.5395901154720235</v>
      </c>
      <c r="K4" s="21" t="s">
        <v>20</v>
      </c>
      <c r="L4" s="22">
        <f>C4</f>
        <v>45372</v>
      </c>
      <c r="M4" s="22">
        <f>E4</f>
        <v>2362</v>
      </c>
      <c r="N4" s="23">
        <f>F4</f>
        <v>5.2058538305562903E-2</v>
      </c>
      <c r="O4" s="24">
        <f>B4</f>
        <v>308401.98000000021</v>
      </c>
      <c r="P4" s="24">
        <f>D4</f>
        <v>2633626.5000000028</v>
      </c>
      <c r="Q4" s="25">
        <f>H4</f>
        <v>7.5395901154720235</v>
      </c>
      <c r="R4" s="25">
        <f>G4</f>
        <v>0.46787663411145541</v>
      </c>
    </row>
    <row r="5" spans="1:18" x14ac:dyDescent="0.35">
      <c r="A5" s="11" t="s">
        <v>26</v>
      </c>
      <c r="B5">
        <v>138060.66000000006</v>
      </c>
      <c r="C5">
        <v>35936</v>
      </c>
      <c r="D5">
        <v>2995264.3399999971</v>
      </c>
      <c r="E5">
        <v>2500</v>
      </c>
      <c r="F5" s="14">
        <f>E5/C5</f>
        <v>6.9568121104185213E-2</v>
      </c>
      <c r="G5" s="5">
        <f>D5/SUM($D$4:$D$5)</f>
        <v>0.53212336588854459</v>
      </c>
      <c r="H5" s="5">
        <f>(D5-B5)/B5</f>
        <v>20.695277568570191</v>
      </c>
      <c r="K5" s="21" t="s">
        <v>26</v>
      </c>
      <c r="L5" s="22">
        <f>C5</f>
        <v>35936</v>
      </c>
      <c r="M5" s="22">
        <f>E5</f>
        <v>2500</v>
      </c>
      <c r="N5" s="23">
        <f>F5</f>
        <v>6.9568121104185213E-2</v>
      </c>
      <c r="O5" s="24">
        <f>B5</f>
        <v>138060.66000000006</v>
      </c>
      <c r="P5" s="24">
        <f>D5</f>
        <v>2995264.3399999971</v>
      </c>
      <c r="Q5" s="25">
        <f>H5</f>
        <v>20.695277568570191</v>
      </c>
      <c r="R5" s="25">
        <f>G5</f>
        <v>0.53212336588854459</v>
      </c>
    </row>
    <row r="6" spans="1:18" x14ac:dyDescent="0.35">
      <c r="A6" s="11" t="s">
        <v>2126</v>
      </c>
      <c r="B6">
        <v>446462.64000000025</v>
      </c>
      <c r="C6">
        <v>81308</v>
      </c>
      <c r="D6">
        <v>5628890.8399999999</v>
      </c>
      <c r="E6">
        <v>4862</v>
      </c>
    </row>
  </sheetData>
  <mergeCells count="1">
    <mergeCell ref="K1:N1"/>
  </mergeCell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2056-DCF5-4A28-AEA5-BE48B897A412}">
  <dimension ref="A1:O12"/>
  <sheetViews>
    <sheetView workbookViewId="0">
      <selection activeCell="B15" sqref="B15"/>
    </sheetView>
  </sheetViews>
  <sheetFormatPr defaultRowHeight="14.5" x14ac:dyDescent="0.35"/>
  <cols>
    <col min="1" max="1" width="12.36328125" bestFit="1" customWidth="1"/>
    <col min="2" max="3" width="12.26953125" bestFit="1" customWidth="1"/>
    <col min="4" max="4" width="17.453125" bestFit="1" customWidth="1"/>
    <col min="5" max="5" width="14.36328125" bestFit="1" customWidth="1"/>
    <col min="6" max="6" width="9.54296875" customWidth="1"/>
    <col min="10" max="10" width="13.6328125" customWidth="1"/>
    <col min="11" max="11" width="11.26953125" customWidth="1"/>
    <col min="12" max="12" width="12.6328125" customWidth="1"/>
    <col min="13" max="13" width="14.36328125" customWidth="1"/>
    <col min="14" max="14" width="15.08984375" customWidth="1"/>
    <col min="15" max="15" width="18.26953125" customWidth="1"/>
    <col min="18" max="18" width="11.26953125" customWidth="1"/>
  </cols>
  <sheetData>
    <row r="1" spans="1:15" x14ac:dyDescent="0.35">
      <c r="H1" s="43" t="s">
        <v>2148</v>
      </c>
      <c r="I1" s="43"/>
      <c r="J1" s="43"/>
    </row>
    <row r="3" spans="1:15" ht="28" customHeight="1" x14ac:dyDescent="0.35">
      <c r="A3" s="10" t="s">
        <v>2125</v>
      </c>
      <c r="B3" t="s">
        <v>2131</v>
      </c>
      <c r="C3" t="s">
        <v>2129</v>
      </c>
      <c r="D3" t="s">
        <v>2127</v>
      </c>
      <c r="E3" t="s">
        <v>2128</v>
      </c>
      <c r="H3" s="27" t="s">
        <v>2147</v>
      </c>
      <c r="I3" s="28" t="s">
        <v>12</v>
      </c>
      <c r="J3" s="28" t="s">
        <v>13</v>
      </c>
      <c r="K3" s="28" t="s">
        <v>2133</v>
      </c>
      <c r="L3" s="28" t="s">
        <v>14</v>
      </c>
      <c r="M3" s="28" t="s">
        <v>15</v>
      </c>
      <c r="N3" s="28" t="s">
        <v>2124</v>
      </c>
      <c r="O3" s="28" t="s">
        <v>2134</v>
      </c>
    </row>
    <row r="4" spans="1:15" x14ac:dyDescent="0.35">
      <c r="A4" s="11" t="s">
        <v>2139</v>
      </c>
      <c r="B4">
        <v>11935</v>
      </c>
      <c r="C4">
        <v>62484.930000000044</v>
      </c>
      <c r="D4">
        <v>726</v>
      </c>
      <c r="E4" s="12">
        <v>845670.68</v>
      </c>
      <c r="H4" s="21" t="s">
        <v>2139</v>
      </c>
      <c r="I4" s="22">
        <f t="shared" ref="I4:I11" si="0">B4</f>
        <v>11935</v>
      </c>
      <c r="J4" s="16">
        <f t="shared" ref="J4:J11" si="1">D4</f>
        <v>726</v>
      </c>
      <c r="K4" s="23">
        <f>J4/I4</f>
        <v>6.0829493087557605E-2</v>
      </c>
      <c r="L4" s="24">
        <f t="shared" ref="L4:L11" si="2">C4</f>
        <v>62484.930000000044</v>
      </c>
      <c r="M4" s="26">
        <f t="shared" ref="M4:M11" si="3">E4</f>
        <v>845670.68</v>
      </c>
      <c r="N4" s="23">
        <f>(M4-L4)/L4</f>
        <v>12.533994196680695</v>
      </c>
      <c r="O4" s="23">
        <f>J4/SUM($J$4:$J$11)</f>
        <v>0.14932126696832579</v>
      </c>
    </row>
    <row r="5" spans="1:15" x14ac:dyDescent="0.35">
      <c r="A5" s="11" t="s">
        <v>2140</v>
      </c>
      <c r="B5">
        <v>8497</v>
      </c>
      <c r="C5">
        <v>46920.400000000016</v>
      </c>
      <c r="D5">
        <v>521</v>
      </c>
      <c r="E5">
        <v>599468.42000000016</v>
      </c>
      <c r="H5" s="21" t="s">
        <v>2140</v>
      </c>
      <c r="I5" s="22">
        <f t="shared" si="0"/>
        <v>8497</v>
      </c>
      <c r="J5" s="16">
        <f t="shared" si="1"/>
        <v>521</v>
      </c>
      <c r="K5" s="23">
        <f t="shared" ref="K5:K11" si="4">J5/I5</f>
        <v>6.1315758503001062E-2</v>
      </c>
      <c r="L5" s="24">
        <f t="shared" si="2"/>
        <v>46920.400000000016</v>
      </c>
      <c r="M5" s="24">
        <f t="shared" si="3"/>
        <v>599468.42000000016</v>
      </c>
      <c r="N5" s="23">
        <f t="shared" ref="N5:N11" si="5">(M5-L5)/L5</f>
        <v>11.77628536841118</v>
      </c>
      <c r="O5" s="23">
        <f t="shared" ref="O5:O11" si="6">J5/SUM($J$4:$J$11)</f>
        <v>0.10715754833401893</v>
      </c>
    </row>
    <row r="6" spans="1:15" x14ac:dyDescent="0.35">
      <c r="A6" s="11" t="s">
        <v>2141</v>
      </c>
      <c r="B6">
        <v>9287</v>
      </c>
      <c r="C6">
        <v>51124.829999999994</v>
      </c>
      <c r="D6">
        <v>566</v>
      </c>
      <c r="E6">
        <v>654462.24</v>
      </c>
      <c r="H6" s="21" t="s">
        <v>2141</v>
      </c>
      <c r="I6" s="22">
        <f t="shared" si="0"/>
        <v>9287</v>
      </c>
      <c r="J6" s="16">
        <f t="shared" si="1"/>
        <v>566</v>
      </c>
      <c r="K6" s="23">
        <f t="shared" si="4"/>
        <v>6.0945407558953377E-2</v>
      </c>
      <c r="L6" s="24">
        <f t="shared" si="2"/>
        <v>51124.829999999994</v>
      </c>
      <c r="M6" s="24">
        <f t="shared" si="3"/>
        <v>654462.24</v>
      </c>
      <c r="N6" s="23">
        <f t="shared" si="5"/>
        <v>11.801259974849795</v>
      </c>
      <c r="O6" s="23">
        <f t="shared" si="6"/>
        <v>0.11641299876593994</v>
      </c>
    </row>
    <row r="7" spans="1:15" x14ac:dyDescent="0.35">
      <c r="A7" s="11" t="s">
        <v>2142</v>
      </c>
      <c r="B7">
        <v>9998</v>
      </c>
      <c r="C7">
        <v>56135.479999999981</v>
      </c>
      <c r="D7">
        <v>573</v>
      </c>
      <c r="E7">
        <v>641990.18999999971</v>
      </c>
      <c r="H7" s="21" t="s">
        <v>2142</v>
      </c>
      <c r="I7" s="22">
        <f t="shared" si="0"/>
        <v>9998</v>
      </c>
      <c r="J7" s="16">
        <f t="shared" si="1"/>
        <v>573</v>
      </c>
      <c r="K7" s="23">
        <f t="shared" si="4"/>
        <v>5.7311462292458488E-2</v>
      </c>
      <c r="L7" s="24">
        <f t="shared" si="2"/>
        <v>56135.479999999981</v>
      </c>
      <c r="M7" s="24">
        <f t="shared" si="3"/>
        <v>641990.18999999971</v>
      </c>
      <c r="N7" s="23">
        <f t="shared" si="5"/>
        <v>10.436442513718594</v>
      </c>
      <c r="O7" s="23">
        <f t="shared" si="6"/>
        <v>0.11785273549979432</v>
      </c>
    </row>
    <row r="8" spans="1:15" x14ac:dyDescent="0.35">
      <c r="A8" s="11" t="s">
        <v>2143</v>
      </c>
      <c r="B8">
        <v>9340</v>
      </c>
      <c r="C8">
        <v>47972.689999999995</v>
      </c>
      <c r="D8">
        <v>578</v>
      </c>
      <c r="E8">
        <v>658972.85000000009</v>
      </c>
      <c r="H8" s="21" t="s">
        <v>2143</v>
      </c>
      <c r="I8" s="22">
        <f t="shared" si="0"/>
        <v>9340</v>
      </c>
      <c r="J8" s="16">
        <f t="shared" si="1"/>
        <v>578</v>
      </c>
      <c r="K8" s="23">
        <f t="shared" si="4"/>
        <v>6.188436830835118E-2</v>
      </c>
      <c r="L8" s="24">
        <f t="shared" si="2"/>
        <v>47972.689999999995</v>
      </c>
      <c r="M8" s="24">
        <f t="shared" si="3"/>
        <v>658972.85000000009</v>
      </c>
      <c r="N8" s="23">
        <f t="shared" si="5"/>
        <v>12.736416490298964</v>
      </c>
      <c r="O8" s="23">
        <f t="shared" si="6"/>
        <v>0.11888111888111888</v>
      </c>
    </row>
    <row r="9" spans="1:15" x14ac:dyDescent="0.35">
      <c r="A9" s="11" t="s">
        <v>2144</v>
      </c>
      <c r="B9">
        <v>10259</v>
      </c>
      <c r="C9">
        <v>55342.879999999997</v>
      </c>
      <c r="D9">
        <v>611</v>
      </c>
      <c r="E9">
        <v>710465.74999999977</v>
      </c>
      <c r="H9" s="21" t="s">
        <v>2144</v>
      </c>
      <c r="I9" s="22">
        <f t="shared" si="0"/>
        <v>10259</v>
      </c>
      <c r="J9" s="16">
        <f t="shared" si="1"/>
        <v>611</v>
      </c>
      <c r="K9" s="23">
        <f t="shared" si="4"/>
        <v>5.9557461740910422E-2</v>
      </c>
      <c r="L9" s="24">
        <f t="shared" si="2"/>
        <v>55342.879999999997</v>
      </c>
      <c r="M9" s="24">
        <f t="shared" si="3"/>
        <v>710465.74999999977</v>
      </c>
      <c r="N9" s="23">
        <f t="shared" si="5"/>
        <v>11.837527609694323</v>
      </c>
      <c r="O9" s="23">
        <f t="shared" si="6"/>
        <v>0.12566844919786097</v>
      </c>
    </row>
    <row r="10" spans="1:15" x14ac:dyDescent="0.35">
      <c r="A10" s="11" t="s">
        <v>2145</v>
      </c>
      <c r="B10">
        <v>9813</v>
      </c>
      <c r="C10">
        <v>58131.630000000005</v>
      </c>
      <c r="D10">
        <v>581</v>
      </c>
      <c r="E10">
        <v>694600.58</v>
      </c>
      <c r="H10" s="21" t="s">
        <v>2145</v>
      </c>
      <c r="I10" s="22">
        <f t="shared" si="0"/>
        <v>9813</v>
      </c>
      <c r="J10" s="16">
        <f t="shared" si="1"/>
        <v>581</v>
      </c>
      <c r="K10" s="23">
        <f t="shared" si="4"/>
        <v>5.9207174156730866E-2</v>
      </c>
      <c r="L10" s="24">
        <f t="shared" si="2"/>
        <v>58131.630000000005</v>
      </c>
      <c r="M10" s="24">
        <f t="shared" si="3"/>
        <v>694600.58</v>
      </c>
      <c r="N10" s="23">
        <f t="shared" si="5"/>
        <v>10.948754576467232</v>
      </c>
      <c r="O10" s="23">
        <f t="shared" si="6"/>
        <v>0.11949814890991362</v>
      </c>
    </row>
    <row r="11" spans="1:15" x14ac:dyDescent="0.35">
      <c r="A11" s="11" t="s">
        <v>2146</v>
      </c>
      <c r="B11">
        <v>12179</v>
      </c>
      <c r="C11">
        <v>68349.799999999974</v>
      </c>
      <c r="D11">
        <v>706</v>
      </c>
      <c r="E11">
        <v>823260.13</v>
      </c>
      <c r="H11" s="21" t="s">
        <v>2146</v>
      </c>
      <c r="I11" s="22">
        <f t="shared" si="0"/>
        <v>12179</v>
      </c>
      <c r="J11" s="16">
        <f t="shared" si="1"/>
        <v>706</v>
      </c>
      <c r="K11" s="23">
        <f t="shared" si="4"/>
        <v>5.7968634534855075E-2</v>
      </c>
      <c r="L11" s="24">
        <f t="shared" si="2"/>
        <v>68349.799999999974</v>
      </c>
      <c r="M11" s="24">
        <f t="shared" si="3"/>
        <v>823260.13</v>
      </c>
      <c r="N11" s="23">
        <f t="shared" si="5"/>
        <v>11.04480671486969</v>
      </c>
      <c r="O11" s="23">
        <f t="shared" si="6"/>
        <v>0.14520773344302756</v>
      </c>
    </row>
    <row r="12" spans="1:15" x14ac:dyDescent="0.35">
      <c r="A12" s="11" t="s">
        <v>2126</v>
      </c>
      <c r="B12">
        <v>81308</v>
      </c>
      <c r="C12">
        <v>446462.64</v>
      </c>
      <c r="D12">
        <v>4862</v>
      </c>
      <c r="E12">
        <v>5628890.8399999989</v>
      </c>
      <c r="O12" s="18"/>
    </row>
  </sheetData>
  <mergeCells count="1">
    <mergeCell ref="H1:J1"/>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191E3-6999-4280-9FD6-E49494971EE2}">
  <dimension ref="B2:E23"/>
  <sheetViews>
    <sheetView topLeftCell="A17" workbookViewId="0">
      <selection activeCell="B23" sqref="B23"/>
    </sheetView>
  </sheetViews>
  <sheetFormatPr defaultRowHeight="14.5" x14ac:dyDescent="0.35"/>
  <cols>
    <col min="2" max="2" width="54.26953125" customWidth="1"/>
    <col min="3" max="3" width="8.90625" customWidth="1"/>
  </cols>
  <sheetData>
    <row r="2" spans="2:5" ht="25" x14ac:dyDescent="0.5">
      <c r="B2" s="44" t="s">
        <v>2156</v>
      </c>
      <c r="C2" s="44"/>
      <c r="D2" s="44"/>
      <c r="E2" s="44"/>
    </row>
    <row r="4" spans="2:5" ht="18.5" x14ac:dyDescent="0.45">
      <c r="B4" s="34" t="s">
        <v>2158</v>
      </c>
      <c r="C4" s="34"/>
      <c r="D4" s="34"/>
      <c r="E4" s="34"/>
    </row>
    <row r="5" spans="2:5" ht="65" customHeight="1" x14ac:dyDescent="0.35">
      <c r="B5" s="33" t="s">
        <v>2157</v>
      </c>
      <c r="C5" s="33"/>
      <c r="D5" s="33"/>
      <c r="E5" s="33"/>
    </row>
    <row r="7" spans="2:5" ht="18.5" x14ac:dyDescent="0.45">
      <c r="B7" s="45" t="s">
        <v>2159</v>
      </c>
      <c r="C7" s="45"/>
      <c r="D7" s="45"/>
      <c r="E7" s="45"/>
    </row>
    <row r="8" spans="2:5" ht="66" customHeight="1" x14ac:dyDescent="0.35">
      <c r="B8" s="33" t="s">
        <v>2160</v>
      </c>
      <c r="C8" s="33"/>
      <c r="D8" s="33"/>
      <c r="E8" s="33"/>
    </row>
    <row r="10" spans="2:5" ht="18.5" x14ac:dyDescent="0.45">
      <c r="B10" s="46" t="s">
        <v>2161</v>
      </c>
      <c r="C10" s="46"/>
      <c r="D10" s="46"/>
    </row>
    <row r="11" spans="2:5" ht="64" customHeight="1" x14ac:dyDescent="0.35">
      <c r="B11" s="33" t="s">
        <v>2162</v>
      </c>
      <c r="C11" s="33"/>
      <c r="D11" s="33"/>
      <c r="E11" s="33"/>
    </row>
    <row r="14" spans="2:5" ht="25" x14ac:dyDescent="0.5">
      <c r="B14" s="44" t="s">
        <v>2163</v>
      </c>
      <c r="C14" s="44"/>
      <c r="D14" s="44"/>
      <c r="E14" s="44"/>
    </row>
    <row r="16" spans="2:5" ht="18.5" x14ac:dyDescent="0.45">
      <c r="B16" s="34" t="s">
        <v>2164</v>
      </c>
    </row>
    <row r="17" spans="2:2" ht="52.5" customHeight="1" x14ac:dyDescent="0.35">
      <c r="B17" s="33" t="s">
        <v>2165</v>
      </c>
    </row>
    <row r="19" spans="2:2" ht="18.5" x14ac:dyDescent="0.45">
      <c r="B19" s="34" t="s">
        <v>2166</v>
      </c>
    </row>
    <row r="20" spans="2:2" ht="66" customHeight="1" x14ac:dyDescent="0.35">
      <c r="B20" s="33" t="s">
        <v>2167</v>
      </c>
    </row>
    <row r="22" spans="2:2" ht="18.5" x14ac:dyDescent="0.45">
      <c r="B22" s="34" t="s">
        <v>2168</v>
      </c>
    </row>
    <row r="23" spans="2:2" ht="63" customHeight="1" x14ac:dyDescent="0.35">
      <c r="B23" s="33" t="s">
        <v>2169</v>
      </c>
    </row>
  </sheetData>
  <mergeCells count="4">
    <mergeCell ref="B2:E2"/>
    <mergeCell ref="B7:E7"/>
    <mergeCell ref="B10:D10"/>
    <mergeCell ref="B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6322-C73D-4B58-A022-F5F5628F99B6}">
  <dimension ref="B1:Y89"/>
  <sheetViews>
    <sheetView topLeftCell="B52" zoomScale="90" zoomScaleNormal="90" workbookViewId="0">
      <selection activeCell="C2" sqref="C2"/>
    </sheetView>
  </sheetViews>
  <sheetFormatPr defaultRowHeight="14.5" x14ac:dyDescent="0.35"/>
  <cols>
    <col min="2" max="2" width="15.7265625" bestFit="1" customWidth="1"/>
    <col min="3" max="3" width="16.81640625" bestFit="1" customWidth="1"/>
    <col min="5" max="5" width="10.90625" customWidth="1"/>
    <col min="8" max="8" width="15.7265625" customWidth="1"/>
    <col min="17" max="17" width="27.81640625" customWidth="1"/>
  </cols>
  <sheetData>
    <row r="1" spans="2:20" ht="36" customHeight="1" x14ac:dyDescent="0.35">
      <c r="B1" s="47" t="s">
        <v>2155</v>
      </c>
      <c r="C1" s="47"/>
      <c r="D1" s="47"/>
      <c r="E1" s="47"/>
      <c r="F1" s="47"/>
      <c r="G1" s="47"/>
      <c r="H1" s="47"/>
      <c r="I1" s="47"/>
      <c r="J1" s="47"/>
      <c r="K1" s="47"/>
      <c r="L1" s="47"/>
      <c r="M1" s="47"/>
      <c r="N1" s="47"/>
      <c r="O1" s="47"/>
      <c r="P1" s="47"/>
      <c r="Q1" s="47"/>
      <c r="R1" s="47"/>
      <c r="S1" s="47"/>
      <c r="T1" s="47"/>
    </row>
    <row r="2" spans="2:20" ht="18.5" x14ac:dyDescent="0.35">
      <c r="B2" s="29" t="s">
        <v>2149</v>
      </c>
      <c r="C2" s="30">
        <f>'Monthly Performance'!B12</f>
        <v>81308</v>
      </c>
    </row>
    <row r="3" spans="2:20" ht="18.5" x14ac:dyDescent="0.35">
      <c r="B3" s="29" t="s">
        <v>2150</v>
      </c>
      <c r="C3" s="30">
        <f>'Monthly Performance'!D12</f>
        <v>4862</v>
      </c>
    </row>
    <row r="4" spans="2:20" ht="18.5" x14ac:dyDescent="0.35">
      <c r="B4" s="29" t="s">
        <v>2151</v>
      </c>
      <c r="C4" s="31">
        <f>'Monthly Performance'!D12/'Monthly Performance'!B12</f>
        <v>5.9797313917449697E-2</v>
      </c>
    </row>
    <row r="5" spans="2:20" ht="18.5" x14ac:dyDescent="0.35">
      <c r="B5" s="29" t="s">
        <v>2152</v>
      </c>
      <c r="C5" s="32">
        <f>'Monthly Performance'!C12</f>
        <v>446462.64</v>
      </c>
    </row>
    <row r="6" spans="2:20" ht="18.5" x14ac:dyDescent="0.35">
      <c r="B6" s="29" t="s">
        <v>2153</v>
      </c>
      <c r="C6" s="32">
        <f>'Monthly Performance'!E12</f>
        <v>5628890.8399999989</v>
      </c>
    </row>
    <row r="7" spans="2:20" ht="18.5" x14ac:dyDescent="0.35">
      <c r="B7" s="29" t="s">
        <v>2154</v>
      </c>
      <c r="C7" s="31">
        <f>('Monthly Performance'!E12-'Monthly Performance'!C12)/'Monthly Performance'!C12</f>
        <v>11.60775333855482</v>
      </c>
    </row>
    <row r="72" spans="9:25" ht="44" customHeight="1" x14ac:dyDescent="0.35">
      <c r="I72" s="33"/>
      <c r="J72" s="33"/>
      <c r="K72" s="33"/>
      <c r="L72" s="33"/>
      <c r="M72" s="33"/>
      <c r="N72" s="33"/>
      <c r="O72" s="33"/>
      <c r="P72" s="33"/>
      <c r="Q72" s="33"/>
      <c r="R72" s="33"/>
      <c r="S72" s="33"/>
      <c r="T72" s="33"/>
      <c r="U72" s="33"/>
      <c r="V72" s="33"/>
      <c r="W72" s="33"/>
      <c r="X72" s="33"/>
      <c r="Y72" s="33"/>
    </row>
    <row r="75" spans="9:25" ht="52.5" customHeight="1" x14ac:dyDescent="0.35">
      <c r="I75" s="33"/>
      <c r="J75" s="33"/>
      <c r="K75" s="33"/>
      <c r="L75" s="33"/>
      <c r="M75" s="33"/>
      <c r="N75" s="33"/>
      <c r="O75" s="33"/>
      <c r="P75" s="33"/>
      <c r="Q75" s="33"/>
    </row>
    <row r="78" spans="9:25" ht="65" customHeight="1" x14ac:dyDescent="0.35">
      <c r="I78" s="33"/>
      <c r="J78" s="33"/>
      <c r="K78" s="33"/>
      <c r="L78" s="33"/>
      <c r="M78" s="33"/>
      <c r="N78" s="33"/>
      <c r="O78" s="33"/>
      <c r="P78" s="33"/>
      <c r="Q78" s="33"/>
      <c r="R78" s="33"/>
      <c r="S78" s="33"/>
    </row>
    <row r="89" spans="23:23" x14ac:dyDescent="0.35">
      <c r="W89" s="33"/>
    </row>
  </sheetData>
  <mergeCells count="1">
    <mergeCell ref="B1:T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772A-310C-48FF-850E-E1776A61EE0F}">
  <dimension ref="A1:D41"/>
  <sheetViews>
    <sheetView tabSelected="1" topLeftCell="A16" zoomScaleNormal="100" workbookViewId="0">
      <selection activeCell="A14" sqref="A14"/>
    </sheetView>
  </sheetViews>
  <sheetFormatPr defaultRowHeight="14.5" x14ac:dyDescent="0.35"/>
  <cols>
    <col min="1" max="1" width="143.36328125" customWidth="1"/>
    <col min="2" max="4" width="8.7265625" hidden="1" customWidth="1"/>
  </cols>
  <sheetData>
    <row r="1" spans="1:4" ht="20" x14ac:dyDescent="0.35">
      <c r="A1" s="40" t="s">
        <v>2170</v>
      </c>
      <c r="B1" s="40"/>
      <c r="C1" s="40"/>
      <c r="D1" s="40"/>
    </row>
    <row r="3" spans="1:4" ht="15.5" x14ac:dyDescent="0.35">
      <c r="A3" s="36" t="s">
        <v>2171</v>
      </c>
    </row>
    <row r="4" spans="1:4" ht="43.5" x14ac:dyDescent="0.35">
      <c r="A4" s="39" t="s">
        <v>2172</v>
      </c>
    </row>
    <row r="6" spans="1:4" ht="15.5" x14ac:dyDescent="0.35">
      <c r="A6" s="36" t="s">
        <v>2173</v>
      </c>
    </row>
    <row r="7" spans="1:4" ht="29" x14ac:dyDescent="0.35">
      <c r="A7" s="33" t="s">
        <v>2174</v>
      </c>
    </row>
    <row r="9" spans="1:4" ht="15.5" x14ac:dyDescent="0.35">
      <c r="A9" s="36" t="s">
        <v>2175</v>
      </c>
    </row>
    <row r="10" spans="1:4" ht="29" x14ac:dyDescent="0.35">
      <c r="A10" s="33" t="s">
        <v>2176</v>
      </c>
    </row>
    <row r="12" spans="1:4" ht="15.5" x14ac:dyDescent="0.35">
      <c r="A12" s="36" t="s">
        <v>2177</v>
      </c>
    </row>
    <row r="13" spans="1:4" ht="31" customHeight="1" x14ac:dyDescent="0.35">
      <c r="A13" s="37" t="s">
        <v>2188</v>
      </c>
    </row>
    <row r="16" spans="1:4" ht="17.5" x14ac:dyDescent="0.35">
      <c r="A16" s="38" t="s">
        <v>2178</v>
      </c>
    </row>
    <row r="17" spans="1:1" ht="16.5" customHeight="1" x14ac:dyDescent="0.35"/>
    <row r="18" spans="1:1" ht="15.5" x14ac:dyDescent="0.35">
      <c r="A18" s="36" t="s">
        <v>2158</v>
      </c>
    </row>
    <row r="19" spans="1:1" ht="29" x14ac:dyDescent="0.35">
      <c r="A19" s="33" t="s">
        <v>2157</v>
      </c>
    </row>
    <row r="21" spans="1:1" ht="15.5" x14ac:dyDescent="0.35">
      <c r="A21" s="36" t="s">
        <v>2159</v>
      </c>
    </row>
    <row r="22" spans="1:1" ht="29" x14ac:dyDescent="0.35">
      <c r="A22" s="35" t="s">
        <v>2179</v>
      </c>
    </row>
    <row r="24" spans="1:1" ht="15.5" x14ac:dyDescent="0.35">
      <c r="A24" s="36" t="s">
        <v>2161</v>
      </c>
    </row>
    <row r="25" spans="1:1" ht="29" x14ac:dyDescent="0.35">
      <c r="A25" s="33" t="s">
        <v>2180</v>
      </c>
    </row>
    <row r="28" spans="1:1" ht="17.5" x14ac:dyDescent="0.35">
      <c r="A28" s="38" t="s">
        <v>2163</v>
      </c>
    </row>
    <row r="30" spans="1:1" ht="15.5" x14ac:dyDescent="0.35">
      <c r="A30" s="36" t="s">
        <v>2164</v>
      </c>
    </row>
    <row r="31" spans="1:1" ht="29" x14ac:dyDescent="0.35">
      <c r="A31" s="33" t="s">
        <v>2181</v>
      </c>
    </row>
    <row r="33" spans="1:1" ht="15.5" x14ac:dyDescent="0.35">
      <c r="A33" s="36" t="s">
        <v>2182</v>
      </c>
    </row>
    <row r="34" spans="1:1" ht="29" x14ac:dyDescent="0.35">
      <c r="A34" s="33" t="s">
        <v>2183</v>
      </c>
    </row>
    <row r="36" spans="1:1" ht="15.5" x14ac:dyDescent="0.35">
      <c r="A36" s="36" t="s">
        <v>2184</v>
      </c>
    </row>
    <row r="37" spans="1:1" ht="29" x14ac:dyDescent="0.35">
      <c r="A37" s="33" t="s">
        <v>2185</v>
      </c>
    </row>
    <row r="40" spans="1:1" ht="17.5" x14ac:dyDescent="0.35">
      <c r="A40" s="38" t="s">
        <v>2186</v>
      </c>
    </row>
    <row r="41" spans="1:1" ht="29" x14ac:dyDescent="0.35">
      <c r="A41" s="33" t="s">
        <v>2187</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01"/>
  <sheetViews>
    <sheetView workbookViewId="0">
      <selection activeCell="F5" sqref="F5"/>
    </sheetView>
  </sheetViews>
  <sheetFormatPr defaultRowHeight="14.5" x14ac:dyDescent="0.35"/>
  <cols>
    <col min="1" max="1" width="20.453125" style="3" customWidth="1"/>
    <col min="2" max="2" width="15.453125" customWidth="1"/>
    <col min="3" max="3" width="14.7265625" customWidth="1"/>
    <col min="4" max="4" width="9.54296875" bestFit="1" customWidth="1"/>
    <col min="5" max="5" width="15.54296875" bestFit="1" customWidth="1"/>
    <col min="6" max="6" width="14.08984375" bestFit="1" customWidth="1"/>
    <col min="7" max="7" width="10.08984375" customWidth="1"/>
    <col min="8" max="8" width="11.1796875" customWidth="1"/>
    <col min="9" max="9" width="10.54296875" customWidth="1"/>
    <col min="11" max="11" width="10.90625" customWidth="1"/>
    <col min="14" max="14" width="12.26953125" customWidth="1"/>
    <col min="17" max="17" width="10.6328125" customWidth="1"/>
    <col min="18" max="18" width="12.08984375" customWidth="1"/>
    <col min="19" max="19" width="12.1796875" customWidth="1"/>
    <col min="21" max="21" width="16" customWidth="1"/>
    <col min="23" max="23" width="12.7265625" customWidth="1"/>
    <col min="24" max="24" width="12.08984375" customWidth="1"/>
    <col min="26" max="26" width="8.81640625" customWidth="1"/>
    <col min="27" max="27" width="8.7265625" customWidth="1"/>
    <col min="28" max="28" width="12.26953125" customWidth="1"/>
  </cols>
  <sheetData>
    <row r="1" spans="1:24" x14ac:dyDescent="0.3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4" t="s">
        <v>2117</v>
      </c>
      <c r="R1" s="4" t="s">
        <v>2118</v>
      </c>
      <c r="S1" s="4" t="s">
        <v>2119</v>
      </c>
      <c r="T1" s="4" t="s">
        <v>2120</v>
      </c>
      <c r="U1" s="4" t="s">
        <v>2121</v>
      </c>
      <c r="V1" s="4" t="s">
        <v>2122</v>
      </c>
      <c r="W1" s="4" t="s">
        <v>2123</v>
      </c>
      <c r="X1" s="9" t="s">
        <v>2124</v>
      </c>
    </row>
    <row r="2" spans="1:24" x14ac:dyDescent="0.35">
      <c r="A2" s="3">
        <v>46023</v>
      </c>
      <c r="B2" t="s">
        <v>16</v>
      </c>
      <c r="C2" t="s">
        <v>17</v>
      </c>
      <c r="D2" t="s">
        <v>18</v>
      </c>
      <c r="E2" t="s">
        <v>19</v>
      </c>
      <c r="F2" t="s">
        <v>20</v>
      </c>
      <c r="G2" t="s">
        <v>21</v>
      </c>
      <c r="H2" t="s">
        <v>22</v>
      </c>
      <c r="I2">
        <v>1524</v>
      </c>
      <c r="J2">
        <v>1278</v>
      </c>
      <c r="K2">
        <v>1173</v>
      </c>
      <c r="L2">
        <v>34</v>
      </c>
      <c r="M2">
        <v>19</v>
      </c>
      <c r="N2">
        <v>0</v>
      </c>
      <c r="O2">
        <v>131.05000000000001</v>
      </c>
      <c r="P2">
        <v>0</v>
      </c>
      <c r="Q2" s="5">
        <f>K2/J2</f>
        <v>0.9178403755868545</v>
      </c>
      <c r="R2" s="5">
        <f>L2/K2</f>
        <v>2.8985507246376812E-2</v>
      </c>
      <c r="S2" s="5">
        <f>M2/L2</f>
        <v>0.55882352941176472</v>
      </c>
      <c r="T2" s="5">
        <f>N2/M2</f>
        <v>0</v>
      </c>
      <c r="U2" s="5">
        <f>N2/K2</f>
        <v>0</v>
      </c>
      <c r="V2" s="6">
        <f>O2/M2</f>
        <v>6.897368421052632</v>
      </c>
      <c r="W2" s="7">
        <f>O2/L2</f>
        <v>3.8544117647058829</v>
      </c>
      <c r="X2" s="5">
        <f>(P2-O2)/O2</f>
        <v>-1</v>
      </c>
    </row>
    <row r="3" spans="1:24" x14ac:dyDescent="0.35">
      <c r="A3" s="3">
        <v>46023</v>
      </c>
      <c r="B3" t="s">
        <v>23</v>
      </c>
      <c r="C3" t="s">
        <v>24</v>
      </c>
      <c r="D3" t="s">
        <v>18</v>
      </c>
      <c r="E3" t="s">
        <v>25</v>
      </c>
      <c r="F3" t="s">
        <v>26</v>
      </c>
      <c r="G3" t="s">
        <v>27</v>
      </c>
      <c r="H3" t="s">
        <v>28</v>
      </c>
      <c r="I3">
        <v>1069</v>
      </c>
      <c r="J3">
        <v>1013</v>
      </c>
      <c r="K3">
        <v>907</v>
      </c>
      <c r="L3">
        <v>47</v>
      </c>
      <c r="M3">
        <v>29</v>
      </c>
      <c r="N3">
        <v>1</v>
      </c>
      <c r="O3">
        <v>116.09</v>
      </c>
      <c r="P3">
        <v>1257.3699999999999</v>
      </c>
      <c r="Q3" s="5">
        <f t="shared" ref="Q3:Q66" si="0">K3/J3</f>
        <v>0.89536031589338594</v>
      </c>
      <c r="R3" s="5">
        <f t="shared" ref="R3:R66" si="1">L3/K3</f>
        <v>5.1819184123484012E-2</v>
      </c>
      <c r="S3" s="5">
        <f t="shared" ref="S3:S66" si="2">M3/L3</f>
        <v>0.61702127659574468</v>
      </c>
      <c r="T3" s="5">
        <f t="shared" ref="T3:T66" si="3">N3/M3</f>
        <v>3.4482758620689655E-2</v>
      </c>
      <c r="U3" s="5">
        <f t="shared" ref="U3:U66" si="4">N3/K3</f>
        <v>1.1025358324145535E-3</v>
      </c>
      <c r="V3" s="6">
        <f t="shared" ref="V3:V66" si="5">O3/M3</f>
        <v>4.0031034482758621</v>
      </c>
      <c r="W3" s="7">
        <f t="shared" ref="W3:W66" si="6">O3/L3</f>
        <v>2.4700000000000002</v>
      </c>
      <c r="X3" s="5">
        <f t="shared" ref="X3:X66" si="7">(P3-O3)/O3</f>
        <v>9.8309931949349636</v>
      </c>
    </row>
    <row r="4" spans="1:24" x14ac:dyDescent="0.35">
      <c r="A4" s="3">
        <v>46023</v>
      </c>
      <c r="B4" t="s">
        <v>29</v>
      </c>
      <c r="C4" t="s">
        <v>30</v>
      </c>
      <c r="D4" t="s">
        <v>31</v>
      </c>
      <c r="E4" t="s">
        <v>19</v>
      </c>
      <c r="F4" t="s">
        <v>20</v>
      </c>
      <c r="G4" t="s">
        <v>21</v>
      </c>
      <c r="H4" t="s">
        <v>22</v>
      </c>
      <c r="I4">
        <v>2034</v>
      </c>
      <c r="J4">
        <v>1940</v>
      </c>
      <c r="K4">
        <v>1845</v>
      </c>
      <c r="L4">
        <v>19</v>
      </c>
      <c r="M4">
        <v>9</v>
      </c>
      <c r="N4">
        <v>0</v>
      </c>
      <c r="O4">
        <v>321.72000000000003</v>
      </c>
      <c r="P4">
        <v>0</v>
      </c>
      <c r="Q4" s="5">
        <f t="shared" si="0"/>
        <v>0.9510309278350515</v>
      </c>
      <c r="R4" s="5">
        <f t="shared" si="1"/>
        <v>1.0298102981029811E-2</v>
      </c>
      <c r="S4" s="5">
        <f t="shared" si="2"/>
        <v>0.47368421052631576</v>
      </c>
      <c r="T4" s="5">
        <f t="shared" si="3"/>
        <v>0</v>
      </c>
      <c r="U4" s="5">
        <f t="shared" si="4"/>
        <v>0</v>
      </c>
      <c r="V4" s="6">
        <f t="shared" si="5"/>
        <v>35.74666666666667</v>
      </c>
      <c r="W4" s="7">
        <f t="shared" si="6"/>
        <v>16.932631578947369</v>
      </c>
      <c r="X4" s="5">
        <f t="shared" si="7"/>
        <v>-1</v>
      </c>
    </row>
    <row r="5" spans="1:24" x14ac:dyDescent="0.35">
      <c r="A5" s="3">
        <v>46023</v>
      </c>
      <c r="B5" t="s">
        <v>32</v>
      </c>
      <c r="C5" t="s">
        <v>33</v>
      </c>
      <c r="D5" t="s">
        <v>34</v>
      </c>
      <c r="E5" t="s">
        <v>35</v>
      </c>
      <c r="F5" t="s">
        <v>26</v>
      </c>
      <c r="G5" t="s">
        <v>36</v>
      </c>
      <c r="H5" t="s">
        <v>37</v>
      </c>
      <c r="I5">
        <v>3247</v>
      </c>
      <c r="J5">
        <v>3008</v>
      </c>
      <c r="K5">
        <v>2806</v>
      </c>
      <c r="L5">
        <v>233</v>
      </c>
      <c r="M5">
        <v>150</v>
      </c>
      <c r="N5">
        <v>14</v>
      </c>
      <c r="O5">
        <v>275.22000000000003</v>
      </c>
      <c r="P5">
        <v>23331.79</v>
      </c>
      <c r="Q5" s="5">
        <f t="shared" si="0"/>
        <v>0.93284574468085102</v>
      </c>
      <c r="R5" s="5">
        <f t="shared" si="1"/>
        <v>8.3036350677120452E-2</v>
      </c>
      <c r="S5" s="5">
        <f t="shared" si="2"/>
        <v>0.64377682403433478</v>
      </c>
      <c r="T5" s="5">
        <f t="shared" si="3"/>
        <v>9.3333333333333338E-2</v>
      </c>
      <c r="U5" s="5">
        <f t="shared" si="4"/>
        <v>4.9893086243763367E-3</v>
      </c>
      <c r="V5" s="6">
        <f t="shared" si="5"/>
        <v>1.8348000000000002</v>
      </c>
      <c r="W5" s="7">
        <f t="shared" si="6"/>
        <v>1.1812017167381976</v>
      </c>
      <c r="X5" s="5">
        <f t="shared" si="7"/>
        <v>83.775052685124621</v>
      </c>
    </row>
    <row r="6" spans="1:24" x14ac:dyDescent="0.35">
      <c r="A6" s="3">
        <v>46024</v>
      </c>
      <c r="B6" t="s">
        <v>38</v>
      </c>
      <c r="C6" t="s">
        <v>39</v>
      </c>
      <c r="D6" t="s">
        <v>40</v>
      </c>
      <c r="E6" t="s">
        <v>25</v>
      </c>
      <c r="F6" t="s">
        <v>26</v>
      </c>
      <c r="G6" t="s">
        <v>41</v>
      </c>
      <c r="H6" t="s">
        <v>28</v>
      </c>
      <c r="I6">
        <v>3462</v>
      </c>
      <c r="J6">
        <v>3371</v>
      </c>
      <c r="K6">
        <v>3139</v>
      </c>
      <c r="L6">
        <v>145</v>
      </c>
      <c r="M6">
        <v>79</v>
      </c>
      <c r="N6">
        <v>3</v>
      </c>
      <c r="O6">
        <v>492.27</v>
      </c>
      <c r="P6">
        <v>3716.39</v>
      </c>
      <c r="Q6" s="5">
        <f t="shared" si="0"/>
        <v>0.93117769207950163</v>
      </c>
      <c r="R6" s="5">
        <f t="shared" si="1"/>
        <v>4.6193055113093344E-2</v>
      </c>
      <c r="S6" s="5">
        <f t="shared" si="2"/>
        <v>0.54482758620689653</v>
      </c>
      <c r="T6" s="5">
        <f t="shared" si="3"/>
        <v>3.7974683544303799E-2</v>
      </c>
      <c r="U6" s="5">
        <f t="shared" si="4"/>
        <v>9.5571838165020703E-4</v>
      </c>
      <c r="V6" s="6">
        <f t="shared" si="5"/>
        <v>6.2312658227848097</v>
      </c>
      <c r="W6" s="7">
        <f t="shared" si="6"/>
        <v>3.3949655172413791</v>
      </c>
      <c r="X6" s="5">
        <f t="shared" si="7"/>
        <v>6.5494951957259229</v>
      </c>
    </row>
    <row r="7" spans="1:24" x14ac:dyDescent="0.35">
      <c r="A7" s="3">
        <v>46024</v>
      </c>
      <c r="B7" t="s">
        <v>42</v>
      </c>
      <c r="C7" t="s">
        <v>43</v>
      </c>
      <c r="D7" t="s">
        <v>34</v>
      </c>
      <c r="E7" t="s">
        <v>25</v>
      </c>
      <c r="F7" t="s">
        <v>26</v>
      </c>
      <c r="G7" t="s">
        <v>21</v>
      </c>
      <c r="H7" t="s">
        <v>37</v>
      </c>
      <c r="I7">
        <v>940</v>
      </c>
      <c r="J7">
        <v>790</v>
      </c>
      <c r="K7">
        <v>721</v>
      </c>
      <c r="L7">
        <v>31</v>
      </c>
      <c r="M7">
        <v>18</v>
      </c>
      <c r="N7">
        <v>1</v>
      </c>
      <c r="O7">
        <v>59.31</v>
      </c>
      <c r="P7">
        <v>760.13</v>
      </c>
      <c r="Q7" s="5">
        <f t="shared" si="0"/>
        <v>0.91265822784810124</v>
      </c>
      <c r="R7" s="5">
        <f t="shared" si="1"/>
        <v>4.2995839112343968E-2</v>
      </c>
      <c r="S7" s="5">
        <f t="shared" si="2"/>
        <v>0.58064516129032262</v>
      </c>
      <c r="T7" s="5">
        <f t="shared" si="3"/>
        <v>5.5555555555555552E-2</v>
      </c>
      <c r="U7" s="5">
        <f t="shared" si="4"/>
        <v>1.3869625520110957E-3</v>
      </c>
      <c r="V7" s="6">
        <f t="shared" si="5"/>
        <v>3.2949999999999999</v>
      </c>
      <c r="W7" s="7">
        <f t="shared" si="6"/>
        <v>1.913225806451613</v>
      </c>
      <c r="X7" s="5">
        <f t="shared" si="7"/>
        <v>11.816219861743381</v>
      </c>
    </row>
    <row r="8" spans="1:24" x14ac:dyDescent="0.35">
      <c r="A8" s="3">
        <v>46024</v>
      </c>
      <c r="B8" t="s">
        <v>44</v>
      </c>
      <c r="C8" t="s">
        <v>45</v>
      </c>
      <c r="D8" t="s">
        <v>34</v>
      </c>
      <c r="E8" t="s">
        <v>25</v>
      </c>
      <c r="F8" t="s">
        <v>26</v>
      </c>
      <c r="G8" t="s">
        <v>21</v>
      </c>
      <c r="H8" t="s">
        <v>28</v>
      </c>
      <c r="I8">
        <v>4146</v>
      </c>
      <c r="J8">
        <v>3732</v>
      </c>
      <c r="K8">
        <v>3627</v>
      </c>
      <c r="L8">
        <v>116</v>
      </c>
      <c r="M8">
        <v>66</v>
      </c>
      <c r="N8">
        <v>4</v>
      </c>
      <c r="O8">
        <v>354.22</v>
      </c>
      <c r="P8">
        <v>5936.89</v>
      </c>
      <c r="Q8" s="5">
        <f t="shared" si="0"/>
        <v>0.97186495176848875</v>
      </c>
      <c r="R8" s="5">
        <f t="shared" si="1"/>
        <v>3.1982354562999728E-2</v>
      </c>
      <c r="S8" s="5">
        <f t="shared" si="2"/>
        <v>0.56896551724137934</v>
      </c>
      <c r="T8" s="5">
        <f t="shared" si="3"/>
        <v>6.0606060606060608E-2</v>
      </c>
      <c r="U8" s="5">
        <f t="shared" si="4"/>
        <v>1.1028398125172319E-3</v>
      </c>
      <c r="V8" s="6">
        <f t="shared" si="5"/>
        <v>5.3669696969696972</v>
      </c>
      <c r="W8" s="7">
        <f t="shared" si="6"/>
        <v>3.0536206896551725</v>
      </c>
      <c r="X8" s="5">
        <f t="shared" si="7"/>
        <v>15.760459601377674</v>
      </c>
    </row>
    <row r="9" spans="1:24" x14ac:dyDescent="0.35">
      <c r="A9" s="3">
        <v>46024</v>
      </c>
      <c r="B9" t="s">
        <v>46</v>
      </c>
      <c r="C9" t="s">
        <v>47</v>
      </c>
      <c r="D9" t="s">
        <v>40</v>
      </c>
      <c r="E9" t="s">
        <v>35</v>
      </c>
      <c r="F9" t="s">
        <v>26</v>
      </c>
      <c r="G9" t="s">
        <v>21</v>
      </c>
      <c r="H9" t="s">
        <v>48</v>
      </c>
      <c r="I9">
        <v>3472</v>
      </c>
      <c r="J9">
        <v>2956</v>
      </c>
      <c r="K9">
        <v>2786</v>
      </c>
      <c r="L9">
        <v>241</v>
      </c>
      <c r="M9">
        <v>173</v>
      </c>
      <c r="N9">
        <v>21</v>
      </c>
      <c r="O9">
        <v>393.53</v>
      </c>
      <c r="P9">
        <v>25116.74</v>
      </c>
      <c r="Q9" s="5">
        <f t="shared" si="0"/>
        <v>0.94248985115020301</v>
      </c>
      <c r="R9" s="5">
        <f t="shared" si="1"/>
        <v>8.6503948312993545E-2</v>
      </c>
      <c r="S9" s="5">
        <f t="shared" si="2"/>
        <v>0.71784232365145229</v>
      </c>
      <c r="T9" s="5">
        <f t="shared" si="3"/>
        <v>0.12138728323699421</v>
      </c>
      <c r="U9" s="5">
        <f t="shared" si="4"/>
        <v>7.537688442211055E-3</v>
      </c>
      <c r="V9" s="6">
        <f t="shared" si="5"/>
        <v>2.2747398843930635</v>
      </c>
      <c r="W9" s="7">
        <f t="shared" si="6"/>
        <v>1.6329045643153526</v>
      </c>
      <c r="X9" s="5">
        <f t="shared" si="7"/>
        <v>62.824206540797412</v>
      </c>
    </row>
    <row r="10" spans="1:24" x14ac:dyDescent="0.35">
      <c r="A10" s="3">
        <v>46024</v>
      </c>
      <c r="B10" t="s">
        <v>49</v>
      </c>
      <c r="C10" t="s">
        <v>50</v>
      </c>
      <c r="D10" t="s">
        <v>40</v>
      </c>
      <c r="E10" t="s">
        <v>25</v>
      </c>
      <c r="F10" t="s">
        <v>26</v>
      </c>
      <c r="G10" t="s">
        <v>21</v>
      </c>
      <c r="H10" t="s">
        <v>51</v>
      </c>
      <c r="I10">
        <v>4096</v>
      </c>
      <c r="J10">
        <v>3316</v>
      </c>
      <c r="K10">
        <v>3040</v>
      </c>
      <c r="L10">
        <v>139</v>
      </c>
      <c r="M10">
        <v>83</v>
      </c>
      <c r="N10">
        <v>3</v>
      </c>
      <c r="O10">
        <v>504.37</v>
      </c>
      <c r="P10">
        <v>2307.52</v>
      </c>
      <c r="Q10" s="5">
        <f t="shared" si="0"/>
        <v>0.91676718938480095</v>
      </c>
      <c r="R10" s="5">
        <f t="shared" si="1"/>
        <v>4.5723684210526319E-2</v>
      </c>
      <c r="S10" s="5">
        <f t="shared" si="2"/>
        <v>0.59712230215827333</v>
      </c>
      <c r="T10" s="5">
        <f t="shared" si="3"/>
        <v>3.614457831325301E-2</v>
      </c>
      <c r="U10" s="5">
        <f t="shared" si="4"/>
        <v>9.8684210526315793E-4</v>
      </c>
      <c r="V10" s="6">
        <f t="shared" si="5"/>
        <v>6.0767469879518075</v>
      </c>
      <c r="W10" s="7">
        <f t="shared" si="6"/>
        <v>3.6285611510791367</v>
      </c>
      <c r="X10" s="5">
        <f t="shared" si="7"/>
        <v>3.5750540277970537</v>
      </c>
    </row>
    <row r="11" spans="1:24" x14ac:dyDescent="0.35">
      <c r="A11" s="3">
        <v>46024</v>
      </c>
      <c r="B11" t="s">
        <v>52</v>
      </c>
      <c r="C11" t="s">
        <v>53</v>
      </c>
      <c r="D11" t="s">
        <v>34</v>
      </c>
      <c r="E11" t="s">
        <v>19</v>
      </c>
      <c r="F11" t="s">
        <v>20</v>
      </c>
      <c r="G11" t="s">
        <v>36</v>
      </c>
      <c r="H11" t="s">
        <v>37</v>
      </c>
      <c r="I11">
        <v>3059</v>
      </c>
      <c r="J11">
        <v>2392</v>
      </c>
      <c r="K11">
        <v>2179</v>
      </c>
      <c r="L11">
        <v>7</v>
      </c>
      <c r="M11">
        <v>3</v>
      </c>
      <c r="N11">
        <v>0</v>
      </c>
      <c r="O11">
        <v>197.02</v>
      </c>
      <c r="P11">
        <v>0</v>
      </c>
      <c r="Q11" s="5">
        <f t="shared" si="0"/>
        <v>0.91095317725752512</v>
      </c>
      <c r="R11" s="5">
        <f t="shared" si="1"/>
        <v>3.2124827902707664E-3</v>
      </c>
      <c r="S11" s="5">
        <f t="shared" si="2"/>
        <v>0.42857142857142855</v>
      </c>
      <c r="T11" s="5">
        <f t="shared" si="3"/>
        <v>0</v>
      </c>
      <c r="U11" s="5">
        <f t="shared" si="4"/>
        <v>0</v>
      </c>
      <c r="V11" s="6">
        <f t="shared" si="5"/>
        <v>65.673333333333332</v>
      </c>
      <c r="W11" s="7">
        <f t="shared" si="6"/>
        <v>28.145714285714288</v>
      </c>
      <c r="X11" s="5">
        <f t="shared" si="7"/>
        <v>-1</v>
      </c>
    </row>
    <row r="12" spans="1:24" x14ac:dyDescent="0.35">
      <c r="A12" s="3">
        <v>46024</v>
      </c>
      <c r="B12" t="s">
        <v>54</v>
      </c>
      <c r="C12" t="s">
        <v>55</v>
      </c>
      <c r="D12" t="s">
        <v>31</v>
      </c>
      <c r="E12" t="s">
        <v>56</v>
      </c>
      <c r="F12" t="s">
        <v>26</v>
      </c>
      <c r="G12" t="s">
        <v>36</v>
      </c>
      <c r="H12" t="s">
        <v>37</v>
      </c>
      <c r="I12">
        <v>4584</v>
      </c>
      <c r="J12">
        <v>3625</v>
      </c>
      <c r="K12">
        <v>3509</v>
      </c>
      <c r="L12">
        <v>198</v>
      </c>
      <c r="M12">
        <v>97</v>
      </c>
      <c r="N12">
        <v>7</v>
      </c>
      <c r="O12">
        <v>705.8</v>
      </c>
      <c r="P12">
        <v>7725.44</v>
      </c>
      <c r="Q12" s="5">
        <f t="shared" si="0"/>
        <v>0.96799999999999997</v>
      </c>
      <c r="R12" s="5">
        <f t="shared" si="1"/>
        <v>5.6426332288401257E-2</v>
      </c>
      <c r="S12" s="5">
        <f t="shared" si="2"/>
        <v>0.48989898989898989</v>
      </c>
      <c r="T12" s="5">
        <f t="shared" si="3"/>
        <v>7.2164948453608241E-2</v>
      </c>
      <c r="U12" s="5">
        <f t="shared" si="4"/>
        <v>1.9948703334283272E-3</v>
      </c>
      <c r="V12" s="6">
        <f t="shared" si="5"/>
        <v>7.2762886597938143</v>
      </c>
      <c r="W12" s="7">
        <f t="shared" si="6"/>
        <v>3.5646464646464646</v>
      </c>
      <c r="X12" s="5">
        <f t="shared" si="7"/>
        <v>9.9456503258713518</v>
      </c>
    </row>
    <row r="13" spans="1:24" x14ac:dyDescent="0.35">
      <c r="A13" s="3">
        <v>46025</v>
      </c>
      <c r="B13" t="s">
        <v>57</v>
      </c>
      <c r="C13" t="s">
        <v>58</v>
      </c>
      <c r="D13" t="s">
        <v>40</v>
      </c>
      <c r="E13" t="s">
        <v>56</v>
      </c>
      <c r="F13" t="s">
        <v>26</v>
      </c>
      <c r="G13" t="s">
        <v>59</v>
      </c>
      <c r="H13" t="s">
        <v>37</v>
      </c>
      <c r="I13">
        <v>1239</v>
      </c>
      <c r="J13">
        <v>1189</v>
      </c>
      <c r="K13">
        <v>1125</v>
      </c>
      <c r="L13">
        <v>83</v>
      </c>
      <c r="M13">
        <v>47</v>
      </c>
      <c r="N13">
        <v>3</v>
      </c>
      <c r="O13">
        <v>204.99</v>
      </c>
      <c r="P13">
        <v>3628.58</v>
      </c>
      <c r="Q13" s="5">
        <f t="shared" si="0"/>
        <v>0.94617325483599668</v>
      </c>
      <c r="R13" s="5">
        <f t="shared" si="1"/>
        <v>7.3777777777777775E-2</v>
      </c>
      <c r="S13" s="5">
        <f t="shared" si="2"/>
        <v>0.5662650602409639</v>
      </c>
      <c r="T13" s="5">
        <f t="shared" si="3"/>
        <v>6.3829787234042548E-2</v>
      </c>
      <c r="U13" s="5">
        <f t="shared" si="4"/>
        <v>2.6666666666666666E-3</v>
      </c>
      <c r="V13" s="6">
        <f t="shared" si="5"/>
        <v>4.3614893617021275</v>
      </c>
      <c r="W13" s="7">
        <f t="shared" si="6"/>
        <v>2.4697590361445783</v>
      </c>
      <c r="X13" s="5">
        <f t="shared" si="7"/>
        <v>16.701253719693643</v>
      </c>
    </row>
    <row r="14" spans="1:24" x14ac:dyDescent="0.35">
      <c r="A14" s="3">
        <v>46025</v>
      </c>
      <c r="B14" t="s">
        <v>60</v>
      </c>
      <c r="C14" t="s">
        <v>61</v>
      </c>
      <c r="D14" t="s">
        <v>18</v>
      </c>
      <c r="E14" t="s">
        <v>56</v>
      </c>
      <c r="F14" t="s">
        <v>20</v>
      </c>
      <c r="G14" t="s">
        <v>59</v>
      </c>
      <c r="H14" t="s">
        <v>37</v>
      </c>
      <c r="I14">
        <v>1694</v>
      </c>
      <c r="J14">
        <v>1566</v>
      </c>
      <c r="K14">
        <v>1408</v>
      </c>
      <c r="L14">
        <v>67</v>
      </c>
      <c r="M14">
        <v>28</v>
      </c>
      <c r="N14">
        <v>2</v>
      </c>
      <c r="O14">
        <v>184.59</v>
      </c>
      <c r="P14">
        <v>2604.9899999999998</v>
      </c>
      <c r="Q14" s="5">
        <f t="shared" si="0"/>
        <v>0.89910600255427842</v>
      </c>
      <c r="R14" s="5">
        <f t="shared" si="1"/>
        <v>4.7585227272727272E-2</v>
      </c>
      <c r="S14" s="5">
        <f t="shared" si="2"/>
        <v>0.41791044776119401</v>
      </c>
      <c r="T14" s="5">
        <f t="shared" si="3"/>
        <v>7.1428571428571425E-2</v>
      </c>
      <c r="U14" s="5">
        <f t="shared" si="4"/>
        <v>1.4204545454545455E-3</v>
      </c>
      <c r="V14" s="6">
        <f t="shared" si="5"/>
        <v>6.5925000000000002</v>
      </c>
      <c r="W14" s="7">
        <f t="shared" si="6"/>
        <v>2.7550746268656718</v>
      </c>
      <c r="X14" s="5">
        <f t="shared" si="7"/>
        <v>13.112302941654475</v>
      </c>
    </row>
    <row r="15" spans="1:24" x14ac:dyDescent="0.35">
      <c r="A15" s="3">
        <v>46025</v>
      </c>
      <c r="B15" t="s">
        <v>62</v>
      </c>
      <c r="C15" t="s">
        <v>63</v>
      </c>
      <c r="D15" t="s">
        <v>40</v>
      </c>
      <c r="E15" t="s">
        <v>25</v>
      </c>
      <c r="F15" t="s">
        <v>20</v>
      </c>
      <c r="G15" t="s">
        <v>27</v>
      </c>
      <c r="H15" t="s">
        <v>51</v>
      </c>
      <c r="I15">
        <v>3773</v>
      </c>
      <c r="J15">
        <v>3090</v>
      </c>
      <c r="K15">
        <v>2827</v>
      </c>
      <c r="L15">
        <v>130</v>
      </c>
      <c r="M15">
        <v>59</v>
      </c>
      <c r="N15">
        <v>2</v>
      </c>
      <c r="O15">
        <v>464.43</v>
      </c>
      <c r="P15">
        <v>1708.66</v>
      </c>
      <c r="Q15" s="5">
        <f t="shared" si="0"/>
        <v>0.91488673139158572</v>
      </c>
      <c r="R15" s="5">
        <f t="shared" si="1"/>
        <v>4.5985143261407853E-2</v>
      </c>
      <c r="S15" s="5">
        <f t="shared" si="2"/>
        <v>0.45384615384615384</v>
      </c>
      <c r="T15" s="5">
        <f t="shared" si="3"/>
        <v>3.3898305084745763E-2</v>
      </c>
      <c r="U15" s="5">
        <f t="shared" si="4"/>
        <v>7.0746374248319773E-4</v>
      </c>
      <c r="V15" s="6">
        <f t="shared" si="5"/>
        <v>7.8716949152542375</v>
      </c>
      <c r="W15" s="7">
        <f t="shared" si="6"/>
        <v>3.5725384615384614</v>
      </c>
      <c r="X15" s="5">
        <f t="shared" si="7"/>
        <v>2.6790474344895894</v>
      </c>
    </row>
    <row r="16" spans="1:24" x14ac:dyDescent="0.35">
      <c r="A16" s="3">
        <v>46025</v>
      </c>
      <c r="B16" t="s">
        <v>64</v>
      </c>
      <c r="C16" t="s">
        <v>65</v>
      </c>
      <c r="D16" t="s">
        <v>18</v>
      </c>
      <c r="E16" t="s">
        <v>19</v>
      </c>
      <c r="F16" t="s">
        <v>26</v>
      </c>
      <c r="G16" t="s">
        <v>21</v>
      </c>
      <c r="H16" t="s">
        <v>48</v>
      </c>
      <c r="I16">
        <v>3139</v>
      </c>
      <c r="J16">
        <v>2851</v>
      </c>
      <c r="K16">
        <v>2570</v>
      </c>
      <c r="L16">
        <v>73</v>
      </c>
      <c r="M16">
        <v>44</v>
      </c>
      <c r="N16">
        <v>1</v>
      </c>
      <c r="O16">
        <v>333.37</v>
      </c>
      <c r="P16">
        <v>796.83</v>
      </c>
      <c r="Q16" s="5">
        <f t="shared" si="0"/>
        <v>0.90143809189757984</v>
      </c>
      <c r="R16" s="5">
        <f t="shared" si="1"/>
        <v>2.8404669260700389E-2</v>
      </c>
      <c r="S16" s="5">
        <f t="shared" si="2"/>
        <v>0.60273972602739723</v>
      </c>
      <c r="T16" s="5">
        <f t="shared" si="3"/>
        <v>2.2727272727272728E-2</v>
      </c>
      <c r="U16" s="5">
        <f t="shared" si="4"/>
        <v>3.8910505836575878E-4</v>
      </c>
      <c r="V16" s="6">
        <f t="shared" si="5"/>
        <v>7.5765909090909096</v>
      </c>
      <c r="W16" s="7">
        <f t="shared" si="6"/>
        <v>4.5667123287671236</v>
      </c>
      <c r="X16" s="5">
        <f t="shared" si="7"/>
        <v>1.3902270750217478</v>
      </c>
    </row>
    <row r="17" spans="1:24" x14ac:dyDescent="0.35">
      <c r="A17" s="3">
        <v>46025</v>
      </c>
      <c r="B17" t="s">
        <v>64</v>
      </c>
      <c r="C17" t="s">
        <v>66</v>
      </c>
      <c r="D17" t="s">
        <v>18</v>
      </c>
      <c r="E17" t="s">
        <v>35</v>
      </c>
      <c r="F17" t="s">
        <v>26</v>
      </c>
      <c r="G17" t="s">
        <v>21</v>
      </c>
      <c r="H17" t="s">
        <v>51</v>
      </c>
      <c r="I17">
        <v>1306</v>
      </c>
      <c r="J17">
        <v>1148</v>
      </c>
      <c r="K17">
        <v>1048</v>
      </c>
      <c r="L17">
        <v>119</v>
      </c>
      <c r="M17">
        <v>75</v>
      </c>
      <c r="N17">
        <v>6</v>
      </c>
      <c r="O17">
        <v>148.66999999999999</v>
      </c>
      <c r="P17">
        <v>8783.35</v>
      </c>
      <c r="Q17" s="5">
        <f t="shared" si="0"/>
        <v>0.91289198606271782</v>
      </c>
      <c r="R17" s="5">
        <f t="shared" si="1"/>
        <v>0.11354961832061068</v>
      </c>
      <c r="S17" s="5">
        <f t="shared" si="2"/>
        <v>0.63025210084033612</v>
      </c>
      <c r="T17" s="5">
        <f t="shared" si="3"/>
        <v>0.08</v>
      </c>
      <c r="U17" s="5">
        <f t="shared" si="4"/>
        <v>5.7251908396946565E-3</v>
      </c>
      <c r="V17" s="6">
        <f t="shared" si="5"/>
        <v>1.9822666666666664</v>
      </c>
      <c r="W17" s="7">
        <f t="shared" si="6"/>
        <v>1.2493277310924369</v>
      </c>
      <c r="X17" s="5">
        <f t="shared" si="7"/>
        <v>58.079504943835346</v>
      </c>
    </row>
    <row r="18" spans="1:24" x14ac:dyDescent="0.35">
      <c r="A18" s="3">
        <v>46025</v>
      </c>
      <c r="B18" t="s">
        <v>67</v>
      </c>
      <c r="C18" t="s">
        <v>68</v>
      </c>
      <c r="D18" t="s">
        <v>40</v>
      </c>
      <c r="E18" t="s">
        <v>19</v>
      </c>
      <c r="F18" t="s">
        <v>20</v>
      </c>
      <c r="G18" t="s">
        <v>27</v>
      </c>
      <c r="H18" t="s">
        <v>28</v>
      </c>
      <c r="I18">
        <v>3950</v>
      </c>
      <c r="J18">
        <v>3575</v>
      </c>
      <c r="K18">
        <v>3390</v>
      </c>
      <c r="L18">
        <v>44</v>
      </c>
      <c r="M18">
        <v>18</v>
      </c>
      <c r="N18">
        <v>0</v>
      </c>
      <c r="O18">
        <v>485.84</v>
      </c>
      <c r="P18">
        <v>0</v>
      </c>
      <c r="Q18" s="5">
        <f t="shared" si="0"/>
        <v>0.94825174825174829</v>
      </c>
      <c r="R18" s="5">
        <f t="shared" si="1"/>
        <v>1.2979351032448377E-2</v>
      </c>
      <c r="S18" s="5">
        <f t="shared" si="2"/>
        <v>0.40909090909090912</v>
      </c>
      <c r="T18" s="5">
        <f t="shared" si="3"/>
        <v>0</v>
      </c>
      <c r="U18" s="5">
        <f t="shared" si="4"/>
        <v>0</v>
      </c>
      <c r="V18" s="6">
        <f t="shared" si="5"/>
        <v>26.99111111111111</v>
      </c>
      <c r="W18" s="7">
        <f t="shared" si="6"/>
        <v>11.041818181818181</v>
      </c>
      <c r="X18" s="5">
        <f t="shared" si="7"/>
        <v>-1</v>
      </c>
    </row>
    <row r="19" spans="1:24" x14ac:dyDescent="0.35">
      <c r="A19" s="3">
        <v>46025</v>
      </c>
      <c r="B19" t="s">
        <v>69</v>
      </c>
      <c r="C19" t="s">
        <v>70</v>
      </c>
      <c r="D19" t="s">
        <v>31</v>
      </c>
      <c r="E19" t="s">
        <v>19</v>
      </c>
      <c r="F19" t="s">
        <v>20</v>
      </c>
      <c r="G19" t="s">
        <v>21</v>
      </c>
      <c r="H19" t="s">
        <v>48</v>
      </c>
      <c r="I19">
        <v>4878</v>
      </c>
      <c r="J19">
        <v>4513</v>
      </c>
      <c r="K19">
        <v>4276</v>
      </c>
      <c r="L19">
        <v>64</v>
      </c>
      <c r="M19">
        <v>30</v>
      </c>
      <c r="N19">
        <v>1</v>
      </c>
      <c r="O19">
        <v>937.39</v>
      </c>
      <c r="P19">
        <v>838.91</v>
      </c>
      <c r="Q19" s="5">
        <f t="shared" si="0"/>
        <v>0.94748504320850879</v>
      </c>
      <c r="R19" s="5">
        <f t="shared" si="1"/>
        <v>1.4967259120673527E-2</v>
      </c>
      <c r="S19" s="5">
        <f t="shared" si="2"/>
        <v>0.46875</v>
      </c>
      <c r="T19" s="5">
        <f t="shared" si="3"/>
        <v>3.3333333333333333E-2</v>
      </c>
      <c r="U19" s="5">
        <f t="shared" si="4"/>
        <v>2.3386342376052386E-4</v>
      </c>
      <c r="V19" s="6">
        <f t="shared" si="5"/>
        <v>31.246333333333332</v>
      </c>
      <c r="W19" s="7">
        <f t="shared" si="6"/>
        <v>14.64671875</v>
      </c>
      <c r="X19" s="5">
        <f t="shared" si="7"/>
        <v>-0.10505766009878495</v>
      </c>
    </row>
    <row r="20" spans="1:24" x14ac:dyDescent="0.35">
      <c r="A20" s="3">
        <v>46025</v>
      </c>
      <c r="B20" t="s">
        <v>71</v>
      </c>
      <c r="C20" t="s">
        <v>72</v>
      </c>
      <c r="D20" t="s">
        <v>34</v>
      </c>
      <c r="E20" t="s">
        <v>35</v>
      </c>
      <c r="F20" t="s">
        <v>20</v>
      </c>
      <c r="G20" t="s">
        <v>27</v>
      </c>
      <c r="H20" t="s">
        <v>37</v>
      </c>
      <c r="I20">
        <v>1061</v>
      </c>
      <c r="J20">
        <v>931</v>
      </c>
      <c r="K20">
        <v>861</v>
      </c>
      <c r="L20">
        <v>62</v>
      </c>
      <c r="M20">
        <v>25</v>
      </c>
      <c r="N20">
        <v>2</v>
      </c>
      <c r="O20">
        <v>75.05</v>
      </c>
      <c r="P20">
        <v>2811.04</v>
      </c>
      <c r="Q20" s="5">
        <f t="shared" si="0"/>
        <v>0.92481203007518797</v>
      </c>
      <c r="R20" s="5">
        <f t="shared" si="1"/>
        <v>7.2009291521486649E-2</v>
      </c>
      <c r="S20" s="5">
        <f t="shared" si="2"/>
        <v>0.40322580645161288</v>
      </c>
      <c r="T20" s="5">
        <f t="shared" si="3"/>
        <v>0.08</v>
      </c>
      <c r="U20" s="5">
        <f t="shared" si="4"/>
        <v>2.3228803716608595E-3</v>
      </c>
      <c r="V20" s="6">
        <f t="shared" si="5"/>
        <v>3.0019999999999998</v>
      </c>
      <c r="W20" s="7">
        <f t="shared" si="6"/>
        <v>1.2104838709677419</v>
      </c>
      <c r="X20" s="5">
        <f t="shared" si="7"/>
        <v>36.455562958027983</v>
      </c>
    </row>
    <row r="21" spans="1:24" x14ac:dyDescent="0.35">
      <c r="A21" s="3">
        <v>46025</v>
      </c>
      <c r="B21" t="s">
        <v>73</v>
      </c>
      <c r="C21" t="s">
        <v>74</v>
      </c>
      <c r="D21" t="s">
        <v>34</v>
      </c>
      <c r="E21" t="s">
        <v>56</v>
      </c>
      <c r="F21" t="s">
        <v>20</v>
      </c>
      <c r="G21" t="s">
        <v>27</v>
      </c>
      <c r="H21" t="s">
        <v>22</v>
      </c>
      <c r="I21">
        <v>2944</v>
      </c>
      <c r="J21">
        <v>2298</v>
      </c>
      <c r="K21">
        <v>2172</v>
      </c>
      <c r="L21">
        <v>110</v>
      </c>
      <c r="M21">
        <v>61</v>
      </c>
      <c r="N21">
        <v>4</v>
      </c>
      <c r="O21">
        <v>160.69999999999999</v>
      </c>
      <c r="P21">
        <v>5366.33</v>
      </c>
      <c r="Q21" s="5">
        <f t="shared" si="0"/>
        <v>0.94516971279373363</v>
      </c>
      <c r="R21" s="5">
        <f t="shared" si="1"/>
        <v>5.0644567219152857E-2</v>
      </c>
      <c r="S21" s="5">
        <f t="shared" si="2"/>
        <v>0.55454545454545456</v>
      </c>
      <c r="T21" s="5">
        <f t="shared" si="3"/>
        <v>6.5573770491803282E-2</v>
      </c>
      <c r="U21" s="5">
        <f t="shared" si="4"/>
        <v>1.841620626151013E-3</v>
      </c>
      <c r="V21" s="6">
        <f t="shared" si="5"/>
        <v>2.6344262295081964</v>
      </c>
      <c r="W21" s="7">
        <f t="shared" si="6"/>
        <v>1.4609090909090907</v>
      </c>
      <c r="X21" s="5">
        <f t="shared" si="7"/>
        <v>32.393466085874302</v>
      </c>
    </row>
    <row r="22" spans="1:24" x14ac:dyDescent="0.35">
      <c r="A22" s="3">
        <v>46025</v>
      </c>
      <c r="B22" t="s">
        <v>75</v>
      </c>
      <c r="C22" t="s">
        <v>76</v>
      </c>
      <c r="D22" t="s">
        <v>31</v>
      </c>
      <c r="E22" t="s">
        <v>25</v>
      </c>
      <c r="F22" t="s">
        <v>26</v>
      </c>
      <c r="G22" t="s">
        <v>21</v>
      </c>
      <c r="H22" t="s">
        <v>22</v>
      </c>
      <c r="I22">
        <v>1112</v>
      </c>
      <c r="J22">
        <v>877</v>
      </c>
      <c r="K22">
        <v>857</v>
      </c>
      <c r="L22">
        <v>33</v>
      </c>
      <c r="M22">
        <v>17</v>
      </c>
      <c r="N22">
        <v>1</v>
      </c>
      <c r="O22">
        <v>181.18</v>
      </c>
      <c r="P22">
        <v>956.55</v>
      </c>
      <c r="Q22" s="5">
        <f t="shared" si="0"/>
        <v>0.97719498289623719</v>
      </c>
      <c r="R22" s="5">
        <f t="shared" si="1"/>
        <v>3.8506417736289385E-2</v>
      </c>
      <c r="S22" s="5">
        <f t="shared" si="2"/>
        <v>0.51515151515151514</v>
      </c>
      <c r="T22" s="5">
        <f t="shared" si="3"/>
        <v>5.8823529411764705E-2</v>
      </c>
      <c r="U22" s="5">
        <f t="shared" si="4"/>
        <v>1.1668611435239206E-3</v>
      </c>
      <c r="V22" s="6">
        <f t="shared" si="5"/>
        <v>10.65764705882353</v>
      </c>
      <c r="W22" s="7">
        <f t="shared" si="6"/>
        <v>5.4903030303030302</v>
      </c>
      <c r="X22" s="5">
        <f t="shared" si="7"/>
        <v>4.2795562424108615</v>
      </c>
    </row>
    <row r="23" spans="1:24" x14ac:dyDescent="0.35">
      <c r="A23" s="3">
        <v>46025</v>
      </c>
      <c r="B23" t="s">
        <v>77</v>
      </c>
      <c r="C23" t="s">
        <v>78</v>
      </c>
      <c r="D23" t="s">
        <v>18</v>
      </c>
      <c r="E23" t="s">
        <v>56</v>
      </c>
      <c r="F23" t="s">
        <v>20</v>
      </c>
      <c r="G23" t="s">
        <v>59</v>
      </c>
      <c r="H23" t="s">
        <v>22</v>
      </c>
      <c r="I23">
        <v>586</v>
      </c>
      <c r="J23">
        <v>551</v>
      </c>
      <c r="K23">
        <v>499</v>
      </c>
      <c r="L23">
        <v>25</v>
      </c>
      <c r="M23">
        <v>12</v>
      </c>
      <c r="N23">
        <v>1</v>
      </c>
      <c r="O23">
        <v>76.040000000000006</v>
      </c>
      <c r="P23">
        <v>688.72</v>
      </c>
      <c r="Q23" s="5">
        <f t="shared" si="0"/>
        <v>0.90562613430127037</v>
      </c>
      <c r="R23" s="5">
        <f t="shared" si="1"/>
        <v>5.0100200400801605E-2</v>
      </c>
      <c r="S23" s="5">
        <f t="shared" si="2"/>
        <v>0.48</v>
      </c>
      <c r="T23" s="5">
        <f t="shared" si="3"/>
        <v>8.3333333333333329E-2</v>
      </c>
      <c r="U23" s="5">
        <f t="shared" si="4"/>
        <v>2.004008016032064E-3</v>
      </c>
      <c r="V23" s="6">
        <f t="shared" si="5"/>
        <v>6.3366666666666669</v>
      </c>
      <c r="W23" s="7">
        <f t="shared" si="6"/>
        <v>3.0416000000000003</v>
      </c>
      <c r="X23" s="5">
        <f t="shared" si="7"/>
        <v>8.0573382430299851</v>
      </c>
    </row>
    <row r="24" spans="1:24" x14ac:dyDescent="0.35">
      <c r="A24" s="3">
        <v>46026</v>
      </c>
      <c r="B24" t="s">
        <v>62</v>
      </c>
      <c r="C24" t="s">
        <v>79</v>
      </c>
      <c r="D24" t="s">
        <v>34</v>
      </c>
      <c r="E24" t="s">
        <v>35</v>
      </c>
      <c r="F24" t="s">
        <v>20</v>
      </c>
      <c r="G24" t="s">
        <v>59</v>
      </c>
      <c r="H24" t="s">
        <v>28</v>
      </c>
      <c r="I24">
        <v>2827</v>
      </c>
      <c r="J24">
        <v>2823</v>
      </c>
      <c r="K24">
        <v>2598</v>
      </c>
      <c r="L24">
        <v>170</v>
      </c>
      <c r="M24">
        <v>81</v>
      </c>
      <c r="N24">
        <v>6</v>
      </c>
      <c r="O24">
        <v>218.42</v>
      </c>
      <c r="P24">
        <v>4714.7</v>
      </c>
      <c r="Q24" s="5">
        <f t="shared" si="0"/>
        <v>0.92029755579171091</v>
      </c>
      <c r="R24" s="5">
        <f t="shared" si="1"/>
        <v>6.5434949961508851E-2</v>
      </c>
      <c r="S24" s="5">
        <f t="shared" si="2"/>
        <v>0.47647058823529409</v>
      </c>
      <c r="T24" s="5">
        <f t="shared" si="3"/>
        <v>7.407407407407407E-2</v>
      </c>
      <c r="U24" s="5">
        <f t="shared" si="4"/>
        <v>2.3094688221709007E-3</v>
      </c>
      <c r="V24" s="6">
        <f t="shared" si="5"/>
        <v>2.6965432098765429</v>
      </c>
      <c r="W24" s="7">
        <f t="shared" si="6"/>
        <v>1.2848235294117647</v>
      </c>
      <c r="X24" s="5">
        <f t="shared" si="7"/>
        <v>20.58547752037359</v>
      </c>
    </row>
    <row r="25" spans="1:24" x14ac:dyDescent="0.35">
      <c r="A25" s="3">
        <v>46026</v>
      </c>
      <c r="B25" t="s">
        <v>80</v>
      </c>
      <c r="C25" t="s">
        <v>81</v>
      </c>
      <c r="D25" t="s">
        <v>18</v>
      </c>
      <c r="E25" t="s">
        <v>56</v>
      </c>
      <c r="F25" t="s">
        <v>26</v>
      </c>
      <c r="G25" t="s">
        <v>21</v>
      </c>
      <c r="H25" t="s">
        <v>22</v>
      </c>
      <c r="I25">
        <v>2990</v>
      </c>
      <c r="J25">
        <v>2567</v>
      </c>
      <c r="K25">
        <v>2308</v>
      </c>
      <c r="L25">
        <v>209</v>
      </c>
      <c r="M25">
        <v>134</v>
      </c>
      <c r="N25">
        <v>10</v>
      </c>
      <c r="O25">
        <v>323.42</v>
      </c>
      <c r="P25">
        <v>14152.59</v>
      </c>
      <c r="Q25" s="5">
        <f t="shared" si="0"/>
        <v>0.89910401246591354</v>
      </c>
      <c r="R25" s="5">
        <f t="shared" si="1"/>
        <v>9.0554592720970536E-2</v>
      </c>
      <c r="S25" s="5">
        <f t="shared" si="2"/>
        <v>0.64114832535885169</v>
      </c>
      <c r="T25" s="5">
        <f t="shared" si="3"/>
        <v>7.4626865671641784E-2</v>
      </c>
      <c r="U25" s="5">
        <f t="shared" si="4"/>
        <v>4.3327556325823222E-3</v>
      </c>
      <c r="V25" s="6">
        <f t="shared" si="5"/>
        <v>2.4135820895522389</v>
      </c>
      <c r="W25" s="7">
        <f t="shared" si="6"/>
        <v>1.5474641148325359</v>
      </c>
      <c r="X25" s="5">
        <f t="shared" si="7"/>
        <v>42.759167645785666</v>
      </c>
    </row>
    <row r="26" spans="1:24" x14ac:dyDescent="0.35">
      <c r="A26" s="3">
        <v>46026</v>
      </c>
      <c r="B26" t="s">
        <v>29</v>
      </c>
      <c r="C26" t="s">
        <v>82</v>
      </c>
      <c r="D26" t="s">
        <v>34</v>
      </c>
      <c r="E26" t="s">
        <v>56</v>
      </c>
      <c r="F26" t="s">
        <v>26</v>
      </c>
      <c r="G26" t="s">
        <v>27</v>
      </c>
      <c r="H26" t="s">
        <v>22</v>
      </c>
      <c r="I26">
        <v>2411</v>
      </c>
      <c r="J26">
        <v>2153</v>
      </c>
      <c r="K26">
        <v>2021</v>
      </c>
      <c r="L26">
        <v>119</v>
      </c>
      <c r="M26">
        <v>64</v>
      </c>
      <c r="N26">
        <v>5</v>
      </c>
      <c r="O26">
        <v>165.19</v>
      </c>
      <c r="P26">
        <v>3523.57</v>
      </c>
      <c r="Q26" s="5">
        <f t="shared" si="0"/>
        <v>0.93869019972131906</v>
      </c>
      <c r="R26" s="5">
        <f t="shared" si="1"/>
        <v>5.8881741712023754E-2</v>
      </c>
      <c r="S26" s="5">
        <f t="shared" si="2"/>
        <v>0.53781512605042014</v>
      </c>
      <c r="T26" s="5">
        <f t="shared" si="3"/>
        <v>7.8125E-2</v>
      </c>
      <c r="U26" s="5">
        <f t="shared" si="4"/>
        <v>2.4740227610094011E-3</v>
      </c>
      <c r="V26" s="6">
        <f t="shared" si="5"/>
        <v>2.58109375</v>
      </c>
      <c r="W26" s="7">
        <f t="shared" si="6"/>
        <v>1.3881512605042017</v>
      </c>
      <c r="X26" s="5">
        <f t="shared" si="7"/>
        <v>20.330407409649496</v>
      </c>
    </row>
    <row r="27" spans="1:24" x14ac:dyDescent="0.35">
      <c r="A27" s="3">
        <v>46026</v>
      </c>
      <c r="B27" t="s">
        <v>83</v>
      </c>
      <c r="C27" t="s">
        <v>84</v>
      </c>
      <c r="D27" t="s">
        <v>18</v>
      </c>
      <c r="E27" t="s">
        <v>25</v>
      </c>
      <c r="F27" t="s">
        <v>20</v>
      </c>
      <c r="G27" t="s">
        <v>21</v>
      </c>
      <c r="H27" t="s">
        <v>37</v>
      </c>
      <c r="I27">
        <v>2566</v>
      </c>
      <c r="J27">
        <v>2375</v>
      </c>
      <c r="K27">
        <v>2126</v>
      </c>
      <c r="L27">
        <v>66</v>
      </c>
      <c r="M27">
        <v>32</v>
      </c>
      <c r="N27">
        <v>1</v>
      </c>
      <c r="O27">
        <v>320.98</v>
      </c>
      <c r="P27">
        <v>903.67</v>
      </c>
      <c r="Q27" s="5">
        <f t="shared" si="0"/>
        <v>0.89515789473684215</v>
      </c>
      <c r="R27" s="5">
        <f t="shared" si="1"/>
        <v>3.1044214487300093E-2</v>
      </c>
      <c r="S27" s="5">
        <f t="shared" si="2"/>
        <v>0.48484848484848486</v>
      </c>
      <c r="T27" s="5">
        <f t="shared" si="3"/>
        <v>3.125E-2</v>
      </c>
      <c r="U27" s="5">
        <f t="shared" si="4"/>
        <v>4.7036688617121356E-4</v>
      </c>
      <c r="V27" s="6">
        <f t="shared" si="5"/>
        <v>10.030625000000001</v>
      </c>
      <c r="W27" s="7">
        <f t="shared" si="6"/>
        <v>4.8633333333333333</v>
      </c>
      <c r="X27" s="5">
        <f t="shared" si="7"/>
        <v>1.8153467505763596</v>
      </c>
    </row>
    <row r="28" spans="1:24" x14ac:dyDescent="0.35">
      <c r="A28" s="3">
        <v>46026</v>
      </c>
      <c r="B28" t="s">
        <v>85</v>
      </c>
      <c r="C28" t="s">
        <v>86</v>
      </c>
      <c r="D28" t="s">
        <v>34</v>
      </c>
      <c r="E28" t="s">
        <v>35</v>
      </c>
      <c r="F28" t="s">
        <v>26</v>
      </c>
      <c r="G28" t="s">
        <v>41</v>
      </c>
      <c r="H28" t="s">
        <v>48</v>
      </c>
      <c r="I28">
        <v>411</v>
      </c>
      <c r="J28">
        <v>313</v>
      </c>
      <c r="K28">
        <v>297</v>
      </c>
      <c r="L28">
        <v>28</v>
      </c>
      <c r="M28">
        <v>18</v>
      </c>
      <c r="N28">
        <v>1</v>
      </c>
      <c r="O28">
        <v>27</v>
      </c>
      <c r="P28">
        <v>1029.21</v>
      </c>
      <c r="Q28" s="5">
        <f t="shared" si="0"/>
        <v>0.94888178913738019</v>
      </c>
      <c r="R28" s="5">
        <f t="shared" si="1"/>
        <v>9.4276094276094277E-2</v>
      </c>
      <c r="S28" s="5">
        <f t="shared" si="2"/>
        <v>0.6428571428571429</v>
      </c>
      <c r="T28" s="5">
        <f t="shared" si="3"/>
        <v>5.5555555555555552E-2</v>
      </c>
      <c r="U28" s="5">
        <f t="shared" si="4"/>
        <v>3.3670033670033669E-3</v>
      </c>
      <c r="V28" s="6">
        <f t="shared" si="5"/>
        <v>1.5</v>
      </c>
      <c r="W28" s="7">
        <f t="shared" si="6"/>
        <v>0.9642857142857143</v>
      </c>
      <c r="X28" s="5">
        <f t="shared" si="7"/>
        <v>37.11888888888889</v>
      </c>
    </row>
    <row r="29" spans="1:24" x14ac:dyDescent="0.35">
      <c r="A29" s="3">
        <v>46026</v>
      </c>
      <c r="B29" t="s">
        <v>73</v>
      </c>
      <c r="C29" t="s">
        <v>87</v>
      </c>
      <c r="D29" t="s">
        <v>31</v>
      </c>
      <c r="E29" t="s">
        <v>25</v>
      </c>
      <c r="F29" t="s">
        <v>20</v>
      </c>
      <c r="G29" t="s">
        <v>36</v>
      </c>
      <c r="H29" t="s">
        <v>22</v>
      </c>
      <c r="I29">
        <v>1673</v>
      </c>
      <c r="J29">
        <v>1544</v>
      </c>
      <c r="K29">
        <v>1507</v>
      </c>
      <c r="L29">
        <v>37</v>
      </c>
      <c r="M29">
        <v>14</v>
      </c>
      <c r="N29">
        <v>1</v>
      </c>
      <c r="O29">
        <v>263.16000000000003</v>
      </c>
      <c r="P29">
        <v>1123.8800000000001</v>
      </c>
      <c r="Q29" s="5">
        <f t="shared" si="0"/>
        <v>0.97603626943005184</v>
      </c>
      <c r="R29" s="5">
        <f t="shared" si="1"/>
        <v>2.4552090245520901E-2</v>
      </c>
      <c r="S29" s="5">
        <f t="shared" si="2"/>
        <v>0.3783783783783784</v>
      </c>
      <c r="T29" s="5">
        <f t="shared" si="3"/>
        <v>7.1428571428571425E-2</v>
      </c>
      <c r="U29" s="5">
        <f t="shared" si="4"/>
        <v>6.6357000663570006E-4</v>
      </c>
      <c r="V29" s="6">
        <f t="shared" si="5"/>
        <v>18.797142857142859</v>
      </c>
      <c r="W29" s="7">
        <f t="shared" si="6"/>
        <v>7.1124324324324331</v>
      </c>
      <c r="X29" s="5">
        <f t="shared" si="7"/>
        <v>3.270709834321325</v>
      </c>
    </row>
    <row r="30" spans="1:24" x14ac:dyDescent="0.35">
      <c r="A30" s="3">
        <v>46026</v>
      </c>
      <c r="B30" t="s">
        <v>88</v>
      </c>
      <c r="C30" t="s">
        <v>89</v>
      </c>
      <c r="D30" t="s">
        <v>31</v>
      </c>
      <c r="E30" t="s">
        <v>35</v>
      </c>
      <c r="F30" t="s">
        <v>26</v>
      </c>
      <c r="G30" t="s">
        <v>21</v>
      </c>
      <c r="H30" t="s">
        <v>28</v>
      </c>
      <c r="I30">
        <v>3371</v>
      </c>
      <c r="J30">
        <v>3120</v>
      </c>
      <c r="K30">
        <v>3089</v>
      </c>
      <c r="L30">
        <v>209</v>
      </c>
      <c r="M30">
        <v>93</v>
      </c>
      <c r="N30">
        <v>8</v>
      </c>
      <c r="O30">
        <v>584.01</v>
      </c>
      <c r="P30">
        <v>9697.85</v>
      </c>
      <c r="Q30" s="5">
        <f t="shared" si="0"/>
        <v>0.9900641025641026</v>
      </c>
      <c r="R30" s="5">
        <f t="shared" si="1"/>
        <v>6.7659436710909682E-2</v>
      </c>
      <c r="S30" s="5">
        <f t="shared" si="2"/>
        <v>0.44497607655502391</v>
      </c>
      <c r="T30" s="5">
        <f t="shared" si="3"/>
        <v>8.6021505376344093E-2</v>
      </c>
      <c r="U30" s="5">
        <f t="shared" si="4"/>
        <v>2.589834898025251E-3</v>
      </c>
      <c r="V30" s="6">
        <f t="shared" si="5"/>
        <v>6.2796774193548384</v>
      </c>
      <c r="W30" s="7">
        <f t="shared" si="6"/>
        <v>2.7943062200956938</v>
      </c>
      <c r="X30" s="5">
        <f t="shared" si="7"/>
        <v>15.60562319138371</v>
      </c>
    </row>
    <row r="31" spans="1:24" x14ac:dyDescent="0.35">
      <c r="A31" s="3">
        <v>46026</v>
      </c>
      <c r="B31" t="s">
        <v>52</v>
      </c>
      <c r="C31" t="s">
        <v>90</v>
      </c>
      <c r="D31" t="s">
        <v>34</v>
      </c>
      <c r="E31" t="s">
        <v>35</v>
      </c>
      <c r="F31" t="s">
        <v>20</v>
      </c>
      <c r="G31" t="s">
        <v>36</v>
      </c>
      <c r="H31" t="s">
        <v>28</v>
      </c>
      <c r="I31">
        <v>3347</v>
      </c>
      <c r="J31">
        <v>3035</v>
      </c>
      <c r="K31">
        <v>2858</v>
      </c>
      <c r="L31">
        <v>201</v>
      </c>
      <c r="M31">
        <v>102</v>
      </c>
      <c r="N31">
        <v>7</v>
      </c>
      <c r="O31">
        <v>260.08999999999997</v>
      </c>
      <c r="P31">
        <v>6134.4</v>
      </c>
      <c r="Q31" s="5">
        <f t="shared" si="0"/>
        <v>0.94168039538714987</v>
      </c>
      <c r="R31" s="5">
        <f t="shared" si="1"/>
        <v>7.0328901329601123E-2</v>
      </c>
      <c r="S31" s="5">
        <f t="shared" si="2"/>
        <v>0.5074626865671642</v>
      </c>
      <c r="T31" s="5">
        <f t="shared" si="3"/>
        <v>6.8627450980392163E-2</v>
      </c>
      <c r="U31" s="5">
        <f t="shared" si="4"/>
        <v>2.4492652204338699E-3</v>
      </c>
      <c r="V31" s="6">
        <f t="shared" si="5"/>
        <v>2.5499019607843136</v>
      </c>
      <c r="W31" s="7">
        <f t="shared" si="6"/>
        <v>1.2939800995024875</v>
      </c>
      <c r="X31" s="5">
        <f t="shared" si="7"/>
        <v>22.585681879349455</v>
      </c>
    </row>
    <row r="32" spans="1:24" x14ac:dyDescent="0.35">
      <c r="A32" s="3">
        <v>46027</v>
      </c>
      <c r="B32" t="s">
        <v>91</v>
      </c>
      <c r="C32" t="s">
        <v>92</v>
      </c>
      <c r="D32" t="s">
        <v>18</v>
      </c>
      <c r="E32" t="s">
        <v>19</v>
      </c>
      <c r="F32" t="s">
        <v>20</v>
      </c>
      <c r="G32" t="s">
        <v>41</v>
      </c>
      <c r="H32" t="s">
        <v>48</v>
      </c>
      <c r="I32">
        <v>4618</v>
      </c>
      <c r="J32">
        <v>4308</v>
      </c>
      <c r="K32">
        <v>4030</v>
      </c>
      <c r="L32">
        <v>62</v>
      </c>
      <c r="M32">
        <v>29</v>
      </c>
      <c r="N32">
        <v>1</v>
      </c>
      <c r="O32">
        <v>465.27</v>
      </c>
      <c r="P32">
        <v>1103.76</v>
      </c>
      <c r="Q32" s="5">
        <f t="shared" si="0"/>
        <v>0.93546889507892295</v>
      </c>
      <c r="R32" s="5">
        <f t="shared" si="1"/>
        <v>1.5384615384615385E-2</v>
      </c>
      <c r="S32" s="5">
        <f t="shared" si="2"/>
        <v>0.46774193548387094</v>
      </c>
      <c r="T32" s="5">
        <f t="shared" si="3"/>
        <v>3.4482758620689655E-2</v>
      </c>
      <c r="U32" s="5">
        <f t="shared" si="4"/>
        <v>2.4813895781637717E-4</v>
      </c>
      <c r="V32" s="6">
        <f t="shared" si="5"/>
        <v>16.043793103448277</v>
      </c>
      <c r="W32" s="7">
        <f t="shared" si="6"/>
        <v>7.504354838709677</v>
      </c>
      <c r="X32" s="5">
        <f t="shared" si="7"/>
        <v>1.3722999548649173</v>
      </c>
    </row>
    <row r="33" spans="1:24" x14ac:dyDescent="0.35">
      <c r="A33" s="3">
        <v>46027</v>
      </c>
      <c r="B33" t="s">
        <v>23</v>
      </c>
      <c r="C33" t="s">
        <v>93</v>
      </c>
      <c r="D33" t="s">
        <v>18</v>
      </c>
      <c r="E33" t="s">
        <v>19</v>
      </c>
      <c r="F33" t="s">
        <v>20</v>
      </c>
      <c r="G33" t="s">
        <v>21</v>
      </c>
      <c r="H33" t="s">
        <v>51</v>
      </c>
      <c r="I33">
        <v>1646</v>
      </c>
      <c r="J33">
        <v>1546</v>
      </c>
      <c r="K33">
        <v>1387</v>
      </c>
      <c r="L33">
        <v>16</v>
      </c>
      <c r="M33">
        <v>9</v>
      </c>
      <c r="N33">
        <v>0</v>
      </c>
      <c r="O33">
        <v>178.61</v>
      </c>
      <c r="P33">
        <v>0</v>
      </c>
      <c r="Q33" s="5">
        <f t="shared" si="0"/>
        <v>0.89715394566623541</v>
      </c>
      <c r="R33" s="5">
        <f t="shared" si="1"/>
        <v>1.1535688536409516E-2</v>
      </c>
      <c r="S33" s="5">
        <f t="shared" si="2"/>
        <v>0.5625</v>
      </c>
      <c r="T33" s="5">
        <f t="shared" si="3"/>
        <v>0</v>
      </c>
      <c r="U33" s="5">
        <f t="shared" si="4"/>
        <v>0</v>
      </c>
      <c r="V33" s="6">
        <f t="shared" si="5"/>
        <v>19.845555555555556</v>
      </c>
      <c r="W33" s="7">
        <f t="shared" si="6"/>
        <v>11.163125000000001</v>
      </c>
      <c r="X33" s="5">
        <f t="shared" si="7"/>
        <v>-1</v>
      </c>
    </row>
    <row r="34" spans="1:24" x14ac:dyDescent="0.35">
      <c r="A34" s="3">
        <v>46027</v>
      </c>
      <c r="B34" t="s">
        <v>29</v>
      </c>
      <c r="C34" t="s">
        <v>94</v>
      </c>
      <c r="D34" t="s">
        <v>34</v>
      </c>
      <c r="E34" t="s">
        <v>25</v>
      </c>
      <c r="F34" t="s">
        <v>26</v>
      </c>
      <c r="G34" t="s">
        <v>59</v>
      </c>
      <c r="H34" t="s">
        <v>28</v>
      </c>
      <c r="I34">
        <v>4414</v>
      </c>
      <c r="J34">
        <v>4010</v>
      </c>
      <c r="K34">
        <v>3728</v>
      </c>
      <c r="L34">
        <v>171</v>
      </c>
      <c r="M34">
        <v>95</v>
      </c>
      <c r="N34">
        <v>3</v>
      </c>
      <c r="O34">
        <v>376.48</v>
      </c>
      <c r="P34">
        <v>3088.45</v>
      </c>
      <c r="Q34" s="5">
        <f t="shared" si="0"/>
        <v>0.92967581047381542</v>
      </c>
      <c r="R34" s="5">
        <f t="shared" si="1"/>
        <v>4.5869098712446349E-2</v>
      </c>
      <c r="S34" s="5">
        <f t="shared" si="2"/>
        <v>0.55555555555555558</v>
      </c>
      <c r="T34" s="5">
        <f t="shared" si="3"/>
        <v>3.1578947368421054E-2</v>
      </c>
      <c r="U34" s="5">
        <f t="shared" si="4"/>
        <v>8.0472103004291845E-4</v>
      </c>
      <c r="V34" s="6">
        <f t="shared" si="5"/>
        <v>3.962947368421053</v>
      </c>
      <c r="W34" s="7">
        <f t="shared" si="6"/>
        <v>2.2016374269005849</v>
      </c>
      <c r="X34" s="5">
        <f t="shared" si="7"/>
        <v>7.2034902252443684</v>
      </c>
    </row>
    <row r="35" spans="1:24" x14ac:dyDescent="0.35">
      <c r="A35" s="3">
        <v>46027</v>
      </c>
      <c r="B35" t="s">
        <v>95</v>
      </c>
      <c r="C35" t="s">
        <v>96</v>
      </c>
      <c r="D35" t="s">
        <v>34</v>
      </c>
      <c r="E35" t="s">
        <v>35</v>
      </c>
      <c r="F35" t="s">
        <v>20</v>
      </c>
      <c r="G35" t="s">
        <v>36</v>
      </c>
      <c r="H35" t="s">
        <v>28</v>
      </c>
      <c r="I35">
        <v>1886</v>
      </c>
      <c r="J35">
        <v>1747</v>
      </c>
      <c r="K35">
        <v>1634</v>
      </c>
      <c r="L35">
        <v>119</v>
      </c>
      <c r="M35">
        <v>56</v>
      </c>
      <c r="N35">
        <v>4</v>
      </c>
      <c r="O35">
        <v>152.97</v>
      </c>
      <c r="P35">
        <v>4129.3999999999996</v>
      </c>
      <c r="Q35" s="5">
        <f t="shared" si="0"/>
        <v>0.93531768746422439</v>
      </c>
      <c r="R35" s="5">
        <f t="shared" si="1"/>
        <v>7.2827417380660953E-2</v>
      </c>
      <c r="S35" s="5">
        <f t="shared" si="2"/>
        <v>0.47058823529411764</v>
      </c>
      <c r="T35" s="5">
        <f t="shared" si="3"/>
        <v>7.1428571428571425E-2</v>
      </c>
      <c r="U35" s="5">
        <f t="shared" si="4"/>
        <v>2.4479804161566705E-3</v>
      </c>
      <c r="V35" s="6">
        <f t="shared" si="5"/>
        <v>2.7316071428571429</v>
      </c>
      <c r="W35" s="7">
        <f t="shared" si="6"/>
        <v>1.2854621848739496</v>
      </c>
      <c r="X35" s="5">
        <f t="shared" si="7"/>
        <v>25.994835588677518</v>
      </c>
    </row>
    <row r="36" spans="1:24" x14ac:dyDescent="0.35">
      <c r="A36" s="3">
        <v>46027</v>
      </c>
      <c r="B36" t="s">
        <v>97</v>
      </c>
      <c r="C36" t="s">
        <v>98</v>
      </c>
      <c r="D36" t="s">
        <v>31</v>
      </c>
      <c r="E36" t="s">
        <v>35</v>
      </c>
      <c r="F36" t="s">
        <v>20</v>
      </c>
      <c r="G36" t="s">
        <v>59</v>
      </c>
      <c r="H36" t="s">
        <v>22</v>
      </c>
      <c r="I36">
        <v>752</v>
      </c>
      <c r="J36">
        <v>745</v>
      </c>
      <c r="K36">
        <v>708</v>
      </c>
      <c r="L36">
        <v>41</v>
      </c>
      <c r="M36">
        <v>13</v>
      </c>
      <c r="N36">
        <v>1</v>
      </c>
      <c r="O36">
        <v>114.72</v>
      </c>
      <c r="P36">
        <v>987.58</v>
      </c>
      <c r="Q36" s="5">
        <f t="shared" si="0"/>
        <v>0.95033557046979866</v>
      </c>
      <c r="R36" s="5">
        <f t="shared" si="1"/>
        <v>5.7909604519774012E-2</v>
      </c>
      <c r="S36" s="5">
        <f t="shared" si="2"/>
        <v>0.31707317073170732</v>
      </c>
      <c r="T36" s="5">
        <f t="shared" si="3"/>
        <v>7.6923076923076927E-2</v>
      </c>
      <c r="U36" s="5">
        <f t="shared" si="4"/>
        <v>1.4124293785310734E-3</v>
      </c>
      <c r="V36" s="6">
        <f t="shared" si="5"/>
        <v>8.8246153846153845</v>
      </c>
      <c r="W36" s="7">
        <f t="shared" si="6"/>
        <v>2.7980487804878047</v>
      </c>
      <c r="X36" s="5">
        <f t="shared" si="7"/>
        <v>7.6086122733612278</v>
      </c>
    </row>
    <row r="37" spans="1:24" x14ac:dyDescent="0.35">
      <c r="A37" s="3">
        <v>46027</v>
      </c>
      <c r="B37" t="s">
        <v>99</v>
      </c>
      <c r="C37" t="s">
        <v>100</v>
      </c>
      <c r="D37" t="s">
        <v>31</v>
      </c>
      <c r="E37" t="s">
        <v>35</v>
      </c>
      <c r="F37" t="s">
        <v>26</v>
      </c>
      <c r="G37" t="s">
        <v>21</v>
      </c>
      <c r="H37" t="s">
        <v>51</v>
      </c>
      <c r="I37">
        <v>4242</v>
      </c>
      <c r="J37">
        <v>3275</v>
      </c>
      <c r="K37">
        <v>3101</v>
      </c>
      <c r="L37">
        <v>195</v>
      </c>
      <c r="M37">
        <v>108</v>
      </c>
      <c r="N37">
        <v>11</v>
      </c>
      <c r="O37">
        <v>635.70000000000005</v>
      </c>
      <c r="P37">
        <v>13072.5</v>
      </c>
      <c r="Q37" s="5">
        <f t="shared" si="0"/>
        <v>0.94687022900763362</v>
      </c>
      <c r="R37" s="5">
        <f t="shared" si="1"/>
        <v>6.2882940986778463E-2</v>
      </c>
      <c r="S37" s="5">
        <f t="shared" si="2"/>
        <v>0.55384615384615388</v>
      </c>
      <c r="T37" s="5">
        <f t="shared" si="3"/>
        <v>0.10185185185185185</v>
      </c>
      <c r="U37" s="5">
        <f t="shared" si="4"/>
        <v>3.547242824895195E-3</v>
      </c>
      <c r="V37" s="6">
        <f t="shared" si="5"/>
        <v>5.886111111111112</v>
      </c>
      <c r="W37" s="7">
        <f t="shared" si="6"/>
        <v>3.2600000000000002</v>
      </c>
      <c r="X37" s="5">
        <f t="shared" si="7"/>
        <v>19.563945257196789</v>
      </c>
    </row>
    <row r="38" spans="1:24" x14ac:dyDescent="0.35">
      <c r="A38" s="3">
        <v>46027</v>
      </c>
      <c r="B38" t="s">
        <v>101</v>
      </c>
      <c r="C38" t="s">
        <v>102</v>
      </c>
      <c r="D38" t="s">
        <v>18</v>
      </c>
      <c r="E38" t="s">
        <v>35</v>
      </c>
      <c r="F38" t="s">
        <v>26</v>
      </c>
      <c r="G38" t="s">
        <v>36</v>
      </c>
      <c r="H38" t="s">
        <v>22</v>
      </c>
      <c r="I38">
        <v>914</v>
      </c>
      <c r="J38">
        <v>905</v>
      </c>
      <c r="K38">
        <v>808</v>
      </c>
      <c r="L38">
        <v>91</v>
      </c>
      <c r="M38">
        <v>56</v>
      </c>
      <c r="N38">
        <v>4</v>
      </c>
      <c r="O38">
        <v>92.58</v>
      </c>
      <c r="P38">
        <v>5783.62</v>
      </c>
      <c r="Q38" s="5">
        <f t="shared" si="0"/>
        <v>0.89281767955801106</v>
      </c>
      <c r="R38" s="5">
        <f t="shared" si="1"/>
        <v>0.11262376237623763</v>
      </c>
      <c r="S38" s="5">
        <f t="shared" si="2"/>
        <v>0.61538461538461542</v>
      </c>
      <c r="T38" s="5">
        <f t="shared" si="3"/>
        <v>7.1428571428571425E-2</v>
      </c>
      <c r="U38" s="5">
        <f t="shared" si="4"/>
        <v>4.9504950495049506E-3</v>
      </c>
      <c r="V38" s="6">
        <f t="shared" si="5"/>
        <v>1.6532142857142857</v>
      </c>
      <c r="W38" s="7">
        <f t="shared" si="6"/>
        <v>1.0173626373626374</v>
      </c>
      <c r="X38" s="5">
        <f t="shared" si="7"/>
        <v>61.471592136530568</v>
      </c>
    </row>
    <row r="39" spans="1:24" x14ac:dyDescent="0.35">
      <c r="A39" s="3">
        <v>46027</v>
      </c>
      <c r="B39" t="s">
        <v>54</v>
      </c>
      <c r="C39" t="s">
        <v>103</v>
      </c>
      <c r="D39" t="s">
        <v>40</v>
      </c>
      <c r="E39" t="s">
        <v>56</v>
      </c>
      <c r="F39" t="s">
        <v>20</v>
      </c>
      <c r="G39" t="s">
        <v>21</v>
      </c>
      <c r="H39" t="s">
        <v>37</v>
      </c>
      <c r="I39">
        <v>2378</v>
      </c>
      <c r="J39">
        <v>1736</v>
      </c>
      <c r="K39">
        <v>1616</v>
      </c>
      <c r="L39">
        <v>88</v>
      </c>
      <c r="M39">
        <v>50</v>
      </c>
      <c r="N39">
        <v>2</v>
      </c>
      <c r="O39">
        <v>232.53</v>
      </c>
      <c r="P39">
        <v>2122.48</v>
      </c>
      <c r="Q39" s="5">
        <f t="shared" si="0"/>
        <v>0.93087557603686633</v>
      </c>
      <c r="R39" s="5">
        <f t="shared" si="1"/>
        <v>5.4455445544554455E-2</v>
      </c>
      <c r="S39" s="5">
        <f t="shared" si="2"/>
        <v>0.56818181818181823</v>
      </c>
      <c r="T39" s="5">
        <f t="shared" si="3"/>
        <v>0.04</v>
      </c>
      <c r="U39" s="5">
        <f t="shared" si="4"/>
        <v>1.2376237623762376E-3</v>
      </c>
      <c r="V39" s="6">
        <f t="shared" si="5"/>
        <v>4.6505999999999998</v>
      </c>
      <c r="W39" s="7">
        <f t="shared" si="6"/>
        <v>2.6423863636363638</v>
      </c>
      <c r="X39" s="5">
        <f t="shared" si="7"/>
        <v>8.1277684599836579</v>
      </c>
    </row>
    <row r="40" spans="1:24" x14ac:dyDescent="0.35">
      <c r="A40" s="3">
        <v>46028</v>
      </c>
      <c r="B40" t="s">
        <v>91</v>
      </c>
      <c r="C40" t="s">
        <v>104</v>
      </c>
      <c r="D40" t="s">
        <v>31</v>
      </c>
      <c r="E40" t="s">
        <v>56</v>
      </c>
      <c r="F40" t="s">
        <v>20</v>
      </c>
      <c r="G40" t="s">
        <v>36</v>
      </c>
      <c r="H40" t="s">
        <v>48</v>
      </c>
      <c r="I40">
        <v>4675</v>
      </c>
      <c r="J40">
        <v>3662</v>
      </c>
      <c r="K40">
        <v>3528</v>
      </c>
      <c r="L40">
        <v>120</v>
      </c>
      <c r="M40">
        <v>40</v>
      </c>
      <c r="N40">
        <v>2</v>
      </c>
      <c r="O40">
        <v>759.2</v>
      </c>
      <c r="P40">
        <v>2605.75</v>
      </c>
      <c r="Q40" s="5">
        <f t="shared" si="0"/>
        <v>0.96340797378481702</v>
      </c>
      <c r="R40" s="5">
        <f t="shared" si="1"/>
        <v>3.4013605442176874E-2</v>
      </c>
      <c r="S40" s="5">
        <f t="shared" si="2"/>
        <v>0.33333333333333331</v>
      </c>
      <c r="T40" s="5">
        <f t="shared" si="3"/>
        <v>0.05</v>
      </c>
      <c r="U40" s="5">
        <f t="shared" si="4"/>
        <v>5.6689342403628119E-4</v>
      </c>
      <c r="V40" s="6">
        <f t="shared" si="5"/>
        <v>18.98</v>
      </c>
      <c r="W40" s="7">
        <f t="shared" si="6"/>
        <v>6.3266666666666671</v>
      </c>
      <c r="X40" s="5">
        <f t="shared" si="7"/>
        <v>2.432231296101159</v>
      </c>
    </row>
    <row r="41" spans="1:24" x14ac:dyDescent="0.35">
      <c r="A41" s="3">
        <v>46028</v>
      </c>
      <c r="B41" t="s">
        <v>38</v>
      </c>
      <c r="C41" t="s">
        <v>105</v>
      </c>
      <c r="D41" t="s">
        <v>34</v>
      </c>
      <c r="E41" t="s">
        <v>19</v>
      </c>
      <c r="F41" t="s">
        <v>20</v>
      </c>
      <c r="G41" t="s">
        <v>41</v>
      </c>
      <c r="H41" t="s">
        <v>48</v>
      </c>
      <c r="I41">
        <v>542</v>
      </c>
      <c r="J41">
        <v>456</v>
      </c>
      <c r="K41">
        <v>432</v>
      </c>
      <c r="L41">
        <v>4</v>
      </c>
      <c r="M41">
        <v>2</v>
      </c>
      <c r="N41">
        <v>0</v>
      </c>
      <c r="O41">
        <v>33.520000000000003</v>
      </c>
      <c r="P41">
        <v>0</v>
      </c>
      <c r="Q41" s="5">
        <f t="shared" si="0"/>
        <v>0.94736842105263153</v>
      </c>
      <c r="R41" s="5">
        <f t="shared" si="1"/>
        <v>9.2592592592592587E-3</v>
      </c>
      <c r="S41" s="5">
        <f t="shared" si="2"/>
        <v>0.5</v>
      </c>
      <c r="T41" s="5">
        <f t="shared" si="3"/>
        <v>0</v>
      </c>
      <c r="U41" s="5">
        <f t="shared" si="4"/>
        <v>0</v>
      </c>
      <c r="V41" s="6">
        <f t="shared" si="5"/>
        <v>16.760000000000002</v>
      </c>
      <c r="W41" s="7">
        <f t="shared" si="6"/>
        <v>8.3800000000000008</v>
      </c>
      <c r="X41" s="5">
        <f t="shared" si="7"/>
        <v>-1</v>
      </c>
    </row>
    <row r="42" spans="1:24" x14ac:dyDescent="0.35">
      <c r="A42" s="3">
        <v>46028</v>
      </c>
      <c r="B42" t="s">
        <v>106</v>
      </c>
      <c r="C42" t="s">
        <v>107</v>
      </c>
      <c r="D42" t="s">
        <v>34</v>
      </c>
      <c r="E42" t="s">
        <v>56</v>
      </c>
      <c r="F42" t="s">
        <v>20</v>
      </c>
      <c r="G42" t="s">
        <v>27</v>
      </c>
      <c r="H42" t="s">
        <v>28</v>
      </c>
      <c r="I42">
        <v>1776</v>
      </c>
      <c r="J42">
        <v>1537</v>
      </c>
      <c r="K42">
        <v>1471</v>
      </c>
      <c r="L42">
        <v>72</v>
      </c>
      <c r="M42">
        <v>32</v>
      </c>
      <c r="N42">
        <v>2</v>
      </c>
      <c r="O42">
        <v>111.94</v>
      </c>
      <c r="P42">
        <v>2605.13</v>
      </c>
      <c r="Q42" s="5">
        <f t="shared" si="0"/>
        <v>0.95705920624593366</v>
      </c>
      <c r="R42" s="5">
        <f t="shared" si="1"/>
        <v>4.894629503738953E-2</v>
      </c>
      <c r="S42" s="5">
        <f t="shared" si="2"/>
        <v>0.44444444444444442</v>
      </c>
      <c r="T42" s="5">
        <f t="shared" si="3"/>
        <v>6.25E-2</v>
      </c>
      <c r="U42" s="5">
        <f t="shared" si="4"/>
        <v>1.3596193065941536E-3</v>
      </c>
      <c r="V42" s="6">
        <f t="shared" si="5"/>
        <v>3.4981249999999999</v>
      </c>
      <c r="W42" s="7">
        <f t="shared" si="6"/>
        <v>1.5547222222222221</v>
      </c>
      <c r="X42" s="5">
        <f t="shared" si="7"/>
        <v>22.272556726817939</v>
      </c>
    </row>
    <row r="43" spans="1:24" x14ac:dyDescent="0.35">
      <c r="A43" s="3">
        <v>46028</v>
      </c>
      <c r="B43" t="s">
        <v>108</v>
      </c>
      <c r="C43" t="s">
        <v>109</v>
      </c>
      <c r="D43" t="s">
        <v>18</v>
      </c>
      <c r="E43" t="s">
        <v>25</v>
      </c>
      <c r="F43" t="s">
        <v>20</v>
      </c>
      <c r="G43" t="s">
        <v>27</v>
      </c>
      <c r="H43" t="s">
        <v>48</v>
      </c>
      <c r="I43">
        <v>2272</v>
      </c>
      <c r="J43">
        <v>1953</v>
      </c>
      <c r="K43">
        <v>1770</v>
      </c>
      <c r="L43">
        <v>57</v>
      </c>
      <c r="M43">
        <v>27</v>
      </c>
      <c r="N43">
        <v>1</v>
      </c>
      <c r="O43">
        <v>220.27</v>
      </c>
      <c r="P43">
        <v>724.01</v>
      </c>
      <c r="Q43" s="5">
        <f t="shared" si="0"/>
        <v>0.90629800307219666</v>
      </c>
      <c r="R43" s="5">
        <f t="shared" si="1"/>
        <v>3.2203389830508473E-2</v>
      </c>
      <c r="S43" s="5">
        <f t="shared" si="2"/>
        <v>0.47368421052631576</v>
      </c>
      <c r="T43" s="5">
        <f t="shared" si="3"/>
        <v>3.7037037037037035E-2</v>
      </c>
      <c r="U43" s="5">
        <f t="shared" si="4"/>
        <v>5.649717514124294E-4</v>
      </c>
      <c r="V43" s="6">
        <f t="shared" si="5"/>
        <v>8.1581481481481486</v>
      </c>
      <c r="W43" s="7">
        <f t="shared" si="6"/>
        <v>3.8643859649122807</v>
      </c>
      <c r="X43" s="5">
        <f t="shared" si="7"/>
        <v>2.2869205974485856</v>
      </c>
    </row>
    <row r="44" spans="1:24" x14ac:dyDescent="0.35">
      <c r="A44" s="3">
        <v>46029</v>
      </c>
      <c r="B44" t="s">
        <v>110</v>
      </c>
      <c r="C44" t="s">
        <v>111</v>
      </c>
      <c r="D44" t="s">
        <v>31</v>
      </c>
      <c r="E44" t="s">
        <v>35</v>
      </c>
      <c r="F44" t="s">
        <v>26</v>
      </c>
      <c r="G44" t="s">
        <v>36</v>
      </c>
      <c r="H44" t="s">
        <v>22</v>
      </c>
      <c r="I44">
        <v>2112</v>
      </c>
      <c r="J44">
        <v>1814</v>
      </c>
      <c r="K44">
        <v>1791</v>
      </c>
      <c r="L44">
        <v>116</v>
      </c>
      <c r="M44">
        <v>59</v>
      </c>
      <c r="N44">
        <v>5</v>
      </c>
      <c r="O44">
        <v>347.98</v>
      </c>
      <c r="P44">
        <v>5061.55</v>
      </c>
      <c r="Q44" s="5">
        <f t="shared" si="0"/>
        <v>0.98732083792723269</v>
      </c>
      <c r="R44" s="5">
        <f t="shared" si="1"/>
        <v>6.4768285873813516E-2</v>
      </c>
      <c r="S44" s="5">
        <f t="shared" si="2"/>
        <v>0.50862068965517238</v>
      </c>
      <c r="T44" s="5">
        <f t="shared" si="3"/>
        <v>8.4745762711864403E-2</v>
      </c>
      <c r="U44" s="5">
        <f t="shared" si="4"/>
        <v>2.7917364600781687E-3</v>
      </c>
      <c r="V44" s="6">
        <f t="shared" si="5"/>
        <v>5.8979661016949159</v>
      </c>
      <c r="W44" s="7">
        <f t="shared" si="6"/>
        <v>2.9998275862068966</v>
      </c>
      <c r="X44" s="5">
        <f t="shared" si="7"/>
        <v>13.545519857463072</v>
      </c>
    </row>
    <row r="45" spans="1:24" x14ac:dyDescent="0.35">
      <c r="A45" s="3">
        <v>46029</v>
      </c>
      <c r="B45" t="s">
        <v>110</v>
      </c>
      <c r="C45" t="s">
        <v>112</v>
      </c>
      <c r="D45" t="s">
        <v>18</v>
      </c>
      <c r="E45" t="s">
        <v>25</v>
      </c>
      <c r="F45" t="s">
        <v>26</v>
      </c>
      <c r="G45" t="s">
        <v>27</v>
      </c>
      <c r="H45" t="s">
        <v>28</v>
      </c>
      <c r="I45">
        <v>1038</v>
      </c>
      <c r="J45">
        <v>1012</v>
      </c>
      <c r="K45">
        <v>910</v>
      </c>
      <c r="L45">
        <v>48</v>
      </c>
      <c r="M45">
        <v>32</v>
      </c>
      <c r="N45">
        <v>1</v>
      </c>
      <c r="O45">
        <v>143.29</v>
      </c>
      <c r="P45">
        <v>1144.6099999999999</v>
      </c>
      <c r="Q45" s="5">
        <f t="shared" si="0"/>
        <v>0.89920948616600793</v>
      </c>
      <c r="R45" s="5">
        <f t="shared" si="1"/>
        <v>5.2747252747252747E-2</v>
      </c>
      <c r="S45" s="5">
        <f t="shared" si="2"/>
        <v>0.66666666666666663</v>
      </c>
      <c r="T45" s="5">
        <f t="shared" si="3"/>
        <v>3.125E-2</v>
      </c>
      <c r="U45" s="5">
        <f t="shared" si="4"/>
        <v>1.0989010989010989E-3</v>
      </c>
      <c r="V45" s="6">
        <f t="shared" si="5"/>
        <v>4.4778124999999998</v>
      </c>
      <c r="W45" s="7">
        <f t="shared" si="6"/>
        <v>2.985208333333333</v>
      </c>
      <c r="X45" s="5">
        <f t="shared" si="7"/>
        <v>6.9880661595366043</v>
      </c>
    </row>
    <row r="46" spans="1:24" x14ac:dyDescent="0.35">
      <c r="A46" s="3">
        <v>46029</v>
      </c>
      <c r="B46" t="s">
        <v>97</v>
      </c>
      <c r="C46" t="s">
        <v>113</v>
      </c>
      <c r="D46" t="s">
        <v>40</v>
      </c>
      <c r="E46" t="s">
        <v>19</v>
      </c>
      <c r="F46" t="s">
        <v>20</v>
      </c>
      <c r="G46" t="s">
        <v>36</v>
      </c>
      <c r="H46" t="s">
        <v>28</v>
      </c>
      <c r="I46">
        <v>4489</v>
      </c>
      <c r="J46">
        <v>3884</v>
      </c>
      <c r="K46">
        <v>3674</v>
      </c>
      <c r="L46">
        <v>20</v>
      </c>
      <c r="M46">
        <v>10</v>
      </c>
      <c r="N46">
        <v>0</v>
      </c>
      <c r="O46">
        <v>551.36</v>
      </c>
      <c r="P46">
        <v>0</v>
      </c>
      <c r="Q46" s="5">
        <f t="shared" si="0"/>
        <v>0.94593202883625127</v>
      </c>
      <c r="R46" s="5">
        <f t="shared" si="1"/>
        <v>5.4436581382689168E-3</v>
      </c>
      <c r="S46" s="5">
        <f t="shared" si="2"/>
        <v>0.5</v>
      </c>
      <c r="T46" s="5">
        <f t="shared" si="3"/>
        <v>0</v>
      </c>
      <c r="U46" s="5">
        <f t="shared" si="4"/>
        <v>0</v>
      </c>
      <c r="V46" s="6">
        <f t="shared" si="5"/>
        <v>55.136000000000003</v>
      </c>
      <c r="W46" s="7">
        <f t="shared" si="6"/>
        <v>27.568000000000001</v>
      </c>
      <c r="X46" s="5">
        <f t="shared" si="7"/>
        <v>-1</v>
      </c>
    </row>
    <row r="47" spans="1:24" x14ac:dyDescent="0.35">
      <c r="A47" s="3">
        <v>46029</v>
      </c>
      <c r="B47" t="s">
        <v>46</v>
      </c>
      <c r="C47" t="s">
        <v>114</v>
      </c>
      <c r="D47" t="s">
        <v>34</v>
      </c>
      <c r="E47" t="s">
        <v>56</v>
      </c>
      <c r="F47" t="s">
        <v>26</v>
      </c>
      <c r="G47" t="s">
        <v>36</v>
      </c>
      <c r="H47" t="s">
        <v>48</v>
      </c>
      <c r="I47">
        <v>2493</v>
      </c>
      <c r="J47">
        <v>1927</v>
      </c>
      <c r="K47">
        <v>1786</v>
      </c>
      <c r="L47">
        <v>121</v>
      </c>
      <c r="M47">
        <v>71</v>
      </c>
      <c r="N47">
        <v>5</v>
      </c>
      <c r="O47">
        <v>154.44999999999999</v>
      </c>
      <c r="P47">
        <v>4627.63</v>
      </c>
      <c r="Q47" s="5">
        <f t="shared" si="0"/>
        <v>0.92682926829268297</v>
      </c>
      <c r="R47" s="5">
        <f t="shared" si="1"/>
        <v>6.7749160134378497E-2</v>
      </c>
      <c r="S47" s="5">
        <f t="shared" si="2"/>
        <v>0.58677685950413228</v>
      </c>
      <c r="T47" s="5">
        <f t="shared" si="3"/>
        <v>7.0422535211267609E-2</v>
      </c>
      <c r="U47" s="5">
        <f t="shared" si="4"/>
        <v>2.7995520716685329E-3</v>
      </c>
      <c r="V47" s="6">
        <f t="shared" si="5"/>
        <v>2.1753521126760562</v>
      </c>
      <c r="W47" s="7">
        <f t="shared" si="6"/>
        <v>1.2764462809917354</v>
      </c>
      <c r="X47" s="5">
        <f t="shared" si="7"/>
        <v>28.961994172871485</v>
      </c>
    </row>
    <row r="48" spans="1:24" x14ac:dyDescent="0.35">
      <c r="A48" s="3">
        <v>46029</v>
      </c>
      <c r="B48" t="s">
        <v>77</v>
      </c>
      <c r="C48" t="s">
        <v>115</v>
      </c>
      <c r="D48" t="s">
        <v>40</v>
      </c>
      <c r="E48" t="s">
        <v>25</v>
      </c>
      <c r="F48" t="s">
        <v>26</v>
      </c>
      <c r="G48" t="s">
        <v>21</v>
      </c>
      <c r="H48" t="s">
        <v>48</v>
      </c>
      <c r="I48">
        <v>3386</v>
      </c>
      <c r="J48">
        <v>2756</v>
      </c>
      <c r="K48">
        <v>2574</v>
      </c>
      <c r="L48">
        <v>128</v>
      </c>
      <c r="M48">
        <v>69</v>
      </c>
      <c r="N48">
        <v>4</v>
      </c>
      <c r="O48">
        <v>383.1</v>
      </c>
      <c r="P48">
        <v>5789.21</v>
      </c>
      <c r="Q48" s="5">
        <f t="shared" si="0"/>
        <v>0.93396226415094341</v>
      </c>
      <c r="R48" s="5">
        <f t="shared" si="1"/>
        <v>4.9728049728049728E-2</v>
      </c>
      <c r="S48" s="5">
        <f t="shared" si="2"/>
        <v>0.5390625</v>
      </c>
      <c r="T48" s="5">
        <f t="shared" si="3"/>
        <v>5.7971014492753624E-2</v>
      </c>
      <c r="U48" s="5">
        <f t="shared" si="4"/>
        <v>1.554001554001554E-3</v>
      </c>
      <c r="V48" s="6">
        <f t="shared" si="5"/>
        <v>5.5521739130434788</v>
      </c>
      <c r="W48" s="7">
        <f t="shared" si="6"/>
        <v>2.9929687500000002</v>
      </c>
      <c r="X48" s="5">
        <f t="shared" si="7"/>
        <v>14.111485251892455</v>
      </c>
    </row>
    <row r="49" spans="1:24" x14ac:dyDescent="0.35">
      <c r="A49" s="3">
        <v>46030</v>
      </c>
      <c r="B49" t="s">
        <v>91</v>
      </c>
      <c r="C49" t="s">
        <v>116</v>
      </c>
      <c r="D49" t="s">
        <v>31</v>
      </c>
      <c r="E49" t="s">
        <v>19</v>
      </c>
      <c r="F49" t="s">
        <v>26</v>
      </c>
      <c r="G49" t="s">
        <v>21</v>
      </c>
      <c r="H49" t="s">
        <v>37</v>
      </c>
      <c r="I49">
        <v>2367</v>
      </c>
      <c r="J49">
        <v>1932</v>
      </c>
      <c r="K49">
        <v>1881</v>
      </c>
      <c r="L49">
        <v>10</v>
      </c>
      <c r="M49">
        <v>5</v>
      </c>
      <c r="N49">
        <v>0</v>
      </c>
      <c r="O49">
        <v>354.76</v>
      </c>
      <c r="P49">
        <v>0</v>
      </c>
      <c r="Q49" s="5">
        <f t="shared" si="0"/>
        <v>0.97360248447204967</v>
      </c>
      <c r="R49" s="5">
        <f t="shared" si="1"/>
        <v>5.3163211057947902E-3</v>
      </c>
      <c r="S49" s="5">
        <f t="shared" si="2"/>
        <v>0.5</v>
      </c>
      <c r="T49" s="5">
        <f t="shared" si="3"/>
        <v>0</v>
      </c>
      <c r="U49" s="5">
        <f t="shared" si="4"/>
        <v>0</v>
      </c>
      <c r="V49" s="6">
        <f t="shared" si="5"/>
        <v>70.951999999999998</v>
      </c>
      <c r="W49" s="7">
        <f t="shared" si="6"/>
        <v>35.475999999999999</v>
      </c>
      <c r="X49" s="5">
        <f t="shared" si="7"/>
        <v>-1</v>
      </c>
    </row>
    <row r="50" spans="1:24" x14ac:dyDescent="0.35">
      <c r="A50" s="3">
        <v>46030</v>
      </c>
      <c r="B50" t="s">
        <v>16</v>
      </c>
      <c r="C50" t="s">
        <v>117</v>
      </c>
      <c r="D50" t="s">
        <v>34</v>
      </c>
      <c r="E50" t="s">
        <v>35</v>
      </c>
      <c r="F50" t="s">
        <v>20</v>
      </c>
      <c r="G50" t="s">
        <v>59</v>
      </c>
      <c r="H50" t="s">
        <v>51</v>
      </c>
      <c r="I50">
        <v>2798</v>
      </c>
      <c r="J50">
        <v>2552</v>
      </c>
      <c r="K50">
        <v>2346</v>
      </c>
      <c r="L50">
        <v>161</v>
      </c>
      <c r="M50">
        <v>79</v>
      </c>
      <c r="N50">
        <v>7</v>
      </c>
      <c r="O50">
        <v>215.39</v>
      </c>
      <c r="P50">
        <v>6993</v>
      </c>
      <c r="Q50" s="5">
        <f t="shared" si="0"/>
        <v>0.91927899686520376</v>
      </c>
      <c r="R50" s="5">
        <f t="shared" si="1"/>
        <v>6.8627450980392163E-2</v>
      </c>
      <c r="S50" s="5">
        <f t="shared" si="2"/>
        <v>0.49068322981366458</v>
      </c>
      <c r="T50" s="5">
        <f t="shared" si="3"/>
        <v>8.8607594936708861E-2</v>
      </c>
      <c r="U50" s="5">
        <f t="shared" si="4"/>
        <v>2.9838022165387893E-3</v>
      </c>
      <c r="V50" s="6">
        <f t="shared" si="5"/>
        <v>2.7264556962025313</v>
      </c>
      <c r="W50" s="7">
        <f t="shared" si="6"/>
        <v>1.3378260869565217</v>
      </c>
      <c r="X50" s="5">
        <f t="shared" si="7"/>
        <v>31.46668833279168</v>
      </c>
    </row>
    <row r="51" spans="1:24" x14ac:dyDescent="0.35">
      <c r="A51" s="3">
        <v>46030</v>
      </c>
      <c r="B51" t="s">
        <v>118</v>
      </c>
      <c r="C51" t="s">
        <v>119</v>
      </c>
      <c r="D51" t="s">
        <v>31</v>
      </c>
      <c r="E51" t="s">
        <v>25</v>
      </c>
      <c r="F51" t="s">
        <v>20</v>
      </c>
      <c r="G51" t="s">
        <v>59</v>
      </c>
      <c r="H51" t="s">
        <v>37</v>
      </c>
      <c r="I51">
        <v>1861</v>
      </c>
      <c r="J51">
        <v>1642</v>
      </c>
      <c r="K51">
        <v>1601</v>
      </c>
      <c r="L51">
        <v>46</v>
      </c>
      <c r="M51">
        <v>18</v>
      </c>
      <c r="N51">
        <v>1</v>
      </c>
      <c r="O51">
        <v>261.56</v>
      </c>
      <c r="P51">
        <v>1200.44</v>
      </c>
      <c r="Q51" s="5">
        <f t="shared" si="0"/>
        <v>0.97503045066991478</v>
      </c>
      <c r="R51" s="5">
        <f t="shared" si="1"/>
        <v>2.8732042473454091E-2</v>
      </c>
      <c r="S51" s="5">
        <f t="shared" si="2"/>
        <v>0.39130434782608697</v>
      </c>
      <c r="T51" s="5">
        <f t="shared" si="3"/>
        <v>5.5555555555555552E-2</v>
      </c>
      <c r="U51" s="5">
        <f t="shared" si="4"/>
        <v>6.2460961898813238E-4</v>
      </c>
      <c r="V51" s="6">
        <f t="shared" si="5"/>
        <v>14.531111111111111</v>
      </c>
      <c r="W51" s="7">
        <f t="shared" si="6"/>
        <v>5.6860869565217396</v>
      </c>
      <c r="X51" s="5">
        <f t="shared" si="7"/>
        <v>3.5895396849671206</v>
      </c>
    </row>
    <row r="52" spans="1:24" x14ac:dyDescent="0.35">
      <c r="A52" s="3">
        <v>46030</v>
      </c>
      <c r="B52" t="s">
        <v>120</v>
      </c>
      <c r="C52" t="s">
        <v>121</v>
      </c>
      <c r="D52" t="s">
        <v>18</v>
      </c>
      <c r="E52" t="s">
        <v>35</v>
      </c>
      <c r="F52" t="s">
        <v>20</v>
      </c>
      <c r="G52" t="s">
        <v>21</v>
      </c>
      <c r="H52" t="s">
        <v>28</v>
      </c>
      <c r="I52">
        <v>2428</v>
      </c>
      <c r="J52">
        <v>2357</v>
      </c>
      <c r="K52">
        <v>2187</v>
      </c>
      <c r="L52">
        <v>176</v>
      </c>
      <c r="M52">
        <v>76</v>
      </c>
      <c r="N52">
        <v>5</v>
      </c>
      <c r="O52">
        <v>273.83</v>
      </c>
      <c r="P52">
        <v>5349.29</v>
      </c>
      <c r="Q52" s="5">
        <f t="shared" si="0"/>
        <v>0.92787441663131098</v>
      </c>
      <c r="R52" s="5">
        <f t="shared" si="1"/>
        <v>8.0475537265660729E-2</v>
      </c>
      <c r="S52" s="5">
        <f t="shared" si="2"/>
        <v>0.43181818181818182</v>
      </c>
      <c r="T52" s="5">
        <f t="shared" si="3"/>
        <v>6.5789473684210523E-2</v>
      </c>
      <c r="U52" s="5">
        <f t="shared" si="4"/>
        <v>2.2862368541380889E-3</v>
      </c>
      <c r="V52" s="6">
        <f t="shared" si="5"/>
        <v>3.6030263157894735</v>
      </c>
      <c r="W52" s="7">
        <f t="shared" si="6"/>
        <v>1.5558522727272726</v>
      </c>
      <c r="X52" s="5">
        <f t="shared" si="7"/>
        <v>18.535076507322064</v>
      </c>
    </row>
    <row r="53" spans="1:24" x14ac:dyDescent="0.35">
      <c r="A53" s="3">
        <v>46031</v>
      </c>
      <c r="B53" t="s">
        <v>122</v>
      </c>
      <c r="C53" t="s">
        <v>123</v>
      </c>
      <c r="D53" t="s">
        <v>18</v>
      </c>
      <c r="E53" t="s">
        <v>25</v>
      </c>
      <c r="F53" t="s">
        <v>26</v>
      </c>
      <c r="G53" t="s">
        <v>41</v>
      </c>
      <c r="H53" t="s">
        <v>37</v>
      </c>
      <c r="I53">
        <v>3792</v>
      </c>
      <c r="J53">
        <v>3564</v>
      </c>
      <c r="K53">
        <v>3225</v>
      </c>
      <c r="L53">
        <v>169</v>
      </c>
      <c r="M53">
        <v>114</v>
      </c>
      <c r="N53">
        <v>8</v>
      </c>
      <c r="O53">
        <v>481.73</v>
      </c>
      <c r="P53">
        <v>10722.62</v>
      </c>
      <c r="Q53" s="5">
        <f t="shared" si="0"/>
        <v>0.90488215488215484</v>
      </c>
      <c r="R53" s="5">
        <f t="shared" si="1"/>
        <v>5.2403100775193799E-2</v>
      </c>
      <c r="S53" s="5">
        <f t="shared" si="2"/>
        <v>0.67455621301775148</v>
      </c>
      <c r="T53" s="5">
        <f t="shared" si="3"/>
        <v>7.0175438596491224E-2</v>
      </c>
      <c r="U53" s="5">
        <f t="shared" si="4"/>
        <v>2.4806201550387598E-3</v>
      </c>
      <c r="V53" s="6">
        <f t="shared" si="5"/>
        <v>4.2257017543859652</v>
      </c>
      <c r="W53" s="7">
        <f t="shared" si="6"/>
        <v>2.8504733727810652</v>
      </c>
      <c r="X53" s="5">
        <f t="shared" si="7"/>
        <v>21.258568077553818</v>
      </c>
    </row>
    <row r="54" spans="1:24" x14ac:dyDescent="0.35">
      <c r="A54" s="3">
        <v>46031</v>
      </c>
      <c r="B54" t="s">
        <v>60</v>
      </c>
      <c r="C54" t="s">
        <v>124</v>
      </c>
      <c r="D54" t="s">
        <v>18</v>
      </c>
      <c r="E54" t="s">
        <v>56</v>
      </c>
      <c r="F54" t="s">
        <v>26</v>
      </c>
      <c r="G54" t="s">
        <v>21</v>
      </c>
      <c r="H54" t="s">
        <v>22</v>
      </c>
      <c r="I54">
        <v>1476</v>
      </c>
      <c r="J54">
        <v>1183</v>
      </c>
      <c r="K54">
        <v>1069</v>
      </c>
      <c r="L54">
        <v>75</v>
      </c>
      <c r="M54">
        <v>49</v>
      </c>
      <c r="N54">
        <v>4</v>
      </c>
      <c r="O54">
        <v>141.13</v>
      </c>
      <c r="P54">
        <v>6037.32</v>
      </c>
      <c r="Q54" s="5">
        <f t="shared" si="0"/>
        <v>0.90363482671174977</v>
      </c>
      <c r="R54" s="5">
        <f t="shared" si="1"/>
        <v>7.015902712815715E-2</v>
      </c>
      <c r="S54" s="5">
        <f t="shared" si="2"/>
        <v>0.65333333333333332</v>
      </c>
      <c r="T54" s="5">
        <f t="shared" si="3"/>
        <v>8.1632653061224483E-2</v>
      </c>
      <c r="U54" s="5">
        <f t="shared" si="4"/>
        <v>3.7418147801683817E-3</v>
      </c>
      <c r="V54" s="6">
        <f t="shared" si="5"/>
        <v>2.8802040816326531</v>
      </c>
      <c r="W54" s="7">
        <f t="shared" si="6"/>
        <v>1.8817333333333333</v>
      </c>
      <c r="X54" s="5">
        <f t="shared" si="7"/>
        <v>41.778431233614398</v>
      </c>
    </row>
    <row r="55" spans="1:24" x14ac:dyDescent="0.35">
      <c r="A55" s="3">
        <v>46031</v>
      </c>
      <c r="B55" t="s">
        <v>80</v>
      </c>
      <c r="C55" t="s">
        <v>125</v>
      </c>
      <c r="D55" t="s">
        <v>34</v>
      </c>
      <c r="E55" t="s">
        <v>25</v>
      </c>
      <c r="F55" t="s">
        <v>20</v>
      </c>
      <c r="G55" t="s">
        <v>21</v>
      </c>
      <c r="H55" t="s">
        <v>37</v>
      </c>
      <c r="I55">
        <v>552</v>
      </c>
      <c r="J55">
        <v>418</v>
      </c>
      <c r="K55">
        <v>402</v>
      </c>
      <c r="L55">
        <v>15</v>
      </c>
      <c r="M55">
        <v>6</v>
      </c>
      <c r="N55">
        <v>0</v>
      </c>
      <c r="O55">
        <v>39.81</v>
      </c>
      <c r="P55">
        <v>0</v>
      </c>
      <c r="Q55" s="5">
        <f t="shared" si="0"/>
        <v>0.96172248803827753</v>
      </c>
      <c r="R55" s="5">
        <f t="shared" si="1"/>
        <v>3.7313432835820892E-2</v>
      </c>
      <c r="S55" s="5">
        <f t="shared" si="2"/>
        <v>0.4</v>
      </c>
      <c r="T55" s="5">
        <f t="shared" si="3"/>
        <v>0</v>
      </c>
      <c r="U55" s="5">
        <f t="shared" si="4"/>
        <v>0</v>
      </c>
      <c r="V55" s="6">
        <f t="shared" si="5"/>
        <v>6.6350000000000007</v>
      </c>
      <c r="W55" s="7">
        <f t="shared" si="6"/>
        <v>2.6540000000000004</v>
      </c>
      <c r="X55" s="5">
        <f t="shared" si="7"/>
        <v>-1</v>
      </c>
    </row>
    <row r="56" spans="1:24" x14ac:dyDescent="0.35">
      <c r="A56" s="3">
        <v>46031</v>
      </c>
      <c r="B56" t="s">
        <v>69</v>
      </c>
      <c r="C56" t="s">
        <v>126</v>
      </c>
      <c r="D56" t="s">
        <v>34</v>
      </c>
      <c r="E56" t="s">
        <v>35</v>
      </c>
      <c r="F56" t="s">
        <v>20</v>
      </c>
      <c r="G56" t="s">
        <v>27</v>
      </c>
      <c r="H56" t="s">
        <v>48</v>
      </c>
      <c r="I56">
        <v>4332</v>
      </c>
      <c r="J56">
        <v>3482</v>
      </c>
      <c r="K56">
        <v>3226</v>
      </c>
      <c r="L56">
        <v>215</v>
      </c>
      <c r="M56">
        <v>106</v>
      </c>
      <c r="N56">
        <v>7</v>
      </c>
      <c r="O56">
        <v>254.07</v>
      </c>
      <c r="P56">
        <v>5140.17</v>
      </c>
      <c r="Q56" s="5">
        <f t="shared" si="0"/>
        <v>0.92647903503733486</v>
      </c>
      <c r="R56" s="5">
        <f t="shared" si="1"/>
        <v>6.6646001239925604E-2</v>
      </c>
      <c r="S56" s="5">
        <f t="shared" si="2"/>
        <v>0.49302325581395351</v>
      </c>
      <c r="T56" s="5">
        <f t="shared" si="3"/>
        <v>6.6037735849056603E-2</v>
      </c>
      <c r="U56" s="5">
        <f t="shared" si="4"/>
        <v>2.1698698078115313E-3</v>
      </c>
      <c r="V56" s="6">
        <f t="shared" si="5"/>
        <v>2.3968867924528303</v>
      </c>
      <c r="W56" s="7">
        <f t="shared" si="6"/>
        <v>1.1817209302325582</v>
      </c>
      <c r="X56" s="5">
        <f t="shared" si="7"/>
        <v>19.231314204746724</v>
      </c>
    </row>
    <row r="57" spans="1:24" x14ac:dyDescent="0.35">
      <c r="A57" s="3">
        <v>46031</v>
      </c>
      <c r="B57" t="s">
        <v>127</v>
      </c>
      <c r="C57" t="s">
        <v>128</v>
      </c>
      <c r="D57" t="s">
        <v>18</v>
      </c>
      <c r="E57" t="s">
        <v>25</v>
      </c>
      <c r="F57" t="s">
        <v>26</v>
      </c>
      <c r="G57" t="s">
        <v>27</v>
      </c>
      <c r="H57" t="s">
        <v>48</v>
      </c>
      <c r="I57">
        <v>561</v>
      </c>
      <c r="J57">
        <v>503</v>
      </c>
      <c r="K57">
        <v>459</v>
      </c>
      <c r="L57">
        <v>28</v>
      </c>
      <c r="M57">
        <v>20</v>
      </c>
      <c r="N57">
        <v>1</v>
      </c>
      <c r="O57">
        <v>69.94</v>
      </c>
      <c r="P57">
        <v>778.19</v>
      </c>
      <c r="Q57" s="5">
        <f t="shared" si="0"/>
        <v>0.9125248508946322</v>
      </c>
      <c r="R57" s="5">
        <f t="shared" si="1"/>
        <v>6.1002178649237473E-2</v>
      </c>
      <c r="S57" s="5">
        <f t="shared" si="2"/>
        <v>0.7142857142857143</v>
      </c>
      <c r="T57" s="5">
        <f t="shared" si="3"/>
        <v>0.05</v>
      </c>
      <c r="U57" s="5">
        <f t="shared" si="4"/>
        <v>2.1786492374727671E-3</v>
      </c>
      <c r="V57" s="6">
        <f t="shared" si="5"/>
        <v>3.4969999999999999</v>
      </c>
      <c r="W57" s="7">
        <f t="shared" si="6"/>
        <v>2.4978571428571428</v>
      </c>
      <c r="X57" s="5">
        <f t="shared" si="7"/>
        <v>10.126537031741494</v>
      </c>
    </row>
    <row r="58" spans="1:24" x14ac:dyDescent="0.35">
      <c r="A58" s="3">
        <v>46031</v>
      </c>
      <c r="B58" t="s">
        <v>85</v>
      </c>
      <c r="C58" t="s">
        <v>129</v>
      </c>
      <c r="D58" t="s">
        <v>18</v>
      </c>
      <c r="E58" t="s">
        <v>19</v>
      </c>
      <c r="F58" t="s">
        <v>26</v>
      </c>
      <c r="G58" t="s">
        <v>21</v>
      </c>
      <c r="H58" t="s">
        <v>22</v>
      </c>
      <c r="I58">
        <v>560</v>
      </c>
      <c r="J58">
        <v>445</v>
      </c>
      <c r="K58">
        <v>407</v>
      </c>
      <c r="L58">
        <v>12</v>
      </c>
      <c r="M58">
        <v>7</v>
      </c>
      <c r="N58">
        <v>0</v>
      </c>
      <c r="O58">
        <v>54.81</v>
      </c>
      <c r="P58">
        <v>0</v>
      </c>
      <c r="Q58" s="5">
        <f t="shared" si="0"/>
        <v>0.91460674157303368</v>
      </c>
      <c r="R58" s="5">
        <f t="shared" si="1"/>
        <v>2.9484029484029485E-2</v>
      </c>
      <c r="S58" s="5">
        <f t="shared" si="2"/>
        <v>0.58333333333333337</v>
      </c>
      <c r="T58" s="5">
        <f t="shared" si="3"/>
        <v>0</v>
      </c>
      <c r="U58" s="5">
        <f t="shared" si="4"/>
        <v>0</v>
      </c>
      <c r="V58" s="6">
        <f t="shared" si="5"/>
        <v>7.83</v>
      </c>
      <c r="W58" s="7">
        <f t="shared" si="6"/>
        <v>4.5674999999999999</v>
      </c>
      <c r="X58" s="5">
        <f t="shared" si="7"/>
        <v>-1</v>
      </c>
    </row>
    <row r="59" spans="1:24" x14ac:dyDescent="0.35">
      <c r="A59" s="3">
        <v>46031</v>
      </c>
      <c r="B59" t="s">
        <v>130</v>
      </c>
      <c r="C59" t="s">
        <v>131</v>
      </c>
      <c r="D59" t="s">
        <v>34</v>
      </c>
      <c r="E59" t="s">
        <v>56</v>
      </c>
      <c r="F59" t="s">
        <v>26</v>
      </c>
      <c r="G59" t="s">
        <v>27</v>
      </c>
      <c r="H59" t="s">
        <v>28</v>
      </c>
      <c r="I59">
        <v>2578</v>
      </c>
      <c r="J59">
        <v>1917</v>
      </c>
      <c r="K59">
        <v>1821</v>
      </c>
      <c r="L59">
        <v>101</v>
      </c>
      <c r="M59">
        <v>61</v>
      </c>
      <c r="N59">
        <v>3</v>
      </c>
      <c r="O59">
        <v>143.53</v>
      </c>
      <c r="P59">
        <v>3965.92</v>
      </c>
      <c r="Q59" s="5">
        <f t="shared" si="0"/>
        <v>0.9499217527386542</v>
      </c>
      <c r="R59" s="5">
        <f t="shared" si="1"/>
        <v>5.546403075233388E-2</v>
      </c>
      <c r="S59" s="5">
        <f t="shared" si="2"/>
        <v>0.60396039603960394</v>
      </c>
      <c r="T59" s="5">
        <f t="shared" si="3"/>
        <v>4.9180327868852458E-2</v>
      </c>
      <c r="U59" s="5">
        <f t="shared" si="4"/>
        <v>1.6474464579901153E-3</v>
      </c>
      <c r="V59" s="6">
        <f t="shared" si="5"/>
        <v>2.3529508196721314</v>
      </c>
      <c r="W59" s="7">
        <f t="shared" si="6"/>
        <v>1.421089108910891</v>
      </c>
      <c r="X59" s="5">
        <f t="shared" si="7"/>
        <v>26.631296593046748</v>
      </c>
    </row>
    <row r="60" spans="1:24" x14ac:dyDescent="0.35">
      <c r="A60" s="3">
        <v>46031</v>
      </c>
      <c r="B60" t="s">
        <v>77</v>
      </c>
      <c r="C60" t="s">
        <v>132</v>
      </c>
      <c r="D60" t="s">
        <v>34</v>
      </c>
      <c r="E60" t="s">
        <v>25</v>
      </c>
      <c r="F60" t="s">
        <v>20</v>
      </c>
      <c r="G60" t="s">
        <v>36</v>
      </c>
      <c r="H60" t="s">
        <v>37</v>
      </c>
      <c r="I60">
        <v>1292</v>
      </c>
      <c r="J60">
        <v>1151</v>
      </c>
      <c r="K60">
        <v>1099</v>
      </c>
      <c r="L60">
        <v>34</v>
      </c>
      <c r="M60">
        <v>13</v>
      </c>
      <c r="N60">
        <v>0</v>
      </c>
      <c r="O60">
        <v>103.97</v>
      </c>
      <c r="P60">
        <v>0</v>
      </c>
      <c r="Q60" s="5">
        <f t="shared" si="0"/>
        <v>0.95482189400521289</v>
      </c>
      <c r="R60" s="5">
        <f t="shared" si="1"/>
        <v>3.0937215650591446E-2</v>
      </c>
      <c r="S60" s="5">
        <f t="shared" si="2"/>
        <v>0.38235294117647056</v>
      </c>
      <c r="T60" s="5">
        <f t="shared" si="3"/>
        <v>0</v>
      </c>
      <c r="U60" s="5">
        <f t="shared" si="4"/>
        <v>0</v>
      </c>
      <c r="V60" s="6">
        <f t="shared" si="5"/>
        <v>7.9976923076923079</v>
      </c>
      <c r="W60" s="7">
        <f t="shared" si="6"/>
        <v>3.0579411764705884</v>
      </c>
      <c r="X60" s="5">
        <f t="shared" si="7"/>
        <v>-1</v>
      </c>
    </row>
    <row r="61" spans="1:24" x14ac:dyDescent="0.35">
      <c r="A61" s="3">
        <v>46031</v>
      </c>
      <c r="B61" t="s">
        <v>77</v>
      </c>
      <c r="C61" t="s">
        <v>133</v>
      </c>
      <c r="D61" t="s">
        <v>34</v>
      </c>
      <c r="E61" t="s">
        <v>35</v>
      </c>
      <c r="F61" t="s">
        <v>20</v>
      </c>
      <c r="G61" t="s">
        <v>36</v>
      </c>
      <c r="H61" t="s">
        <v>28</v>
      </c>
      <c r="I61">
        <v>3538</v>
      </c>
      <c r="J61">
        <v>3158</v>
      </c>
      <c r="K61">
        <v>3004</v>
      </c>
      <c r="L61">
        <v>199</v>
      </c>
      <c r="M61">
        <v>108</v>
      </c>
      <c r="N61">
        <v>7</v>
      </c>
      <c r="O61">
        <v>234.1</v>
      </c>
      <c r="P61">
        <v>9868.83</v>
      </c>
      <c r="Q61" s="5">
        <f t="shared" si="0"/>
        <v>0.95123495883470555</v>
      </c>
      <c r="R61" s="5">
        <f t="shared" si="1"/>
        <v>6.624500665778961E-2</v>
      </c>
      <c r="S61" s="5">
        <f t="shared" si="2"/>
        <v>0.542713567839196</v>
      </c>
      <c r="T61" s="5">
        <f t="shared" si="3"/>
        <v>6.4814814814814811E-2</v>
      </c>
      <c r="U61" s="5">
        <f t="shared" si="4"/>
        <v>2.3302263648468709E-3</v>
      </c>
      <c r="V61" s="6">
        <f t="shared" si="5"/>
        <v>2.1675925925925927</v>
      </c>
      <c r="W61" s="7">
        <f t="shared" si="6"/>
        <v>1.1763819095477386</v>
      </c>
      <c r="X61" s="5">
        <f t="shared" si="7"/>
        <v>41.156471593336178</v>
      </c>
    </row>
    <row r="62" spans="1:24" x14ac:dyDescent="0.35">
      <c r="A62" s="3">
        <v>46032</v>
      </c>
      <c r="B62" t="s">
        <v>134</v>
      </c>
      <c r="C62" t="s">
        <v>135</v>
      </c>
      <c r="D62" t="s">
        <v>34</v>
      </c>
      <c r="E62" t="s">
        <v>19</v>
      </c>
      <c r="F62" t="s">
        <v>20</v>
      </c>
      <c r="G62" t="s">
        <v>21</v>
      </c>
      <c r="H62" t="s">
        <v>51</v>
      </c>
      <c r="I62">
        <v>2699</v>
      </c>
      <c r="J62">
        <v>2477</v>
      </c>
      <c r="K62">
        <v>2295</v>
      </c>
      <c r="L62">
        <v>36</v>
      </c>
      <c r="M62">
        <v>16</v>
      </c>
      <c r="N62">
        <v>1</v>
      </c>
      <c r="O62">
        <v>181.68</v>
      </c>
      <c r="P62">
        <v>583.03</v>
      </c>
      <c r="Q62" s="5">
        <f t="shared" si="0"/>
        <v>0.92652402099313691</v>
      </c>
      <c r="R62" s="5">
        <f t="shared" si="1"/>
        <v>1.5686274509803921E-2</v>
      </c>
      <c r="S62" s="5">
        <f t="shared" si="2"/>
        <v>0.44444444444444442</v>
      </c>
      <c r="T62" s="5">
        <f t="shared" si="3"/>
        <v>6.25E-2</v>
      </c>
      <c r="U62" s="5">
        <f t="shared" si="4"/>
        <v>4.3572984749455336E-4</v>
      </c>
      <c r="V62" s="6">
        <f t="shared" si="5"/>
        <v>11.355</v>
      </c>
      <c r="W62" s="7">
        <f t="shared" si="6"/>
        <v>5.0466666666666669</v>
      </c>
      <c r="X62" s="5">
        <f t="shared" si="7"/>
        <v>2.2091039189784234</v>
      </c>
    </row>
    <row r="63" spans="1:24" x14ac:dyDescent="0.35">
      <c r="A63" s="3">
        <v>46032</v>
      </c>
      <c r="B63" t="s">
        <v>134</v>
      </c>
      <c r="C63" t="s">
        <v>136</v>
      </c>
      <c r="D63" t="s">
        <v>18</v>
      </c>
      <c r="E63" t="s">
        <v>25</v>
      </c>
      <c r="F63" t="s">
        <v>26</v>
      </c>
      <c r="G63" t="s">
        <v>21</v>
      </c>
      <c r="H63" t="s">
        <v>37</v>
      </c>
      <c r="I63">
        <v>3307</v>
      </c>
      <c r="J63">
        <v>2966</v>
      </c>
      <c r="K63">
        <v>2621</v>
      </c>
      <c r="L63">
        <v>179</v>
      </c>
      <c r="M63">
        <v>120</v>
      </c>
      <c r="N63">
        <v>6</v>
      </c>
      <c r="O63">
        <v>326.56</v>
      </c>
      <c r="P63">
        <v>8907.52</v>
      </c>
      <c r="Q63" s="5">
        <f t="shared" si="0"/>
        <v>0.88368172623061358</v>
      </c>
      <c r="R63" s="5">
        <f t="shared" si="1"/>
        <v>6.8294544067149937E-2</v>
      </c>
      <c r="S63" s="5">
        <f t="shared" si="2"/>
        <v>0.67039106145251393</v>
      </c>
      <c r="T63" s="5">
        <f t="shared" si="3"/>
        <v>0.05</v>
      </c>
      <c r="U63" s="5">
        <f t="shared" si="4"/>
        <v>2.2892025944296068E-3</v>
      </c>
      <c r="V63" s="6">
        <f t="shared" si="5"/>
        <v>2.7213333333333334</v>
      </c>
      <c r="W63" s="7">
        <f t="shared" si="6"/>
        <v>1.8243575418994413</v>
      </c>
      <c r="X63" s="5">
        <f t="shared" si="7"/>
        <v>26.276825085742285</v>
      </c>
    </row>
    <row r="64" spans="1:24" x14ac:dyDescent="0.35">
      <c r="A64" s="3">
        <v>46032</v>
      </c>
      <c r="B64" t="s">
        <v>71</v>
      </c>
      <c r="C64" t="s">
        <v>137</v>
      </c>
      <c r="D64" t="s">
        <v>34</v>
      </c>
      <c r="E64" t="s">
        <v>19</v>
      </c>
      <c r="F64" t="s">
        <v>26</v>
      </c>
      <c r="G64" t="s">
        <v>59</v>
      </c>
      <c r="H64" t="s">
        <v>48</v>
      </c>
      <c r="I64">
        <v>1636</v>
      </c>
      <c r="J64">
        <v>1576</v>
      </c>
      <c r="K64">
        <v>1531</v>
      </c>
      <c r="L64">
        <v>42</v>
      </c>
      <c r="M64">
        <v>23</v>
      </c>
      <c r="N64">
        <v>1</v>
      </c>
      <c r="O64">
        <v>140.07</v>
      </c>
      <c r="P64">
        <v>1001.97</v>
      </c>
      <c r="Q64" s="5">
        <f t="shared" si="0"/>
        <v>0.97144670050761417</v>
      </c>
      <c r="R64" s="5">
        <f t="shared" si="1"/>
        <v>2.7433050293925537E-2</v>
      </c>
      <c r="S64" s="5">
        <f t="shared" si="2"/>
        <v>0.54761904761904767</v>
      </c>
      <c r="T64" s="5">
        <f t="shared" si="3"/>
        <v>4.3478260869565216E-2</v>
      </c>
      <c r="U64" s="5">
        <f t="shared" si="4"/>
        <v>6.5316786414108428E-4</v>
      </c>
      <c r="V64" s="6">
        <f t="shared" si="5"/>
        <v>6.09</v>
      </c>
      <c r="W64" s="7">
        <f t="shared" si="6"/>
        <v>3.335</v>
      </c>
      <c r="X64" s="5">
        <f t="shared" si="7"/>
        <v>6.1533518954808324</v>
      </c>
    </row>
    <row r="65" spans="1:24" x14ac:dyDescent="0.35">
      <c r="A65" s="3">
        <v>46032</v>
      </c>
      <c r="B65" t="s">
        <v>120</v>
      </c>
      <c r="C65" t="s">
        <v>138</v>
      </c>
      <c r="D65" t="s">
        <v>18</v>
      </c>
      <c r="E65" t="s">
        <v>56</v>
      </c>
      <c r="F65" t="s">
        <v>20</v>
      </c>
      <c r="G65" t="s">
        <v>27</v>
      </c>
      <c r="H65" t="s">
        <v>22</v>
      </c>
      <c r="I65">
        <v>3627</v>
      </c>
      <c r="J65">
        <v>2762</v>
      </c>
      <c r="K65">
        <v>2548</v>
      </c>
      <c r="L65">
        <v>141</v>
      </c>
      <c r="M65">
        <v>69</v>
      </c>
      <c r="N65">
        <v>4</v>
      </c>
      <c r="O65">
        <v>361.37</v>
      </c>
      <c r="P65">
        <v>3933.1</v>
      </c>
      <c r="Q65" s="5">
        <f t="shared" si="0"/>
        <v>0.92251991310644466</v>
      </c>
      <c r="R65" s="5">
        <f t="shared" si="1"/>
        <v>5.5337519623233911E-2</v>
      </c>
      <c r="S65" s="5">
        <f t="shared" si="2"/>
        <v>0.48936170212765956</v>
      </c>
      <c r="T65" s="5">
        <f t="shared" si="3"/>
        <v>5.7971014492753624E-2</v>
      </c>
      <c r="U65" s="5">
        <f t="shared" si="4"/>
        <v>1.5698587127158557E-3</v>
      </c>
      <c r="V65" s="6">
        <f t="shared" si="5"/>
        <v>5.2372463768115942</v>
      </c>
      <c r="W65" s="7">
        <f t="shared" si="6"/>
        <v>2.5629078014184397</v>
      </c>
      <c r="X65" s="5">
        <f t="shared" si="7"/>
        <v>9.8838586490300795</v>
      </c>
    </row>
    <row r="66" spans="1:24" x14ac:dyDescent="0.35">
      <c r="A66" s="3">
        <v>46032</v>
      </c>
      <c r="B66" t="s">
        <v>75</v>
      </c>
      <c r="C66" t="s">
        <v>139</v>
      </c>
      <c r="D66" t="s">
        <v>40</v>
      </c>
      <c r="E66" t="s">
        <v>56</v>
      </c>
      <c r="F66" t="s">
        <v>20</v>
      </c>
      <c r="G66" t="s">
        <v>59</v>
      </c>
      <c r="H66" t="s">
        <v>37</v>
      </c>
      <c r="I66">
        <v>2690</v>
      </c>
      <c r="J66">
        <v>2354</v>
      </c>
      <c r="K66">
        <v>2252</v>
      </c>
      <c r="L66">
        <v>129</v>
      </c>
      <c r="M66">
        <v>57</v>
      </c>
      <c r="N66">
        <v>2</v>
      </c>
      <c r="O66">
        <v>400.33</v>
      </c>
      <c r="P66">
        <v>2815.47</v>
      </c>
      <c r="Q66" s="5">
        <f t="shared" si="0"/>
        <v>0.9566694987255735</v>
      </c>
      <c r="R66" s="5">
        <f t="shared" si="1"/>
        <v>5.7282415630550622E-2</v>
      </c>
      <c r="S66" s="5">
        <f t="shared" si="2"/>
        <v>0.44186046511627908</v>
      </c>
      <c r="T66" s="5">
        <f t="shared" si="3"/>
        <v>3.5087719298245612E-2</v>
      </c>
      <c r="U66" s="5">
        <f t="shared" si="4"/>
        <v>8.8809946714031975E-4</v>
      </c>
      <c r="V66" s="6">
        <f t="shared" si="5"/>
        <v>7.0233333333333334</v>
      </c>
      <c r="W66" s="7">
        <f t="shared" si="6"/>
        <v>3.1033333333333331</v>
      </c>
      <c r="X66" s="5">
        <f t="shared" si="7"/>
        <v>6.0328728798741036</v>
      </c>
    </row>
    <row r="67" spans="1:24" x14ac:dyDescent="0.35">
      <c r="A67" s="3">
        <v>46032</v>
      </c>
      <c r="B67" t="s">
        <v>49</v>
      </c>
      <c r="C67" t="s">
        <v>140</v>
      </c>
      <c r="D67" t="s">
        <v>18</v>
      </c>
      <c r="E67" t="s">
        <v>25</v>
      </c>
      <c r="F67" t="s">
        <v>26</v>
      </c>
      <c r="G67" t="s">
        <v>27</v>
      </c>
      <c r="H67" t="s">
        <v>51</v>
      </c>
      <c r="I67">
        <v>2058</v>
      </c>
      <c r="J67">
        <v>1615</v>
      </c>
      <c r="K67">
        <v>1496</v>
      </c>
      <c r="L67">
        <v>69</v>
      </c>
      <c r="M67">
        <v>43</v>
      </c>
      <c r="N67">
        <v>2</v>
      </c>
      <c r="O67">
        <v>196.51</v>
      </c>
      <c r="P67">
        <v>2548.94</v>
      </c>
      <c r="Q67" s="5">
        <f t="shared" ref="Q67:Q130" si="8">K67/J67</f>
        <v>0.9263157894736842</v>
      </c>
      <c r="R67" s="5">
        <f t="shared" ref="R67:R130" si="9">L67/K67</f>
        <v>4.6122994652406414E-2</v>
      </c>
      <c r="S67" s="5">
        <f t="shared" ref="S67:S130" si="10">M67/L67</f>
        <v>0.62318840579710144</v>
      </c>
      <c r="T67" s="5">
        <f t="shared" ref="T67:T130" si="11">N67/M67</f>
        <v>4.6511627906976744E-2</v>
      </c>
      <c r="U67" s="5">
        <f t="shared" ref="U67:U130" si="12">N67/K67</f>
        <v>1.3368983957219251E-3</v>
      </c>
      <c r="V67" s="6">
        <f t="shared" ref="V67:V130" si="13">O67/M67</f>
        <v>4.5699999999999994</v>
      </c>
      <c r="W67" s="7">
        <f t="shared" ref="W67:W130" si="14">O67/L67</f>
        <v>2.8479710144927535</v>
      </c>
      <c r="X67" s="5">
        <f t="shared" ref="X67:X130" si="15">(P67-O67)/O67</f>
        <v>11.971044730548066</v>
      </c>
    </row>
    <row r="68" spans="1:24" x14ac:dyDescent="0.35">
      <c r="A68" s="3">
        <v>46033</v>
      </c>
      <c r="B68" t="s">
        <v>67</v>
      </c>
      <c r="C68" t="s">
        <v>141</v>
      </c>
      <c r="D68" t="s">
        <v>31</v>
      </c>
      <c r="E68" t="s">
        <v>56</v>
      </c>
      <c r="F68" t="s">
        <v>20</v>
      </c>
      <c r="G68" t="s">
        <v>27</v>
      </c>
      <c r="H68" t="s">
        <v>28</v>
      </c>
      <c r="I68">
        <v>4214</v>
      </c>
      <c r="J68">
        <v>4107</v>
      </c>
      <c r="K68">
        <v>3961</v>
      </c>
      <c r="L68">
        <v>165</v>
      </c>
      <c r="M68">
        <v>66</v>
      </c>
      <c r="N68">
        <v>4</v>
      </c>
      <c r="O68">
        <v>717.58</v>
      </c>
      <c r="P68">
        <v>5459.68</v>
      </c>
      <c r="Q68" s="5">
        <f t="shared" si="8"/>
        <v>0.96445093742391041</v>
      </c>
      <c r="R68" s="5">
        <f t="shared" si="9"/>
        <v>4.1656147437515778E-2</v>
      </c>
      <c r="S68" s="5">
        <f t="shared" si="10"/>
        <v>0.4</v>
      </c>
      <c r="T68" s="5">
        <f t="shared" si="11"/>
        <v>6.0606060606060608E-2</v>
      </c>
      <c r="U68" s="5">
        <f t="shared" si="12"/>
        <v>1.009845998485231E-3</v>
      </c>
      <c r="V68" s="6">
        <f t="shared" si="13"/>
        <v>10.872424242424243</v>
      </c>
      <c r="W68" s="7">
        <f t="shared" si="14"/>
        <v>4.3489696969696974</v>
      </c>
      <c r="X68" s="5">
        <f t="shared" si="15"/>
        <v>6.6084617742969423</v>
      </c>
    </row>
    <row r="69" spans="1:24" x14ac:dyDescent="0.35">
      <c r="A69" s="3">
        <v>46033</v>
      </c>
      <c r="B69" t="s">
        <v>46</v>
      </c>
      <c r="C69" t="s">
        <v>142</v>
      </c>
      <c r="D69" t="s">
        <v>34</v>
      </c>
      <c r="E69" t="s">
        <v>25</v>
      </c>
      <c r="F69" t="s">
        <v>20</v>
      </c>
      <c r="G69" t="s">
        <v>36</v>
      </c>
      <c r="H69" t="s">
        <v>37</v>
      </c>
      <c r="I69">
        <v>619</v>
      </c>
      <c r="J69">
        <v>454</v>
      </c>
      <c r="K69">
        <v>425</v>
      </c>
      <c r="L69">
        <v>15</v>
      </c>
      <c r="M69">
        <v>7</v>
      </c>
      <c r="N69">
        <v>0</v>
      </c>
      <c r="O69">
        <v>33.869999999999997</v>
      </c>
      <c r="P69">
        <v>0</v>
      </c>
      <c r="Q69" s="5">
        <f t="shared" si="8"/>
        <v>0.93612334801762109</v>
      </c>
      <c r="R69" s="5">
        <f t="shared" si="9"/>
        <v>3.5294117647058823E-2</v>
      </c>
      <c r="S69" s="5">
        <f t="shared" si="10"/>
        <v>0.46666666666666667</v>
      </c>
      <c r="T69" s="5">
        <f t="shared" si="11"/>
        <v>0</v>
      </c>
      <c r="U69" s="5">
        <f t="shared" si="12"/>
        <v>0</v>
      </c>
      <c r="V69" s="6">
        <f t="shared" si="13"/>
        <v>4.8385714285714281</v>
      </c>
      <c r="W69" s="7">
        <f t="shared" si="14"/>
        <v>2.258</v>
      </c>
      <c r="X69" s="5">
        <f t="shared" si="15"/>
        <v>-1</v>
      </c>
    </row>
    <row r="70" spans="1:24" x14ac:dyDescent="0.35">
      <c r="A70" s="3">
        <v>46033</v>
      </c>
      <c r="B70" t="s">
        <v>32</v>
      </c>
      <c r="C70" t="s">
        <v>143</v>
      </c>
      <c r="D70" t="s">
        <v>34</v>
      </c>
      <c r="E70" t="s">
        <v>56</v>
      </c>
      <c r="F70" t="s">
        <v>20</v>
      </c>
      <c r="G70" t="s">
        <v>21</v>
      </c>
      <c r="H70" t="s">
        <v>48</v>
      </c>
      <c r="I70">
        <v>3066</v>
      </c>
      <c r="J70">
        <v>2905</v>
      </c>
      <c r="K70">
        <v>2682</v>
      </c>
      <c r="L70">
        <v>156</v>
      </c>
      <c r="M70">
        <v>62</v>
      </c>
      <c r="N70">
        <v>3</v>
      </c>
      <c r="O70">
        <v>235.69</v>
      </c>
      <c r="P70">
        <v>3160.62</v>
      </c>
      <c r="Q70" s="5">
        <f t="shared" si="8"/>
        <v>0.92323580034423403</v>
      </c>
      <c r="R70" s="5">
        <f t="shared" si="9"/>
        <v>5.8165548098434001E-2</v>
      </c>
      <c r="S70" s="5">
        <f t="shared" si="10"/>
        <v>0.39743589743589741</v>
      </c>
      <c r="T70" s="5">
        <f t="shared" si="11"/>
        <v>4.8387096774193547E-2</v>
      </c>
      <c r="U70" s="5">
        <f t="shared" si="12"/>
        <v>1.1185682326621924E-3</v>
      </c>
      <c r="V70" s="6">
        <f t="shared" si="13"/>
        <v>3.8014516129032256</v>
      </c>
      <c r="W70" s="7">
        <f t="shared" si="14"/>
        <v>1.5108333333333333</v>
      </c>
      <c r="X70" s="5">
        <f t="shared" si="15"/>
        <v>12.410072552929694</v>
      </c>
    </row>
    <row r="71" spans="1:24" x14ac:dyDescent="0.35">
      <c r="A71" s="3">
        <v>46033</v>
      </c>
      <c r="B71" t="s">
        <v>32</v>
      </c>
      <c r="C71" t="s">
        <v>144</v>
      </c>
      <c r="D71" t="s">
        <v>18</v>
      </c>
      <c r="E71" t="s">
        <v>56</v>
      </c>
      <c r="F71" t="s">
        <v>26</v>
      </c>
      <c r="G71" t="s">
        <v>36</v>
      </c>
      <c r="H71" t="s">
        <v>22</v>
      </c>
      <c r="I71">
        <v>3676</v>
      </c>
      <c r="J71">
        <v>3252</v>
      </c>
      <c r="K71">
        <v>2992</v>
      </c>
      <c r="L71">
        <v>207</v>
      </c>
      <c r="M71">
        <v>140</v>
      </c>
      <c r="N71">
        <v>9</v>
      </c>
      <c r="O71">
        <v>420.99</v>
      </c>
      <c r="P71">
        <v>8481.1299999999992</v>
      </c>
      <c r="Q71" s="5">
        <f t="shared" si="8"/>
        <v>0.92004920049200489</v>
      </c>
      <c r="R71" s="5">
        <f t="shared" si="9"/>
        <v>6.9184491978609625E-2</v>
      </c>
      <c r="S71" s="5">
        <f t="shared" si="10"/>
        <v>0.67632850241545894</v>
      </c>
      <c r="T71" s="5">
        <f t="shared" si="11"/>
        <v>6.4285714285714279E-2</v>
      </c>
      <c r="U71" s="5">
        <f t="shared" si="12"/>
        <v>3.0080213903743314E-3</v>
      </c>
      <c r="V71" s="6">
        <f t="shared" si="13"/>
        <v>3.0070714285714288</v>
      </c>
      <c r="W71" s="7">
        <f t="shared" si="14"/>
        <v>2.0337681159420291</v>
      </c>
      <c r="X71" s="5">
        <f t="shared" si="15"/>
        <v>19.145680419962467</v>
      </c>
    </row>
    <row r="72" spans="1:24" x14ac:dyDescent="0.35">
      <c r="A72" s="3">
        <v>46033</v>
      </c>
      <c r="B72" t="s">
        <v>73</v>
      </c>
      <c r="C72" t="s">
        <v>145</v>
      </c>
      <c r="D72" t="s">
        <v>18</v>
      </c>
      <c r="E72" t="s">
        <v>19</v>
      </c>
      <c r="F72" t="s">
        <v>20</v>
      </c>
      <c r="G72" t="s">
        <v>27</v>
      </c>
      <c r="H72" t="s">
        <v>48</v>
      </c>
      <c r="I72">
        <v>4886</v>
      </c>
      <c r="J72">
        <v>4426</v>
      </c>
      <c r="K72">
        <v>4125</v>
      </c>
      <c r="L72">
        <v>51</v>
      </c>
      <c r="M72">
        <v>23</v>
      </c>
      <c r="N72">
        <v>0</v>
      </c>
      <c r="O72">
        <v>552.04999999999995</v>
      </c>
      <c r="P72">
        <v>0</v>
      </c>
      <c r="Q72" s="5">
        <f t="shared" si="8"/>
        <v>0.9319927699954812</v>
      </c>
      <c r="R72" s="5">
        <f t="shared" si="9"/>
        <v>1.2363636363636363E-2</v>
      </c>
      <c r="S72" s="5">
        <f t="shared" si="10"/>
        <v>0.45098039215686275</v>
      </c>
      <c r="T72" s="5">
        <f t="shared" si="11"/>
        <v>0</v>
      </c>
      <c r="U72" s="5">
        <f t="shared" si="12"/>
        <v>0</v>
      </c>
      <c r="V72" s="6">
        <f t="shared" si="13"/>
        <v>24.002173913043475</v>
      </c>
      <c r="W72" s="7">
        <f t="shared" si="14"/>
        <v>10.824509803921568</v>
      </c>
      <c r="X72" s="5">
        <f t="shared" si="15"/>
        <v>-1</v>
      </c>
    </row>
    <row r="73" spans="1:24" x14ac:dyDescent="0.35">
      <c r="A73" s="3">
        <v>46033</v>
      </c>
      <c r="B73" t="s">
        <v>146</v>
      </c>
      <c r="C73" t="s">
        <v>147</v>
      </c>
      <c r="D73" t="s">
        <v>34</v>
      </c>
      <c r="E73" t="s">
        <v>35</v>
      </c>
      <c r="F73" t="s">
        <v>20</v>
      </c>
      <c r="G73" t="s">
        <v>27</v>
      </c>
      <c r="H73" t="s">
        <v>28</v>
      </c>
      <c r="I73">
        <v>2102</v>
      </c>
      <c r="J73">
        <v>1591</v>
      </c>
      <c r="K73">
        <v>1500</v>
      </c>
      <c r="L73">
        <v>76</v>
      </c>
      <c r="M73">
        <v>36</v>
      </c>
      <c r="N73">
        <v>3</v>
      </c>
      <c r="O73">
        <v>116.03</v>
      </c>
      <c r="P73">
        <v>2610.59</v>
      </c>
      <c r="Q73" s="5">
        <f t="shared" si="8"/>
        <v>0.94280326838466377</v>
      </c>
      <c r="R73" s="5">
        <f t="shared" si="9"/>
        <v>5.0666666666666665E-2</v>
      </c>
      <c r="S73" s="5">
        <f t="shared" si="10"/>
        <v>0.47368421052631576</v>
      </c>
      <c r="T73" s="5">
        <f t="shared" si="11"/>
        <v>8.3333333333333329E-2</v>
      </c>
      <c r="U73" s="5">
        <f t="shared" si="12"/>
        <v>2E-3</v>
      </c>
      <c r="V73" s="6">
        <f t="shared" si="13"/>
        <v>3.2230555555555558</v>
      </c>
      <c r="W73" s="7">
        <f t="shared" si="14"/>
        <v>1.5267105263157894</v>
      </c>
      <c r="X73" s="5">
        <f t="shared" si="15"/>
        <v>21.499267430836852</v>
      </c>
    </row>
    <row r="74" spans="1:24" x14ac:dyDescent="0.35">
      <c r="A74" s="3">
        <v>46034</v>
      </c>
      <c r="B74" t="s">
        <v>38</v>
      </c>
      <c r="C74" t="s">
        <v>148</v>
      </c>
      <c r="D74" t="s">
        <v>31</v>
      </c>
      <c r="E74" t="s">
        <v>25</v>
      </c>
      <c r="F74" t="s">
        <v>26</v>
      </c>
      <c r="G74" t="s">
        <v>59</v>
      </c>
      <c r="H74" t="s">
        <v>48</v>
      </c>
      <c r="I74">
        <v>3010</v>
      </c>
      <c r="J74">
        <v>2780</v>
      </c>
      <c r="K74">
        <v>2698</v>
      </c>
      <c r="L74">
        <v>47</v>
      </c>
      <c r="M74">
        <v>26</v>
      </c>
      <c r="N74">
        <v>2</v>
      </c>
      <c r="O74">
        <v>548.80999999999995</v>
      </c>
      <c r="P74">
        <v>1546.36</v>
      </c>
      <c r="Q74" s="5">
        <f t="shared" si="8"/>
        <v>0.97050359712230216</v>
      </c>
      <c r="R74" s="5">
        <f t="shared" si="9"/>
        <v>1.7420311341734617E-2</v>
      </c>
      <c r="S74" s="5">
        <f t="shared" si="10"/>
        <v>0.55319148936170215</v>
      </c>
      <c r="T74" s="5">
        <f t="shared" si="11"/>
        <v>7.6923076923076927E-2</v>
      </c>
      <c r="U74" s="5">
        <f t="shared" si="12"/>
        <v>7.4128984432913266E-4</v>
      </c>
      <c r="V74" s="6">
        <f t="shared" si="13"/>
        <v>21.108076923076922</v>
      </c>
      <c r="W74" s="7">
        <f t="shared" si="14"/>
        <v>11.676808510638297</v>
      </c>
      <c r="X74" s="5">
        <f t="shared" si="15"/>
        <v>1.8176600280607134</v>
      </c>
    </row>
    <row r="75" spans="1:24" x14ac:dyDescent="0.35">
      <c r="A75" s="3">
        <v>46034</v>
      </c>
      <c r="B75" t="s">
        <v>149</v>
      </c>
      <c r="C75" t="s">
        <v>150</v>
      </c>
      <c r="D75" t="s">
        <v>40</v>
      </c>
      <c r="E75" t="s">
        <v>19</v>
      </c>
      <c r="F75" t="s">
        <v>20</v>
      </c>
      <c r="G75" t="s">
        <v>21</v>
      </c>
      <c r="H75" t="s">
        <v>51</v>
      </c>
      <c r="I75">
        <v>4650</v>
      </c>
      <c r="J75">
        <v>4017</v>
      </c>
      <c r="K75">
        <v>3733</v>
      </c>
      <c r="L75">
        <v>115</v>
      </c>
      <c r="M75">
        <v>58</v>
      </c>
      <c r="N75">
        <v>0</v>
      </c>
      <c r="O75">
        <v>711.81</v>
      </c>
      <c r="P75">
        <v>0</v>
      </c>
      <c r="Q75" s="5">
        <f t="shared" si="8"/>
        <v>0.92930047298979335</v>
      </c>
      <c r="R75" s="5">
        <f t="shared" si="9"/>
        <v>3.0806321993035093E-2</v>
      </c>
      <c r="S75" s="5">
        <f t="shared" si="10"/>
        <v>0.5043478260869565</v>
      </c>
      <c r="T75" s="5">
        <f t="shared" si="11"/>
        <v>0</v>
      </c>
      <c r="U75" s="5">
        <f t="shared" si="12"/>
        <v>0</v>
      </c>
      <c r="V75" s="6">
        <f t="shared" si="13"/>
        <v>12.27258620689655</v>
      </c>
      <c r="W75" s="7">
        <f t="shared" si="14"/>
        <v>6.1896521739130428</v>
      </c>
      <c r="X75" s="5">
        <f t="shared" si="15"/>
        <v>-1</v>
      </c>
    </row>
    <row r="76" spans="1:24" x14ac:dyDescent="0.35">
      <c r="A76" s="3">
        <v>46034</v>
      </c>
      <c r="B76" t="s">
        <v>151</v>
      </c>
      <c r="C76" t="s">
        <v>152</v>
      </c>
      <c r="D76" t="s">
        <v>34</v>
      </c>
      <c r="E76" t="s">
        <v>56</v>
      </c>
      <c r="F76" t="s">
        <v>26</v>
      </c>
      <c r="G76" t="s">
        <v>41</v>
      </c>
      <c r="H76" t="s">
        <v>37</v>
      </c>
      <c r="I76">
        <v>4557</v>
      </c>
      <c r="J76">
        <v>4309</v>
      </c>
      <c r="K76">
        <v>4036</v>
      </c>
      <c r="L76">
        <v>221</v>
      </c>
      <c r="M76">
        <v>122</v>
      </c>
      <c r="N76">
        <v>11</v>
      </c>
      <c r="O76">
        <v>306.62</v>
      </c>
      <c r="P76">
        <v>14430.71</v>
      </c>
      <c r="Q76" s="5">
        <f t="shared" si="8"/>
        <v>0.93664423300069621</v>
      </c>
      <c r="R76" s="5">
        <f t="shared" si="9"/>
        <v>5.475718533201189E-2</v>
      </c>
      <c r="S76" s="5">
        <f t="shared" si="10"/>
        <v>0.55203619909502266</v>
      </c>
      <c r="T76" s="5">
        <f t="shared" si="11"/>
        <v>9.0163934426229511E-2</v>
      </c>
      <c r="U76" s="5">
        <f t="shared" si="12"/>
        <v>2.7254707631318136E-3</v>
      </c>
      <c r="V76" s="6">
        <f t="shared" si="13"/>
        <v>2.5132786885245904</v>
      </c>
      <c r="W76" s="7">
        <f t="shared" si="14"/>
        <v>1.3874208144796381</v>
      </c>
      <c r="X76" s="5">
        <f t="shared" si="15"/>
        <v>46.063824929880624</v>
      </c>
    </row>
    <row r="77" spans="1:24" x14ac:dyDescent="0.35">
      <c r="A77" s="3">
        <v>46034</v>
      </c>
      <c r="B77" t="s">
        <v>32</v>
      </c>
      <c r="C77" t="s">
        <v>153</v>
      </c>
      <c r="D77" t="s">
        <v>34</v>
      </c>
      <c r="E77" t="s">
        <v>35</v>
      </c>
      <c r="F77" t="s">
        <v>26</v>
      </c>
      <c r="G77" t="s">
        <v>27</v>
      </c>
      <c r="H77" t="s">
        <v>28</v>
      </c>
      <c r="I77">
        <v>3497</v>
      </c>
      <c r="J77">
        <v>3380</v>
      </c>
      <c r="K77">
        <v>3045</v>
      </c>
      <c r="L77">
        <v>332</v>
      </c>
      <c r="M77">
        <v>203</v>
      </c>
      <c r="N77">
        <v>17</v>
      </c>
      <c r="O77">
        <v>300.76</v>
      </c>
      <c r="P77">
        <v>27482.58</v>
      </c>
      <c r="Q77" s="5">
        <f t="shared" si="8"/>
        <v>0.90088757396449703</v>
      </c>
      <c r="R77" s="5">
        <f t="shared" si="9"/>
        <v>0.10903119868637109</v>
      </c>
      <c r="S77" s="5">
        <f t="shared" si="10"/>
        <v>0.61144578313253017</v>
      </c>
      <c r="T77" s="5">
        <f t="shared" si="11"/>
        <v>8.3743842364532015E-2</v>
      </c>
      <c r="U77" s="5">
        <f t="shared" si="12"/>
        <v>5.5829228243021349E-3</v>
      </c>
      <c r="V77" s="6">
        <f t="shared" si="13"/>
        <v>1.4815763546798029</v>
      </c>
      <c r="W77" s="7">
        <f t="shared" si="14"/>
        <v>0.9059036144578313</v>
      </c>
      <c r="X77" s="5">
        <f t="shared" si="15"/>
        <v>90.377111317994434</v>
      </c>
    </row>
    <row r="78" spans="1:24" x14ac:dyDescent="0.35">
      <c r="A78" s="3">
        <v>46034</v>
      </c>
      <c r="B78" t="s">
        <v>154</v>
      </c>
      <c r="C78" t="s">
        <v>155</v>
      </c>
      <c r="D78" t="s">
        <v>31</v>
      </c>
      <c r="E78" t="s">
        <v>19</v>
      </c>
      <c r="F78" t="s">
        <v>20</v>
      </c>
      <c r="G78" t="s">
        <v>36</v>
      </c>
      <c r="H78" t="s">
        <v>48</v>
      </c>
      <c r="I78">
        <v>4381</v>
      </c>
      <c r="J78">
        <v>4018</v>
      </c>
      <c r="K78">
        <v>3831</v>
      </c>
      <c r="L78">
        <v>34</v>
      </c>
      <c r="M78">
        <v>10</v>
      </c>
      <c r="N78">
        <v>0</v>
      </c>
      <c r="O78">
        <v>725.49</v>
      </c>
      <c r="P78">
        <v>0</v>
      </c>
      <c r="Q78" s="5">
        <f t="shared" si="8"/>
        <v>0.95345943255350918</v>
      </c>
      <c r="R78" s="5">
        <f t="shared" si="9"/>
        <v>8.874967371443488E-3</v>
      </c>
      <c r="S78" s="5">
        <f t="shared" si="10"/>
        <v>0.29411764705882354</v>
      </c>
      <c r="T78" s="5">
        <f t="shared" si="11"/>
        <v>0</v>
      </c>
      <c r="U78" s="5">
        <f t="shared" si="12"/>
        <v>0</v>
      </c>
      <c r="V78" s="6">
        <f t="shared" si="13"/>
        <v>72.549000000000007</v>
      </c>
      <c r="W78" s="7">
        <f t="shared" si="14"/>
        <v>21.33794117647059</v>
      </c>
      <c r="X78" s="5">
        <f t="shared" si="15"/>
        <v>-1</v>
      </c>
    </row>
    <row r="79" spans="1:24" x14ac:dyDescent="0.35">
      <c r="A79" s="3">
        <v>46034</v>
      </c>
      <c r="B79" t="s">
        <v>52</v>
      </c>
      <c r="C79" t="s">
        <v>156</v>
      </c>
      <c r="D79" t="s">
        <v>18</v>
      </c>
      <c r="E79" t="s">
        <v>25</v>
      </c>
      <c r="F79" t="s">
        <v>20</v>
      </c>
      <c r="G79" t="s">
        <v>27</v>
      </c>
      <c r="H79" t="s">
        <v>28</v>
      </c>
      <c r="I79">
        <v>2268</v>
      </c>
      <c r="J79">
        <v>1916</v>
      </c>
      <c r="K79">
        <v>1783</v>
      </c>
      <c r="L79">
        <v>69</v>
      </c>
      <c r="M79">
        <v>34</v>
      </c>
      <c r="N79">
        <v>1</v>
      </c>
      <c r="O79">
        <v>246.01</v>
      </c>
      <c r="P79">
        <v>822.12</v>
      </c>
      <c r="Q79" s="5">
        <f t="shared" si="8"/>
        <v>0.93058455114822547</v>
      </c>
      <c r="R79" s="5">
        <f t="shared" si="9"/>
        <v>3.8698822209758836E-2</v>
      </c>
      <c r="S79" s="5">
        <f t="shared" si="10"/>
        <v>0.49275362318840582</v>
      </c>
      <c r="T79" s="5">
        <f t="shared" si="11"/>
        <v>2.9411764705882353E-2</v>
      </c>
      <c r="U79" s="5">
        <f t="shared" si="12"/>
        <v>5.6085249579360629E-4</v>
      </c>
      <c r="V79" s="6">
        <f t="shared" si="13"/>
        <v>7.2355882352941174</v>
      </c>
      <c r="W79" s="7">
        <f t="shared" si="14"/>
        <v>3.5653623188405796</v>
      </c>
      <c r="X79" s="5">
        <f t="shared" si="15"/>
        <v>2.3418153733588065</v>
      </c>
    </row>
    <row r="80" spans="1:24" x14ac:dyDescent="0.35">
      <c r="A80" s="3">
        <v>46034</v>
      </c>
      <c r="B80" t="s">
        <v>157</v>
      </c>
      <c r="C80" t="s">
        <v>158</v>
      </c>
      <c r="D80" t="s">
        <v>40</v>
      </c>
      <c r="E80" t="s">
        <v>56</v>
      </c>
      <c r="F80" t="s">
        <v>20</v>
      </c>
      <c r="G80" t="s">
        <v>21</v>
      </c>
      <c r="H80" t="s">
        <v>28</v>
      </c>
      <c r="I80">
        <v>3436</v>
      </c>
      <c r="J80">
        <v>2576</v>
      </c>
      <c r="K80">
        <v>2349</v>
      </c>
      <c r="L80">
        <v>137</v>
      </c>
      <c r="M80">
        <v>75</v>
      </c>
      <c r="N80">
        <v>5</v>
      </c>
      <c r="O80">
        <v>349</v>
      </c>
      <c r="P80">
        <v>3495.4</v>
      </c>
      <c r="Q80" s="5">
        <f t="shared" si="8"/>
        <v>0.91187888198757761</v>
      </c>
      <c r="R80" s="5">
        <f t="shared" si="9"/>
        <v>5.8322690506598551E-2</v>
      </c>
      <c r="S80" s="5">
        <f t="shared" si="10"/>
        <v>0.54744525547445255</v>
      </c>
      <c r="T80" s="5">
        <f t="shared" si="11"/>
        <v>6.6666666666666666E-2</v>
      </c>
      <c r="U80" s="5">
        <f t="shared" si="12"/>
        <v>2.1285653469561515E-3</v>
      </c>
      <c r="V80" s="6">
        <f t="shared" si="13"/>
        <v>4.6533333333333333</v>
      </c>
      <c r="W80" s="7">
        <f t="shared" si="14"/>
        <v>2.5474452554744524</v>
      </c>
      <c r="X80" s="5">
        <f t="shared" si="15"/>
        <v>9.0154727793696274</v>
      </c>
    </row>
    <row r="81" spans="1:24" x14ac:dyDescent="0.35">
      <c r="A81" s="3">
        <v>46035</v>
      </c>
      <c r="B81" t="s">
        <v>159</v>
      </c>
      <c r="C81" t="s">
        <v>160</v>
      </c>
      <c r="D81" t="s">
        <v>31</v>
      </c>
      <c r="E81" t="s">
        <v>19</v>
      </c>
      <c r="F81" t="s">
        <v>26</v>
      </c>
      <c r="G81" t="s">
        <v>41</v>
      </c>
      <c r="H81" t="s">
        <v>51</v>
      </c>
      <c r="I81">
        <v>1209</v>
      </c>
      <c r="J81">
        <v>1023</v>
      </c>
      <c r="K81">
        <v>1002</v>
      </c>
      <c r="L81">
        <v>12</v>
      </c>
      <c r="M81">
        <v>6</v>
      </c>
      <c r="N81">
        <v>0</v>
      </c>
      <c r="O81">
        <v>174.23</v>
      </c>
      <c r="P81">
        <v>0</v>
      </c>
      <c r="Q81" s="5">
        <f t="shared" si="8"/>
        <v>0.97947214076246336</v>
      </c>
      <c r="R81" s="5">
        <f t="shared" si="9"/>
        <v>1.1976047904191617E-2</v>
      </c>
      <c r="S81" s="5">
        <f t="shared" si="10"/>
        <v>0.5</v>
      </c>
      <c r="T81" s="5">
        <f t="shared" si="11"/>
        <v>0</v>
      </c>
      <c r="U81" s="5">
        <f t="shared" si="12"/>
        <v>0</v>
      </c>
      <c r="V81" s="6">
        <f t="shared" si="13"/>
        <v>29.03833333333333</v>
      </c>
      <c r="W81" s="7">
        <f t="shared" si="14"/>
        <v>14.519166666666665</v>
      </c>
      <c r="X81" s="5">
        <f t="shared" si="15"/>
        <v>-1</v>
      </c>
    </row>
    <row r="82" spans="1:24" x14ac:dyDescent="0.35">
      <c r="A82" s="3">
        <v>46035</v>
      </c>
      <c r="B82" t="s">
        <v>159</v>
      </c>
      <c r="C82" t="s">
        <v>161</v>
      </c>
      <c r="D82" t="s">
        <v>18</v>
      </c>
      <c r="E82" t="s">
        <v>56</v>
      </c>
      <c r="F82" t="s">
        <v>20</v>
      </c>
      <c r="G82" t="s">
        <v>21</v>
      </c>
      <c r="H82" t="s">
        <v>28</v>
      </c>
      <c r="I82">
        <v>2265</v>
      </c>
      <c r="J82">
        <v>2081</v>
      </c>
      <c r="K82">
        <v>1896</v>
      </c>
      <c r="L82">
        <v>112</v>
      </c>
      <c r="M82">
        <v>57</v>
      </c>
      <c r="N82">
        <v>2</v>
      </c>
      <c r="O82">
        <v>298.22000000000003</v>
      </c>
      <c r="P82">
        <v>1968.17</v>
      </c>
      <c r="Q82" s="5">
        <f t="shared" si="8"/>
        <v>0.91110043248438255</v>
      </c>
      <c r="R82" s="5">
        <f t="shared" si="9"/>
        <v>5.9071729957805907E-2</v>
      </c>
      <c r="S82" s="5">
        <f t="shared" si="10"/>
        <v>0.5089285714285714</v>
      </c>
      <c r="T82" s="5">
        <f t="shared" si="11"/>
        <v>3.5087719298245612E-2</v>
      </c>
      <c r="U82" s="5">
        <f t="shared" si="12"/>
        <v>1.0548523206751054E-3</v>
      </c>
      <c r="V82" s="6">
        <f t="shared" si="13"/>
        <v>5.2319298245614041</v>
      </c>
      <c r="W82" s="7">
        <f t="shared" si="14"/>
        <v>2.6626785714285717</v>
      </c>
      <c r="X82" s="5">
        <f t="shared" si="15"/>
        <v>5.5997250352089054</v>
      </c>
    </row>
    <row r="83" spans="1:24" x14ac:dyDescent="0.35">
      <c r="A83" s="3">
        <v>46035</v>
      </c>
      <c r="B83" t="s">
        <v>149</v>
      </c>
      <c r="C83" t="s">
        <v>162</v>
      </c>
      <c r="D83" t="s">
        <v>18</v>
      </c>
      <c r="E83" t="s">
        <v>56</v>
      </c>
      <c r="F83" t="s">
        <v>20</v>
      </c>
      <c r="G83" t="s">
        <v>27</v>
      </c>
      <c r="H83" t="s">
        <v>22</v>
      </c>
      <c r="I83">
        <v>786</v>
      </c>
      <c r="J83">
        <v>655</v>
      </c>
      <c r="K83">
        <v>620</v>
      </c>
      <c r="L83">
        <v>39</v>
      </c>
      <c r="M83">
        <v>20</v>
      </c>
      <c r="N83">
        <v>1</v>
      </c>
      <c r="O83">
        <v>93.32</v>
      </c>
      <c r="P83">
        <v>1065.23</v>
      </c>
      <c r="Q83" s="5">
        <f t="shared" si="8"/>
        <v>0.94656488549618323</v>
      </c>
      <c r="R83" s="5">
        <f t="shared" si="9"/>
        <v>6.2903225806451607E-2</v>
      </c>
      <c r="S83" s="5">
        <f t="shared" si="10"/>
        <v>0.51282051282051277</v>
      </c>
      <c r="T83" s="5">
        <f t="shared" si="11"/>
        <v>0.05</v>
      </c>
      <c r="U83" s="5">
        <f t="shared" si="12"/>
        <v>1.6129032258064516E-3</v>
      </c>
      <c r="V83" s="6">
        <f t="shared" si="13"/>
        <v>4.6659999999999995</v>
      </c>
      <c r="W83" s="7">
        <f t="shared" si="14"/>
        <v>2.3928205128205127</v>
      </c>
      <c r="X83" s="5">
        <f t="shared" si="15"/>
        <v>10.414809258465496</v>
      </c>
    </row>
    <row r="84" spans="1:24" x14ac:dyDescent="0.35">
      <c r="A84" s="3">
        <v>46035</v>
      </c>
      <c r="B84" t="s">
        <v>163</v>
      </c>
      <c r="C84" t="s">
        <v>164</v>
      </c>
      <c r="D84" t="s">
        <v>31</v>
      </c>
      <c r="E84" t="s">
        <v>56</v>
      </c>
      <c r="F84" t="s">
        <v>20</v>
      </c>
      <c r="G84" t="s">
        <v>36</v>
      </c>
      <c r="H84" t="s">
        <v>28</v>
      </c>
      <c r="I84">
        <v>1989</v>
      </c>
      <c r="J84">
        <v>1472</v>
      </c>
      <c r="K84">
        <v>1389</v>
      </c>
      <c r="L84">
        <v>58</v>
      </c>
      <c r="M84">
        <v>25</v>
      </c>
      <c r="N84">
        <v>1</v>
      </c>
      <c r="O84">
        <v>299.77</v>
      </c>
      <c r="P84">
        <v>1092</v>
      </c>
      <c r="Q84" s="5">
        <f t="shared" si="8"/>
        <v>0.94361413043478259</v>
      </c>
      <c r="R84" s="5">
        <f t="shared" si="9"/>
        <v>4.1756659467242621E-2</v>
      </c>
      <c r="S84" s="5">
        <f t="shared" si="10"/>
        <v>0.43103448275862066</v>
      </c>
      <c r="T84" s="5">
        <f t="shared" si="11"/>
        <v>0.04</v>
      </c>
      <c r="U84" s="5">
        <f t="shared" si="12"/>
        <v>7.1994240460763136E-4</v>
      </c>
      <c r="V84" s="6">
        <f t="shared" si="13"/>
        <v>11.9908</v>
      </c>
      <c r="W84" s="7">
        <f t="shared" si="14"/>
        <v>5.1684482758620689</v>
      </c>
      <c r="X84" s="5">
        <f t="shared" si="15"/>
        <v>2.6427928078193283</v>
      </c>
    </row>
    <row r="85" spans="1:24" x14ac:dyDescent="0.35">
      <c r="A85" s="3">
        <v>46035</v>
      </c>
      <c r="B85" t="s">
        <v>71</v>
      </c>
      <c r="C85" t="s">
        <v>165</v>
      </c>
      <c r="D85" t="s">
        <v>40</v>
      </c>
      <c r="E85" t="s">
        <v>35</v>
      </c>
      <c r="F85" t="s">
        <v>20</v>
      </c>
      <c r="G85" t="s">
        <v>36</v>
      </c>
      <c r="H85" t="s">
        <v>51</v>
      </c>
      <c r="I85">
        <v>3547</v>
      </c>
      <c r="J85">
        <v>3203</v>
      </c>
      <c r="K85">
        <v>3012</v>
      </c>
      <c r="L85">
        <v>180</v>
      </c>
      <c r="M85">
        <v>76</v>
      </c>
      <c r="N85">
        <v>5</v>
      </c>
      <c r="O85">
        <v>500.64</v>
      </c>
      <c r="P85">
        <v>3693.48</v>
      </c>
      <c r="Q85" s="5">
        <f t="shared" si="8"/>
        <v>0.94036840462066817</v>
      </c>
      <c r="R85" s="5">
        <f t="shared" si="9"/>
        <v>5.9760956175298807E-2</v>
      </c>
      <c r="S85" s="5">
        <f t="shared" si="10"/>
        <v>0.42222222222222222</v>
      </c>
      <c r="T85" s="5">
        <f t="shared" si="11"/>
        <v>6.5789473684210523E-2</v>
      </c>
      <c r="U85" s="5">
        <f t="shared" si="12"/>
        <v>1.6600265604249668E-3</v>
      </c>
      <c r="V85" s="6">
        <f t="shared" si="13"/>
        <v>6.5873684210526315</v>
      </c>
      <c r="W85" s="7">
        <f t="shared" si="14"/>
        <v>2.7813333333333334</v>
      </c>
      <c r="X85" s="5">
        <f t="shared" si="15"/>
        <v>6.3775167785234901</v>
      </c>
    </row>
    <row r="86" spans="1:24" x14ac:dyDescent="0.35">
      <c r="A86" s="3">
        <v>46035</v>
      </c>
      <c r="B86" t="s">
        <v>46</v>
      </c>
      <c r="C86" t="s">
        <v>166</v>
      </c>
      <c r="D86" t="s">
        <v>34</v>
      </c>
      <c r="E86" t="s">
        <v>35</v>
      </c>
      <c r="F86" t="s">
        <v>20</v>
      </c>
      <c r="G86" t="s">
        <v>41</v>
      </c>
      <c r="H86" t="s">
        <v>51</v>
      </c>
      <c r="I86">
        <v>1599</v>
      </c>
      <c r="J86">
        <v>1530</v>
      </c>
      <c r="K86">
        <v>1459</v>
      </c>
      <c r="L86">
        <v>79</v>
      </c>
      <c r="M86">
        <v>44</v>
      </c>
      <c r="N86">
        <v>3</v>
      </c>
      <c r="O86">
        <v>135.76</v>
      </c>
      <c r="P86">
        <v>3369.09</v>
      </c>
      <c r="Q86" s="5">
        <f t="shared" si="8"/>
        <v>0.95359477124183012</v>
      </c>
      <c r="R86" s="5">
        <f t="shared" si="9"/>
        <v>5.4146675805346128E-2</v>
      </c>
      <c r="S86" s="5">
        <f t="shared" si="10"/>
        <v>0.55696202531645567</v>
      </c>
      <c r="T86" s="5">
        <f t="shared" si="11"/>
        <v>6.8181818181818177E-2</v>
      </c>
      <c r="U86" s="5">
        <f t="shared" si="12"/>
        <v>2.0562028786840301E-3</v>
      </c>
      <c r="V86" s="6">
        <f t="shared" si="13"/>
        <v>3.0854545454545454</v>
      </c>
      <c r="W86" s="7">
        <f t="shared" si="14"/>
        <v>1.7184810126582277</v>
      </c>
      <c r="X86" s="5">
        <f t="shared" si="15"/>
        <v>23.816514437242194</v>
      </c>
    </row>
    <row r="87" spans="1:24" x14ac:dyDescent="0.35">
      <c r="A87" s="3">
        <v>46035</v>
      </c>
      <c r="B87" t="s">
        <v>167</v>
      </c>
      <c r="C87" t="s">
        <v>168</v>
      </c>
      <c r="D87" t="s">
        <v>34</v>
      </c>
      <c r="E87" t="s">
        <v>19</v>
      </c>
      <c r="F87" t="s">
        <v>20</v>
      </c>
      <c r="G87" t="s">
        <v>59</v>
      </c>
      <c r="H87" t="s">
        <v>22</v>
      </c>
      <c r="I87">
        <v>1247</v>
      </c>
      <c r="J87">
        <v>1186</v>
      </c>
      <c r="K87">
        <v>1115</v>
      </c>
      <c r="L87">
        <v>8</v>
      </c>
      <c r="M87">
        <v>3</v>
      </c>
      <c r="N87">
        <v>0</v>
      </c>
      <c r="O87">
        <v>109.22</v>
      </c>
      <c r="P87">
        <v>0</v>
      </c>
      <c r="Q87" s="5">
        <f t="shared" si="8"/>
        <v>0.94013490725126481</v>
      </c>
      <c r="R87" s="5">
        <f t="shared" si="9"/>
        <v>7.1748878923766817E-3</v>
      </c>
      <c r="S87" s="5">
        <f t="shared" si="10"/>
        <v>0.375</v>
      </c>
      <c r="T87" s="5">
        <f t="shared" si="11"/>
        <v>0</v>
      </c>
      <c r="U87" s="5">
        <f t="shared" si="12"/>
        <v>0</v>
      </c>
      <c r="V87" s="6">
        <f t="shared" si="13"/>
        <v>36.406666666666666</v>
      </c>
      <c r="W87" s="7">
        <f t="shared" si="14"/>
        <v>13.6525</v>
      </c>
      <c r="X87" s="5">
        <f t="shared" si="15"/>
        <v>-1</v>
      </c>
    </row>
    <row r="88" spans="1:24" x14ac:dyDescent="0.35">
      <c r="A88" s="3">
        <v>46035</v>
      </c>
      <c r="B88" t="s">
        <v>169</v>
      </c>
      <c r="C88" t="s">
        <v>170</v>
      </c>
      <c r="D88" t="s">
        <v>18</v>
      </c>
      <c r="E88" t="s">
        <v>19</v>
      </c>
      <c r="F88" t="s">
        <v>20</v>
      </c>
      <c r="G88" t="s">
        <v>41</v>
      </c>
      <c r="H88" t="s">
        <v>22</v>
      </c>
      <c r="I88">
        <v>4289</v>
      </c>
      <c r="J88">
        <v>3494</v>
      </c>
      <c r="K88">
        <v>3196</v>
      </c>
      <c r="L88">
        <v>43</v>
      </c>
      <c r="M88">
        <v>20</v>
      </c>
      <c r="N88">
        <v>0</v>
      </c>
      <c r="O88">
        <v>399.98</v>
      </c>
      <c r="P88">
        <v>0</v>
      </c>
      <c r="Q88" s="5">
        <f t="shared" si="8"/>
        <v>0.91471093302804807</v>
      </c>
      <c r="R88" s="5">
        <f t="shared" si="9"/>
        <v>1.3454317897371715E-2</v>
      </c>
      <c r="S88" s="5">
        <f t="shared" si="10"/>
        <v>0.46511627906976744</v>
      </c>
      <c r="T88" s="5">
        <f t="shared" si="11"/>
        <v>0</v>
      </c>
      <c r="U88" s="5">
        <f t="shared" si="12"/>
        <v>0</v>
      </c>
      <c r="V88" s="6">
        <f t="shared" si="13"/>
        <v>19.999000000000002</v>
      </c>
      <c r="W88" s="7">
        <f t="shared" si="14"/>
        <v>9.3018604651162793</v>
      </c>
      <c r="X88" s="5">
        <f t="shared" si="15"/>
        <v>-1</v>
      </c>
    </row>
    <row r="89" spans="1:24" x14ac:dyDescent="0.35">
      <c r="A89" s="3">
        <v>46036</v>
      </c>
      <c r="B89" t="s">
        <v>151</v>
      </c>
      <c r="C89" t="s">
        <v>171</v>
      </c>
      <c r="D89" t="s">
        <v>31</v>
      </c>
      <c r="E89" t="s">
        <v>56</v>
      </c>
      <c r="F89" t="s">
        <v>26</v>
      </c>
      <c r="G89" t="s">
        <v>41</v>
      </c>
      <c r="H89" t="s">
        <v>22</v>
      </c>
      <c r="I89">
        <v>4147</v>
      </c>
      <c r="J89">
        <v>3119</v>
      </c>
      <c r="K89">
        <v>2933</v>
      </c>
      <c r="L89">
        <v>135</v>
      </c>
      <c r="M89">
        <v>67</v>
      </c>
      <c r="N89">
        <v>3</v>
      </c>
      <c r="O89">
        <v>609.23</v>
      </c>
      <c r="P89">
        <v>4468.91</v>
      </c>
      <c r="Q89" s="5">
        <f t="shared" si="8"/>
        <v>0.94036550176338574</v>
      </c>
      <c r="R89" s="5">
        <f t="shared" si="9"/>
        <v>4.6027957722468461E-2</v>
      </c>
      <c r="S89" s="5">
        <f t="shared" si="10"/>
        <v>0.49629629629629629</v>
      </c>
      <c r="T89" s="5">
        <f t="shared" si="11"/>
        <v>4.4776119402985072E-2</v>
      </c>
      <c r="U89" s="5">
        <f t="shared" si="12"/>
        <v>1.0228435049437436E-3</v>
      </c>
      <c r="V89" s="6">
        <f t="shared" si="13"/>
        <v>9.0929850746268652</v>
      </c>
      <c r="W89" s="7">
        <f t="shared" si="14"/>
        <v>4.5128148148148153</v>
      </c>
      <c r="X89" s="5">
        <f t="shared" si="15"/>
        <v>6.3353413325016819</v>
      </c>
    </row>
    <row r="90" spans="1:24" x14ac:dyDescent="0.35">
      <c r="A90" s="3">
        <v>46036</v>
      </c>
      <c r="B90" t="s">
        <v>83</v>
      </c>
      <c r="C90" t="s">
        <v>172</v>
      </c>
      <c r="D90" t="s">
        <v>18</v>
      </c>
      <c r="E90" t="s">
        <v>56</v>
      </c>
      <c r="F90" t="s">
        <v>26</v>
      </c>
      <c r="G90" t="s">
        <v>27</v>
      </c>
      <c r="H90" t="s">
        <v>51</v>
      </c>
      <c r="I90">
        <v>2029</v>
      </c>
      <c r="J90">
        <v>1720</v>
      </c>
      <c r="K90">
        <v>1557</v>
      </c>
      <c r="L90">
        <v>129</v>
      </c>
      <c r="M90">
        <v>83</v>
      </c>
      <c r="N90">
        <v>5</v>
      </c>
      <c r="O90">
        <v>213.83</v>
      </c>
      <c r="P90">
        <v>4379.3999999999996</v>
      </c>
      <c r="Q90" s="5">
        <f t="shared" si="8"/>
        <v>0.90523255813953485</v>
      </c>
      <c r="R90" s="5">
        <f t="shared" si="9"/>
        <v>8.2851637764932567E-2</v>
      </c>
      <c r="S90" s="5">
        <f t="shared" si="10"/>
        <v>0.64341085271317833</v>
      </c>
      <c r="T90" s="5">
        <f t="shared" si="11"/>
        <v>6.0240963855421686E-2</v>
      </c>
      <c r="U90" s="5">
        <f t="shared" si="12"/>
        <v>3.2113037893384713E-3</v>
      </c>
      <c r="V90" s="6">
        <f t="shared" si="13"/>
        <v>2.576265060240964</v>
      </c>
      <c r="W90" s="7">
        <f t="shared" si="14"/>
        <v>1.6575968992248062</v>
      </c>
      <c r="X90" s="5">
        <f t="shared" si="15"/>
        <v>19.48075574054155</v>
      </c>
    </row>
    <row r="91" spans="1:24" x14ac:dyDescent="0.35">
      <c r="A91" s="3">
        <v>46036</v>
      </c>
      <c r="B91" t="s">
        <v>173</v>
      </c>
      <c r="C91" t="s">
        <v>174</v>
      </c>
      <c r="D91" t="s">
        <v>34</v>
      </c>
      <c r="E91" t="s">
        <v>35</v>
      </c>
      <c r="F91" t="s">
        <v>20</v>
      </c>
      <c r="G91" t="s">
        <v>36</v>
      </c>
      <c r="H91" t="s">
        <v>48</v>
      </c>
      <c r="I91">
        <v>3433</v>
      </c>
      <c r="J91">
        <v>2662</v>
      </c>
      <c r="K91">
        <v>2468</v>
      </c>
      <c r="L91">
        <v>186</v>
      </c>
      <c r="M91">
        <v>82</v>
      </c>
      <c r="N91">
        <v>6</v>
      </c>
      <c r="O91">
        <v>237.37</v>
      </c>
      <c r="P91">
        <v>4895.49</v>
      </c>
      <c r="Q91" s="5">
        <f t="shared" si="8"/>
        <v>0.92712246431254697</v>
      </c>
      <c r="R91" s="5">
        <f t="shared" si="9"/>
        <v>7.5364667747163702E-2</v>
      </c>
      <c r="S91" s="5">
        <f t="shared" si="10"/>
        <v>0.44086021505376344</v>
      </c>
      <c r="T91" s="5">
        <f t="shared" si="11"/>
        <v>7.3170731707317069E-2</v>
      </c>
      <c r="U91" s="5">
        <f t="shared" si="12"/>
        <v>2.4311183144246355E-3</v>
      </c>
      <c r="V91" s="6">
        <f t="shared" si="13"/>
        <v>2.8947560975609758</v>
      </c>
      <c r="W91" s="7">
        <f t="shared" si="14"/>
        <v>1.2761827956989247</v>
      </c>
      <c r="X91" s="5">
        <f t="shared" si="15"/>
        <v>19.623878333403546</v>
      </c>
    </row>
    <row r="92" spans="1:24" x14ac:dyDescent="0.35">
      <c r="A92" s="3">
        <v>46036</v>
      </c>
      <c r="B92" t="s">
        <v>85</v>
      </c>
      <c r="C92" t="s">
        <v>175</v>
      </c>
      <c r="D92" t="s">
        <v>34</v>
      </c>
      <c r="E92" t="s">
        <v>35</v>
      </c>
      <c r="F92" t="s">
        <v>20</v>
      </c>
      <c r="G92" t="s">
        <v>36</v>
      </c>
      <c r="H92" t="s">
        <v>22</v>
      </c>
      <c r="I92">
        <v>4138</v>
      </c>
      <c r="J92">
        <v>3675</v>
      </c>
      <c r="K92">
        <v>3414</v>
      </c>
      <c r="L92">
        <v>191</v>
      </c>
      <c r="M92">
        <v>92</v>
      </c>
      <c r="N92">
        <v>6</v>
      </c>
      <c r="O92">
        <v>316.02999999999997</v>
      </c>
      <c r="P92">
        <v>6158.83</v>
      </c>
      <c r="Q92" s="5">
        <f t="shared" si="8"/>
        <v>0.92897959183673473</v>
      </c>
      <c r="R92" s="5">
        <f t="shared" si="9"/>
        <v>5.5946104276508493E-2</v>
      </c>
      <c r="S92" s="5">
        <f t="shared" si="10"/>
        <v>0.48167539267015708</v>
      </c>
      <c r="T92" s="5">
        <f t="shared" si="11"/>
        <v>6.5217391304347824E-2</v>
      </c>
      <c r="U92" s="5">
        <f t="shared" si="12"/>
        <v>1.7574692442882249E-3</v>
      </c>
      <c r="V92" s="6">
        <f t="shared" si="13"/>
        <v>3.4351086956521737</v>
      </c>
      <c r="W92" s="7">
        <f t="shared" si="14"/>
        <v>1.6546073298429318</v>
      </c>
      <c r="X92" s="5">
        <f t="shared" si="15"/>
        <v>18.488118216625008</v>
      </c>
    </row>
    <row r="93" spans="1:24" x14ac:dyDescent="0.35">
      <c r="A93" s="3">
        <v>46036</v>
      </c>
      <c r="B93" t="s">
        <v>176</v>
      </c>
      <c r="C93" t="s">
        <v>177</v>
      </c>
      <c r="D93" t="s">
        <v>31</v>
      </c>
      <c r="E93" t="s">
        <v>56</v>
      </c>
      <c r="F93" t="s">
        <v>20</v>
      </c>
      <c r="G93" t="s">
        <v>59</v>
      </c>
      <c r="H93" t="s">
        <v>51</v>
      </c>
      <c r="I93">
        <v>504</v>
      </c>
      <c r="J93">
        <v>399</v>
      </c>
      <c r="K93">
        <v>382</v>
      </c>
      <c r="L93">
        <v>17</v>
      </c>
      <c r="M93">
        <v>6</v>
      </c>
      <c r="N93">
        <v>0</v>
      </c>
      <c r="O93">
        <v>61.15</v>
      </c>
      <c r="P93">
        <v>0</v>
      </c>
      <c r="Q93" s="5">
        <f t="shared" si="8"/>
        <v>0.95739348370927313</v>
      </c>
      <c r="R93" s="5">
        <f t="shared" si="9"/>
        <v>4.4502617801047119E-2</v>
      </c>
      <c r="S93" s="5">
        <f t="shared" si="10"/>
        <v>0.35294117647058826</v>
      </c>
      <c r="T93" s="5">
        <f t="shared" si="11"/>
        <v>0</v>
      </c>
      <c r="U93" s="5">
        <f t="shared" si="12"/>
        <v>0</v>
      </c>
      <c r="V93" s="6">
        <f t="shared" si="13"/>
        <v>10.191666666666666</v>
      </c>
      <c r="W93" s="7">
        <f t="shared" si="14"/>
        <v>3.5970588235294119</v>
      </c>
      <c r="X93" s="5">
        <f t="shared" si="15"/>
        <v>-1</v>
      </c>
    </row>
    <row r="94" spans="1:24" x14ac:dyDescent="0.35">
      <c r="A94" s="3">
        <v>46037</v>
      </c>
      <c r="B94" t="s">
        <v>44</v>
      </c>
      <c r="C94" t="s">
        <v>178</v>
      </c>
      <c r="D94" t="s">
        <v>31</v>
      </c>
      <c r="E94" t="s">
        <v>35</v>
      </c>
      <c r="F94" t="s">
        <v>20</v>
      </c>
      <c r="G94" t="s">
        <v>59</v>
      </c>
      <c r="H94" t="s">
        <v>28</v>
      </c>
      <c r="I94">
        <v>1488</v>
      </c>
      <c r="J94">
        <v>1205</v>
      </c>
      <c r="K94">
        <v>1150</v>
      </c>
      <c r="L94">
        <v>60</v>
      </c>
      <c r="M94">
        <v>19</v>
      </c>
      <c r="N94">
        <v>2</v>
      </c>
      <c r="O94">
        <v>200.14</v>
      </c>
      <c r="P94">
        <v>2913.63</v>
      </c>
      <c r="Q94" s="5">
        <f t="shared" si="8"/>
        <v>0.9543568464730291</v>
      </c>
      <c r="R94" s="5">
        <f t="shared" si="9"/>
        <v>5.2173913043478258E-2</v>
      </c>
      <c r="S94" s="5">
        <f t="shared" si="10"/>
        <v>0.31666666666666665</v>
      </c>
      <c r="T94" s="5">
        <f t="shared" si="11"/>
        <v>0.10526315789473684</v>
      </c>
      <c r="U94" s="5">
        <f t="shared" si="12"/>
        <v>1.7391304347826088E-3</v>
      </c>
      <c r="V94" s="6">
        <f t="shared" si="13"/>
        <v>10.533684210526316</v>
      </c>
      <c r="W94" s="7">
        <f t="shared" si="14"/>
        <v>3.3356666666666666</v>
      </c>
      <c r="X94" s="5">
        <f t="shared" si="15"/>
        <v>13.557959428400123</v>
      </c>
    </row>
    <row r="95" spans="1:24" x14ac:dyDescent="0.35">
      <c r="A95" s="3">
        <v>46037</v>
      </c>
      <c r="B95" t="s">
        <v>179</v>
      </c>
      <c r="C95" t="s">
        <v>180</v>
      </c>
      <c r="D95" t="s">
        <v>31</v>
      </c>
      <c r="E95" t="s">
        <v>56</v>
      </c>
      <c r="F95" t="s">
        <v>26</v>
      </c>
      <c r="G95" t="s">
        <v>59</v>
      </c>
      <c r="H95" t="s">
        <v>28</v>
      </c>
      <c r="I95">
        <v>2115</v>
      </c>
      <c r="J95">
        <v>1856</v>
      </c>
      <c r="K95">
        <v>1784</v>
      </c>
      <c r="L95">
        <v>74</v>
      </c>
      <c r="M95">
        <v>41</v>
      </c>
      <c r="N95">
        <v>2</v>
      </c>
      <c r="O95">
        <v>372.61</v>
      </c>
      <c r="P95">
        <v>2977.54</v>
      </c>
      <c r="Q95" s="5">
        <f t="shared" si="8"/>
        <v>0.96120689655172409</v>
      </c>
      <c r="R95" s="5">
        <f t="shared" si="9"/>
        <v>4.1479820627802692E-2</v>
      </c>
      <c r="S95" s="5">
        <f t="shared" si="10"/>
        <v>0.55405405405405406</v>
      </c>
      <c r="T95" s="5">
        <f t="shared" si="11"/>
        <v>4.878048780487805E-2</v>
      </c>
      <c r="U95" s="5">
        <f t="shared" si="12"/>
        <v>1.1210762331838565E-3</v>
      </c>
      <c r="V95" s="6">
        <f t="shared" si="13"/>
        <v>9.0880487804878047</v>
      </c>
      <c r="W95" s="7">
        <f t="shared" si="14"/>
        <v>5.0352702702702707</v>
      </c>
      <c r="X95" s="5">
        <f t="shared" si="15"/>
        <v>6.9910362040739642</v>
      </c>
    </row>
    <row r="96" spans="1:24" x14ac:dyDescent="0.35">
      <c r="A96" s="3">
        <v>46037</v>
      </c>
      <c r="B96" t="s">
        <v>181</v>
      </c>
      <c r="C96" t="s">
        <v>182</v>
      </c>
      <c r="D96" t="s">
        <v>40</v>
      </c>
      <c r="E96" t="s">
        <v>19</v>
      </c>
      <c r="F96" t="s">
        <v>20</v>
      </c>
      <c r="G96" t="s">
        <v>21</v>
      </c>
      <c r="H96" t="s">
        <v>22</v>
      </c>
      <c r="I96">
        <v>1836</v>
      </c>
      <c r="J96">
        <v>1794</v>
      </c>
      <c r="K96">
        <v>1695</v>
      </c>
      <c r="L96">
        <v>37</v>
      </c>
      <c r="M96">
        <v>17</v>
      </c>
      <c r="N96">
        <v>0</v>
      </c>
      <c r="O96">
        <v>312.99</v>
      </c>
      <c r="P96">
        <v>0</v>
      </c>
      <c r="Q96" s="5">
        <f t="shared" si="8"/>
        <v>0.94481605351170572</v>
      </c>
      <c r="R96" s="5">
        <f t="shared" si="9"/>
        <v>2.1828908554572271E-2</v>
      </c>
      <c r="S96" s="5">
        <f t="shared" si="10"/>
        <v>0.45945945945945948</v>
      </c>
      <c r="T96" s="5">
        <f t="shared" si="11"/>
        <v>0</v>
      </c>
      <c r="U96" s="5">
        <f t="shared" si="12"/>
        <v>0</v>
      </c>
      <c r="V96" s="6">
        <f t="shared" si="13"/>
        <v>18.411176470588234</v>
      </c>
      <c r="W96" s="7">
        <f t="shared" si="14"/>
        <v>8.4591891891891891</v>
      </c>
      <c r="X96" s="5">
        <f t="shared" si="15"/>
        <v>-1</v>
      </c>
    </row>
    <row r="97" spans="1:24" x14ac:dyDescent="0.35">
      <c r="A97" s="3">
        <v>46037</v>
      </c>
      <c r="B97" t="s">
        <v>173</v>
      </c>
      <c r="C97" t="s">
        <v>183</v>
      </c>
      <c r="D97" t="s">
        <v>31</v>
      </c>
      <c r="E97" t="s">
        <v>56</v>
      </c>
      <c r="F97" t="s">
        <v>20</v>
      </c>
      <c r="G97" t="s">
        <v>27</v>
      </c>
      <c r="H97" t="s">
        <v>22</v>
      </c>
      <c r="I97">
        <v>2431</v>
      </c>
      <c r="J97">
        <v>2071</v>
      </c>
      <c r="K97">
        <v>1940</v>
      </c>
      <c r="L97">
        <v>47</v>
      </c>
      <c r="M97">
        <v>18</v>
      </c>
      <c r="N97">
        <v>1</v>
      </c>
      <c r="O97">
        <v>427.65</v>
      </c>
      <c r="P97">
        <v>1349.76</v>
      </c>
      <c r="Q97" s="5">
        <f t="shared" si="8"/>
        <v>0.9367455335586673</v>
      </c>
      <c r="R97" s="5">
        <f t="shared" si="9"/>
        <v>2.4226804123711341E-2</v>
      </c>
      <c r="S97" s="5">
        <f t="shared" si="10"/>
        <v>0.38297872340425532</v>
      </c>
      <c r="T97" s="5">
        <f t="shared" si="11"/>
        <v>5.5555555555555552E-2</v>
      </c>
      <c r="U97" s="5">
        <f t="shared" si="12"/>
        <v>5.1546391752577321E-4</v>
      </c>
      <c r="V97" s="6">
        <f t="shared" si="13"/>
        <v>23.758333333333333</v>
      </c>
      <c r="W97" s="7">
        <f t="shared" si="14"/>
        <v>9.0989361702127649</v>
      </c>
      <c r="X97" s="5">
        <f t="shared" si="15"/>
        <v>2.1562258856541567</v>
      </c>
    </row>
    <row r="98" spans="1:24" x14ac:dyDescent="0.35">
      <c r="A98" s="3">
        <v>46037</v>
      </c>
      <c r="B98" t="s">
        <v>118</v>
      </c>
      <c r="C98" t="s">
        <v>184</v>
      </c>
      <c r="D98" t="s">
        <v>31</v>
      </c>
      <c r="E98" t="s">
        <v>19</v>
      </c>
      <c r="F98" t="s">
        <v>26</v>
      </c>
      <c r="G98" t="s">
        <v>36</v>
      </c>
      <c r="H98" t="s">
        <v>28</v>
      </c>
      <c r="I98">
        <v>1914</v>
      </c>
      <c r="J98">
        <v>1694</v>
      </c>
      <c r="K98">
        <v>1574</v>
      </c>
      <c r="L98">
        <v>5</v>
      </c>
      <c r="M98">
        <v>3</v>
      </c>
      <c r="N98">
        <v>0</v>
      </c>
      <c r="O98">
        <v>331.81</v>
      </c>
      <c r="P98">
        <v>0</v>
      </c>
      <c r="Q98" s="5">
        <f t="shared" si="8"/>
        <v>0.92916174734356549</v>
      </c>
      <c r="R98" s="5">
        <f t="shared" si="9"/>
        <v>3.1766200762388818E-3</v>
      </c>
      <c r="S98" s="5">
        <f t="shared" si="10"/>
        <v>0.6</v>
      </c>
      <c r="T98" s="5">
        <f t="shared" si="11"/>
        <v>0</v>
      </c>
      <c r="U98" s="5">
        <f t="shared" si="12"/>
        <v>0</v>
      </c>
      <c r="V98" s="6">
        <f t="shared" si="13"/>
        <v>110.60333333333334</v>
      </c>
      <c r="W98" s="7">
        <f t="shared" si="14"/>
        <v>66.361999999999995</v>
      </c>
      <c r="X98" s="5">
        <f t="shared" si="15"/>
        <v>-1</v>
      </c>
    </row>
    <row r="99" spans="1:24" x14ac:dyDescent="0.35">
      <c r="A99" s="3">
        <v>46037</v>
      </c>
      <c r="B99" t="s">
        <v>118</v>
      </c>
      <c r="C99" t="s">
        <v>185</v>
      </c>
      <c r="D99" t="s">
        <v>18</v>
      </c>
      <c r="E99" t="s">
        <v>35</v>
      </c>
      <c r="F99" t="s">
        <v>20</v>
      </c>
      <c r="G99" t="s">
        <v>27</v>
      </c>
      <c r="H99" t="s">
        <v>28</v>
      </c>
      <c r="I99">
        <v>1342</v>
      </c>
      <c r="J99">
        <v>1245</v>
      </c>
      <c r="K99">
        <v>1140</v>
      </c>
      <c r="L99">
        <v>73</v>
      </c>
      <c r="M99">
        <v>35</v>
      </c>
      <c r="N99">
        <v>2</v>
      </c>
      <c r="O99">
        <v>145.59</v>
      </c>
      <c r="P99">
        <v>2873.48</v>
      </c>
      <c r="Q99" s="5">
        <f t="shared" si="8"/>
        <v>0.91566265060240959</v>
      </c>
      <c r="R99" s="5">
        <f t="shared" si="9"/>
        <v>6.403508771929825E-2</v>
      </c>
      <c r="S99" s="5">
        <f t="shared" si="10"/>
        <v>0.47945205479452052</v>
      </c>
      <c r="T99" s="5">
        <f t="shared" si="11"/>
        <v>5.7142857142857141E-2</v>
      </c>
      <c r="U99" s="5">
        <f t="shared" si="12"/>
        <v>1.7543859649122807E-3</v>
      </c>
      <c r="V99" s="6">
        <f t="shared" si="13"/>
        <v>4.1597142857142861</v>
      </c>
      <c r="W99" s="7">
        <f t="shared" si="14"/>
        <v>1.9943835616438357</v>
      </c>
      <c r="X99" s="5">
        <f t="shared" si="15"/>
        <v>18.736795109554226</v>
      </c>
    </row>
    <row r="100" spans="1:24" x14ac:dyDescent="0.35">
      <c r="A100" s="3">
        <v>46037</v>
      </c>
      <c r="B100" t="s">
        <v>88</v>
      </c>
      <c r="C100" t="s">
        <v>186</v>
      </c>
      <c r="D100" t="s">
        <v>34</v>
      </c>
      <c r="E100" t="s">
        <v>56</v>
      </c>
      <c r="F100" t="s">
        <v>20</v>
      </c>
      <c r="G100" t="s">
        <v>21</v>
      </c>
      <c r="H100" t="s">
        <v>22</v>
      </c>
      <c r="I100">
        <v>4820</v>
      </c>
      <c r="J100">
        <v>3637</v>
      </c>
      <c r="K100">
        <v>3431</v>
      </c>
      <c r="L100">
        <v>147</v>
      </c>
      <c r="M100">
        <v>62</v>
      </c>
      <c r="N100">
        <v>3</v>
      </c>
      <c r="O100">
        <v>264.99</v>
      </c>
      <c r="P100">
        <v>4248.8</v>
      </c>
      <c r="Q100" s="5">
        <f t="shared" si="8"/>
        <v>0.94335991201539726</v>
      </c>
      <c r="R100" s="5">
        <f t="shared" si="9"/>
        <v>4.2844651705042265E-2</v>
      </c>
      <c r="S100" s="5">
        <f t="shared" si="10"/>
        <v>0.42176870748299322</v>
      </c>
      <c r="T100" s="5">
        <f t="shared" si="11"/>
        <v>4.8387096774193547E-2</v>
      </c>
      <c r="U100" s="5">
        <f t="shared" si="12"/>
        <v>8.7438064704167882E-4</v>
      </c>
      <c r="V100" s="6">
        <f t="shared" si="13"/>
        <v>4.2740322580645165</v>
      </c>
      <c r="W100" s="7">
        <f t="shared" si="14"/>
        <v>1.8026530612244898</v>
      </c>
      <c r="X100" s="5">
        <f t="shared" si="15"/>
        <v>15.033812596701763</v>
      </c>
    </row>
    <row r="101" spans="1:24" x14ac:dyDescent="0.35">
      <c r="A101" s="3">
        <v>46037</v>
      </c>
      <c r="B101" t="s">
        <v>187</v>
      </c>
      <c r="C101" t="s">
        <v>188</v>
      </c>
      <c r="D101" t="s">
        <v>31</v>
      </c>
      <c r="E101" t="s">
        <v>35</v>
      </c>
      <c r="F101" t="s">
        <v>26</v>
      </c>
      <c r="G101" t="s">
        <v>41</v>
      </c>
      <c r="H101" t="s">
        <v>28</v>
      </c>
      <c r="I101">
        <v>939</v>
      </c>
      <c r="J101">
        <v>906</v>
      </c>
      <c r="K101">
        <v>887</v>
      </c>
      <c r="L101">
        <v>66</v>
      </c>
      <c r="M101">
        <v>36</v>
      </c>
      <c r="N101">
        <v>4</v>
      </c>
      <c r="O101">
        <v>183.47</v>
      </c>
      <c r="P101">
        <v>5296.58</v>
      </c>
      <c r="Q101" s="5">
        <f t="shared" si="8"/>
        <v>0.97902869757174393</v>
      </c>
      <c r="R101" s="5">
        <f t="shared" si="9"/>
        <v>7.4408117249154457E-2</v>
      </c>
      <c r="S101" s="5">
        <f t="shared" si="10"/>
        <v>0.54545454545454541</v>
      </c>
      <c r="T101" s="5">
        <f t="shared" si="11"/>
        <v>0.1111111111111111</v>
      </c>
      <c r="U101" s="5">
        <f t="shared" si="12"/>
        <v>4.5095828635851182E-3</v>
      </c>
      <c r="V101" s="6">
        <f t="shared" si="13"/>
        <v>5.0963888888888889</v>
      </c>
      <c r="W101" s="7">
        <f t="shared" si="14"/>
        <v>2.7798484848484848</v>
      </c>
      <c r="X101" s="5">
        <f t="shared" si="15"/>
        <v>27.868915899057065</v>
      </c>
    </row>
    <row r="102" spans="1:24" x14ac:dyDescent="0.35">
      <c r="A102" s="3">
        <v>46037</v>
      </c>
      <c r="B102" t="s">
        <v>189</v>
      </c>
      <c r="C102" t="s">
        <v>190</v>
      </c>
      <c r="D102" t="s">
        <v>31</v>
      </c>
      <c r="E102" t="s">
        <v>19</v>
      </c>
      <c r="F102" t="s">
        <v>20</v>
      </c>
      <c r="G102" t="s">
        <v>21</v>
      </c>
      <c r="H102" t="s">
        <v>48</v>
      </c>
      <c r="I102">
        <v>1073</v>
      </c>
      <c r="J102">
        <v>978</v>
      </c>
      <c r="K102">
        <v>934</v>
      </c>
      <c r="L102">
        <v>16</v>
      </c>
      <c r="M102">
        <v>5</v>
      </c>
      <c r="N102">
        <v>0</v>
      </c>
      <c r="O102">
        <v>157.44</v>
      </c>
      <c r="P102">
        <v>0</v>
      </c>
      <c r="Q102" s="5">
        <f t="shared" si="8"/>
        <v>0.95501022494887522</v>
      </c>
      <c r="R102" s="5">
        <f t="shared" si="9"/>
        <v>1.7130620985010708E-2</v>
      </c>
      <c r="S102" s="5">
        <f t="shared" si="10"/>
        <v>0.3125</v>
      </c>
      <c r="T102" s="5">
        <f t="shared" si="11"/>
        <v>0</v>
      </c>
      <c r="U102" s="5">
        <f t="shared" si="12"/>
        <v>0</v>
      </c>
      <c r="V102" s="6">
        <f t="shared" si="13"/>
        <v>31.488</v>
      </c>
      <c r="W102" s="7">
        <f t="shared" si="14"/>
        <v>9.84</v>
      </c>
      <c r="X102" s="5">
        <f t="shared" si="15"/>
        <v>-1</v>
      </c>
    </row>
    <row r="103" spans="1:24" x14ac:dyDescent="0.35">
      <c r="A103" s="3">
        <v>46037</v>
      </c>
      <c r="B103" t="s">
        <v>191</v>
      </c>
      <c r="C103" t="s">
        <v>192</v>
      </c>
      <c r="D103" t="s">
        <v>18</v>
      </c>
      <c r="E103" t="s">
        <v>56</v>
      </c>
      <c r="F103" t="s">
        <v>26</v>
      </c>
      <c r="G103" t="s">
        <v>21</v>
      </c>
      <c r="H103" t="s">
        <v>28</v>
      </c>
      <c r="I103">
        <v>1597</v>
      </c>
      <c r="J103">
        <v>1426</v>
      </c>
      <c r="K103">
        <v>1263</v>
      </c>
      <c r="L103">
        <v>92</v>
      </c>
      <c r="M103">
        <v>63</v>
      </c>
      <c r="N103">
        <v>5</v>
      </c>
      <c r="O103">
        <v>186.99</v>
      </c>
      <c r="P103">
        <v>7536.68</v>
      </c>
      <c r="Q103" s="5">
        <f t="shared" si="8"/>
        <v>0.88569424964936883</v>
      </c>
      <c r="R103" s="5">
        <f t="shared" si="9"/>
        <v>7.2842438638163101E-2</v>
      </c>
      <c r="S103" s="5">
        <f t="shared" si="10"/>
        <v>0.68478260869565222</v>
      </c>
      <c r="T103" s="5">
        <f t="shared" si="11"/>
        <v>7.9365079365079361E-2</v>
      </c>
      <c r="U103" s="5">
        <f t="shared" si="12"/>
        <v>3.95882818685669E-3</v>
      </c>
      <c r="V103" s="6">
        <f t="shared" si="13"/>
        <v>2.9680952380952381</v>
      </c>
      <c r="W103" s="7">
        <f t="shared" si="14"/>
        <v>2.0325000000000002</v>
      </c>
      <c r="X103" s="5">
        <f t="shared" si="15"/>
        <v>39.305256965613133</v>
      </c>
    </row>
    <row r="104" spans="1:24" x14ac:dyDescent="0.35">
      <c r="A104" s="3">
        <v>46037</v>
      </c>
      <c r="B104" t="s">
        <v>176</v>
      </c>
      <c r="C104" t="s">
        <v>193</v>
      </c>
      <c r="D104" t="s">
        <v>31</v>
      </c>
      <c r="E104" t="s">
        <v>56</v>
      </c>
      <c r="F104" t="s">
        <v>26</v>
      </c>
      <c r="G104" t="s">
        <v>36</v>
      </c>
      <c r="H104" t="s">
        <v>28</v>
      </c>
      <c r="I104">
        <v>1716</v>
      </c>
      <c r="J104">
        <v>1381</v>
      </c>
      <c r="K104">
        <v>1340</v>
      </c>
      <c r="L104">
        <v>71</v>
      </c>
      <c r="M104">
        <v>39</v>
      </c>
      <c r="N104">
        <v>3</v>
      </c>
      <c r="O104">
        <v>277.99</v>
      </c>
      <c r="P104">
        <v>2494.0300000000002</v>
      </c>
      <c r="Q104" s="5">
        <f t="shared" si="8"/>
        <v>0.97031136857349742</v>
      </c>
      <c r="R104" s="5">
        <f t="shared" si="9"/>
        <v>5.2985074626865671E-2</v>
      </c>
      <c r="S104" s="5">
        <f t="shared" si="10"/>
        <v>0.54929577464788737</v>
      </c>
      <c r="T104" s="5">
        <f t="shared" si="11"/>
        <v>7.6923076923076927E-2</v>
      </c>
      <c r="U104" s="5">
        <f t="shared" si="12"/>
        <v>2.2388059701492539E-3</v>
      </c>
      <c r="V104" s="6">
        <f t="shared" si="13"/>
        <v>7.1279487179487182</v>
      </c>
      <c r="W104" s="7">
        <f t="shared" si="14"/>
        <v>3.9153521126760564</v>
      </c>
      <c r="X104" s="5">
        <f t="shared" si="15"/>
        <v>7.9716536566063523</v>
      </c>
    </row>
    <row r="105" spans="1:24" x14ac:dyDescent="0.35">
      <c r="A105" s="3">
        <v>46038</v>
      </c>
      <c r="B105" t="s">
        <v>122</v>
      </c>
      <c r="C105" t="s">
        <v>194</v>
      </c>
      <c r="D105" t="s">
        <v>18</v>
      </c>
      <c r="E105" t="s">
        <v>25</v>
      </c>
      <c r="F105" t="s">
        <v>26</v>
      </c>
      <c r="G105" t="s">
        <v>21</v>
      </c>
      <c r="H105" t="s">
        <v>28</v>
      </c>
      <c r="I105">
        <v>1022</v>
      </c>
      <c r="J105">
        <v>930</v>
      </c>
      <c r="K105">
        <v>833</v>
      </c>
      <c r="L105">
        <v>52</v>
      </c>
      <c r="M105">
        <v>34</v>
      </c>
      <c r="N105">
        <v>2</v>
      </c>
      <c r="O105">
        <v>104.87</v>
      </c>
      <c r="P105">
        <v>1785.29</v>
      </c>
      <c r="Q105" s="5">
        <f t="shared" si="8"/>
        <v>0.89569892473118284</v>
      </c>
      <c r="R105" s="5">
        <f t="shared" si="9"/>
        <v>6.2424969987995196E-2</v>
      </c>
      <c r="S105" s="5">
        <f t="shared" si="10"/>
        <v>0.65384615384615385</v>
      </c>
      <c r="T105" s="5">
        <f t="shared" si="11"/>
        <v>5.8823529411764705E-2</v>
      </c>
      <c r="U105" s="5">
        <f t="shared" si="12"/>
        <v>2.4009603841536613E-3</v>
      </c>
      <c r="V105" s="6">
        <f t="shared" si="13"/>
        <v>3.0844117647058824</v>
      </c>
      <c r="W105" s="7">
        <f t="shared" si="14"/>
        <v>2.0167307692307692</v>
      </c>
      <c r="X105" s="5">
        <f t="shared" si="15"/>
        <v>16.023839038809957</v>
      </c>
    </row>
    <row r="106" spans="1:24" x14ac:dyDescent="0.35">
      <c r="A106" s="3">
        <v>46038</v>
      </c>
      <c r="B106" t="s">
        <v>122</v>
      </c>
      <c r="C106" t="s">
        <v>195</v>
      </c>
      <c r="D106" t="s">
        <v>31</v>
      </c>
      <c r="E106" t="s">
        <v>25</v>
      </c>
      <c r="F106" t="s">
        <v>20</v>
      </c>
      <c r="G106" t="s">
        <v>27</v>
      </c>
      <c r="H106" t="s">
        <v>37</v>
      </c>
      <c r="I106">
        <v>2308</v>
      </c>
      <c r="J106">
        <v>2198</v>
      </c>
      <c r="K106">
        <v>2059</v>
      </c>
      <c r="L106">
        <v>42</v>
      </c>
      <c r="M106">
        <v>17</v>
      </c>
      <c r="N106">
        <v>1</v>
      </c>
      <c r="O106">
        <v>398.34</v>
      </c>
      <c r="P106">
        <v>1040.32</v>
      </c>
      <c r="Q106" s="5">
        <f t="shared" si="8"/>
        <v>0.93676069153776165</v>
      </c>
      <c r="R106" s="5">
        <f t="shared" si="9"/>
        <v>2.0398251578436135E-2</v>
      </c>
      <c r="S106" s="5">
        <f t="shared" si="10"/>
        <v>0.40476190476190477</v>
      </c>
      <c r="T106" s="5">
        <f t="shared" si="11"/>
        <v>5.8823529411764705E-2</v>
      </c>
      <c r="U106" s="5">
        <f t="shared" si="12"/>
        <v>4.8567265662943174E-4</v>
      </c>
      <c r="V106" s="6">
        <f t="shared" si="13"/>
        <v>23.431764705882351</v>
      </c>
      <c r="W106" s="7">
        <f t="shared" si="14"/>
        <v>9.4842857142857131</v>
      </c>
      <c r="X106" s="5">
        <f t="shared" si="15"/>
        <v>1.6116382989406037</v>
      </c>
    </row>
    <row r="107" spans="1:24" x14ac:dyDescent="0.35">
      <c r="A107" s="3">
        <v>46038</v>
      </c>
      <c r="B107" t="s">
        <v>196</v>
      </c>
      <c r="C107" t="s">
        <v>197</v>
      </c>
      <c r="D107" t="s">
        <v>34</v>
      </c>
      <c r="E107" t="s">
        <v>25</v>
      </c>
      <c r="F107" t="s">
        <v>26</v>
      </c>
      <c r="G107" t="s">
        <v>41</v>
      </c>
      <c r="H107" t="s">
        <v>22</v>
      </c>
      <c r="I107">
        <v>449</v>
      </c>
      <c r="J107">
        <v>383</v>
      </c>
      <c r="K107">
        <v>361</v>
      </c>
      <c r="L107">
        <v>16</v>
      </c>
      <c r="M107">
        <v>8</v>
      </c>
      <c r="N107">
        <v>0</v>
      </c>
      <c r="O107">
        <v>32.909999999999997</v>
      </c>
      <c r="P107">
        <v>0</v>
      </c>
      <c r="Q107" s="5">
        <f t="shared" si="8"/>
        <v>0.94255874673629247</v>
      </c>
      <c r="R107" s="5">
        <f t="shared" si="9"/>
        <v>4.4321329639889197E-2</v>
      </c>
      <c r="S107" s="5">
        <f t="shared" si="10"/>
        <v>0.5</v>
      </c>
      <c r="T107" s="5">
        <f t="shared" si="11"/>
        <v>0</v>
      </c>
      <c r="U107" s="5">
        <f t="shared" si="12"/>
        <v>0</v>
      </c>
      <c r="V107" s="6">
        <f t="shared" si="13"/>
        <v>4.1137499999999996</v>
      </c>
      <c r="W107" s="7">
        <f t="shared" si="14"/>
        <v>2.0568749999999998</v>
      </c>
      <c r="X107" s="5">
        <f t="shared" si="15"/>
        <v>-1</v>
      </c>
    </row>
    <row r="108" spans="1:24" x14ac:dyDescent="0.35">
      <c r="A108" s="3">
        <v>46038</v>
      </c>
      <c r="B108" t="s">
        <v>71</v>
      </c>
      <c r="C108" t="s">
        <v>198</v>
      </c>
      <c r="D108" t="s">
        <v>34</v>
      </c>
      <c r="E108" t="s">
        <v>35</v>
      </c>
      <c r="F108" t="s">
        <v>26</v>
      </c>
      <c r="G108" t="s">
        <v>36</v>
      </c>
      <c r="H108" t="s">
        <v>37</v>
      </c>
      <c r="I108">
        <v>2334</v>
      </c>
      <c r="J108">
        <v>1766</v>
      </c>
      <c r="K108">
        <v>1693</v>
      </c>
      <c r="L108">
        <v>167</v>
      </c>
      <c r="M108">
        <v>104</v>
      </c>
      <c r="N108">
        <v>11</v>
      </c>
      <c r="O108">
        <v>127.42</v>
      </c>
      <c r="P108">
        <v>16803.61</v>
      </c>
      <c r="Q108" s="5">
        <f t="shared" si="8"/>
        <v>0.95866364665911663</v>
      </c>
      <c r="R108" s="5">
        <f t="shared" si="9"/>
        <v>9.8641464855286479E-2</v>
      </c>
      <c r="S108" s="5">
        <f t="shared" si="10"/>
        <v>0.6227544910179641</v>
      </c>
      <c r="T108" s="5">
        <f t="shared" si="11"/>
        <v>0.10576923076923077</v>
      </c>
      <c r="U108" s="5">
        <f t="shared" si="12"/>
        <v>6.4973419964559952E-3</v>
      </c>
      <c r="V108" s="6">
        <f t="shared" si="13"/>
        <v>1.2251923076923077</v>
      </c>
      <c r="W108" s="7">
        <f t="shared" si="14"/>
        <v>0.76299401197604788</v>
      </c>
      <c r="X108" s="5">
        <f t="shared" si="15"/>
        <v>130.87576518599909</v>
      </c>
    </row>
    <row r="109" spans="1:24" x14ac:dyDescent="0.35">
      <c r="A109" s="3">
        <v>46038</v>
      </c>
      <c r="B109" t="s">
        <v>173</v>
      </c>
      <c r="C109" t="s">
        <v>199</v>
      </c>
      <c r="D109" t="s">
        <v>18</v>
      </c>
      <c r="E109" t="s">
        <v>56</v>
      </c>
      <c r="F109" t="s">
        <v>26</v>
      </c>
      <c r="G109" t="s">
        <v>59</v>
      </c>
      <c r="H109" t="s">
        <v>48</v>
      </c>
      <c r="I109">
        <v>4829</v>
      </c>
      <c r="J109">
        <v>4394</v>
      </c>
      <c r="K109">
        <v>3929</v>
      </c>
      <c r="L109">
        <v>332</v>
      </c>
      <c r="M109">
        <v>203</v>
      </c>
      <c r="N109">
        <v>16</v>
      </c>
      <c r="O109">
        <v>547.04</v>
      </c>
      <c r="P109">
        <v>13127.31</v>
      </c>
      <c r="Q109" s="5">
        <f t="shared" si="8"/>
        <v>0.89417387346381427</v>
      </c>
      <c r="R109" s="5">
        <f t="shared" si="9"/>
        <v>8.4499872741155516E-2</v>
      </c>
      <c r="S109" s="5">
        <f t="shared" si="10"/>
        <v>0.61144578313253017</v>
      </c>
      <c r="T109" s="5">
        <f t="shared" si="11"/>
        <v>7.8817733990147784E-2</v>
      </c>
      <c r="U109" s="5">
        <f t="shared" si="12"/>
        <v>4.0722830236701452E-3</v>
      </c>
      <c r="V109" s="6">
        <f t="shared" si="13"/>
        <v>2.6947783251231527</v>
      </c>
      <c r="W109" s="7">
        <f t="shared" si="14"/>
        <v>1.6477108433734939</v>
      </c>
      <c r="X109" s="5">
        <f t="shared" si="15"/>
        <v>22.996983767183391</v>
      </c>
    </row>
    <row r="110" spans="1:24" x14ac:dyDescent="0.35">
      <c r="A110" s="3">
        <v>46038</v>
      </c>
      <c r="B110" t="s">
        <v>73</v>
      </c>
      <c r="C110" t="s">
        <v>200</v>
      </c>
      <c r="D110" t="s">
        <v>18</v>
      </c>
      <c r="E110" t="s">
        <v>56</v>
      </c>
      <c r="F110" t="s">
        <v>20</v>
      </c>
      <c r="G110" t="s">
        <v>41</v>
      </c>
      <c r="H110" t="s">
        <v>37</v>
      </c>
      <c r="I110">
        <v>2208</v>
      </c>
      <c r="J110">
        <v>1704</v>
      </c>
      <c r="K110">
        <v>1505</v>
      </c>
      <c r="L110">
        <v>85</v>
      </c>
      <c r="M110">
        <v>41</v>
      </c>
      <c r="N110">
        <v>2</v>
      </c>
      <c r="O110">
        <v>221.33</v>
      </c>
      <c r="P110">
        <v>1680.1</v>
      </c>
      <c r="Q110" s="5">
        <f t="shared" si="8"/>
        <v>0.88321596244131451</v>
      </c>
      <c r="R110" s="5">
        <f t="shared" si="9"/>
        <v>5.647840531561462E-2</v>
      </c>
      <c r="S110" s="5">
        <f t="shared" si="10"/>
        <v>0.4823529411764706</v>
      </c>
      <c r="T110" s="5">
        <f t="shared" si="11"/>
        <v>4.878048780487805E-2</v>
      </c>
      <c r="U110" s="5">
        <f t="shared" si="12"/>
        <v>1.3289036544850499E-3</v>
      </c>
      <c r="V110" s="6">
        <f t="shared" si="13"/>
        <v>5.3982926829268294</v>
      </c>
      <c r="W110" s="7">
        <f t="shared" si="14"/>
        <v>2.6038823529411768</v>
      </c>
      <c r="X110" s="5">
        <f t="shared" si="15"/>
        <v>6.5909275742104549</v>
      </c>
    </row>
    <row r="111" spans="1:24" x14ac:dyDescent="0.35">
      <c r="A111" s="3">
        <v>46038</v>
      </c>
      <c r="B111" t="s">
        <v>201</v>
      </c>
      <c r="C111" t="s">
        <v>202</v>
      </c>
      <c r="D111" t="s">
        <v>18</v>
      </c>
      <c r="E111" t="s">
        <v>25</v>
      </c>
      <c r="F111" t="s">
        <v>20</v>
      </c>
      <c r="G111" t="s">
        <v>27</v>
      </c>
      <c r="H111" t="s">
        <v>28</v>
      </c>
      <c r="I111">
        <v>3690</v>
      </c>
      <c r="J111">
        <v>3031</v>
      </c>
      <c r="K111">
        <v>2763</v>
      </c>
      <c r="L111">
        <v>124</v>
      </c>
      <c r="M111">
        <v>62</v>
      </c>
      <c r="N111">
        <v>1</v>
      </c>
      <c r="O111">
        <v>392.37</v>
      </c>
      <c r="P111">
        <v>1320.6</v>
      </c>
      <c r="Q111" s="5">
        <f t="shared" si="8"/>
        <v>0.91158033652259984</v>
      </c>
      <c r="R111" s="5">
        <f t="shared" si="9"/>
        <v>4.4878754976474845E-2</v>
      </c>
      <c r="S111" s="5">
        <f t="shared" si="10"/>
        <v>0.5</v>
      </c>
      <c r="T111" s="5">
        <f t="shared" si="11"/>
        <v>1.6129032258064516E-2</v>
      </c>
      <c r="U111" s="5">
        <f t="shared" si="12"/>
        <v>3.6192544335866811E-4</v>
      </c>
      <c r="V111" s="6">
        <f t="shared" si="13"/>
        <v>6.3285483870967747</v>
      </c>
      <c r="W111" s="7">
        <f t="shared" si="14"/>
        <v>3.1642741935483873</v>
      </c>
      <c r="X111" s="5">
        <f t="shared" si="15"/>
        <v>2.3657007416469145</v>
      </c>
    </row>
    <row r="112" spans="1:24" x14ac:dyDescent="0.35">
      <c r="A112" s="3">
        <v>46038</v>
      </c>
      <c r="B112" t="s">
        <v>203</v>
      </c>
      <c r="C112" t="s">
        <v>204</v>
      </c>
      <c r="D112" t="s">
        <v>34</v>
      </c>
      <c r="E112" t="s">
        <v>56</v>
      </c>
      <c r="F112" t="s">
        <v>20</v>
      </c>
      <c r="G112" t="s">
        <v>27</v>
      </c>
      <c r="H112" t="s">
        <v>28</v>
      </c>
      <c r="I112">
        <v>429</v>
      </c>
      <c r="J112">
        <v>328</v>
      </c>
      <c r="K112">
        <v>317</v>
      </c>
      <c r="L112">
        <v>15</v>
      </c>
      <c r="M112">
        <v>7</v>
      </c>
      <c r="N112">
        <v>0</v>
      </c>
      <c r="O112">
        <v>28.45</v>
      </c>
      <c r="P112">
        <v>0</v>
      </c>
      <c r="Q112" s="5">
        <f t="shared" si="8"/>
        <v>0.96646341463414631</v>
      </c>
      <c r="R112" s="5">
        <f t="shared" si="9"/>
        <v>4.7318611987381701E-2</v>
      </c>
      <c r="S112" s="5">
        <f t="shared" si="10"/>
        <v>0.46666666666666667</v>
      </c>
      <c r="T112" s="5">
        <f t="shared" si="11"/>
        <v>0</v>
      </c>
      <c r="U112" s="5">
        <f t="shared" si="12"/>
        <v>0</v>
      </c>
      <c r="V112" s="6">
        <f t="shared" si="13"/>
        <v>4.0642857142857141</v>
      </c>
      <c r="W112" s="7">
        <f t="shared" si="14"/>
        <v>1.8966666666666667</v>
      </c>
      <c r="X112" s="5">
        <f t="shared" si="15"/>
        <v>-1</v>
      </c>
    </row>
    <row r="113" spans="1:24" x14ac:dyDescent="0.35">
      <c r="A113" s="3">
        <v>46039</v>
      </c>
      <c r="B113" t="s">
        <v>159</v>
      </c>
      <c r="C113" t="s">
        <v>205</v>
      </c>
      <c r="D113" t="s">
        <v>34</v>
      </c>
      <c r="E113" t="s">
        <v>25</v>
      </c>
      <c r="F113" t="s">
        <v>20</v>
      </c>
      <c r="G113" t="s">
        <v>41</v>
      </c>
      <c r="H113" t="s">
        <v>37</v>
      </c>
      <c r="I113">
        <v>2224</v>
      </c>
      <c r="J113">
        <v>1919</v>
      </c>
      <c r="K113">
        <v>1783</v>
      </c>
      <c r="L113">
        <v>61</v>
      </c>
      <c r="M113">
        <v>31</v>
      </c>
      <c r="N113">
        <v>1</v>
      </c>
      <c r="O113">
        <v>170.74</v>
      </c>
      <c r="P113">
        <v>812.38</v>
      </c>
      <c r="Q113" s="5">
        <f t="shared" si="8"/>
        <v>0.92912975508077122</v>
      </c>
      <c r="R113" s="5">
        <f t="shared" si="9"/>
        <v>3.4212002243409985E-2</v>
      </c>
      <c r="S113" s="5">
        <f t="shared" si="10"/>
        <v>0.50819672131147542</v>
      </c>
      <c r="T113" s="5">
        <f t="shared" si="11"/>
        <v>3.2258064516129031E-2</v>
      </c>
      <c r="U113" s="5">
        <f t="shared" si="12"/>
        <v>5.6085249579360629E-4</v>
      </c>
      <c r="V113" s="6">
        <f t="shared" si="13"/>
        <v>5.507741935483871</v>
      </c>
      <c r="W113" s="7">
        <f t="shared" si="14"/>
        <v>2.7990163934426233</v>
      </c>
      <c r="X113" s="5">
        <f t="shared" si="15"/>
        <v>3.7579946116902891</v>
      </c>
    </row>
    <row r="114" spans="1:24" x14ac:dyDescent="0.35">
      <c r="A114" s="3">
        <v>46039</v>
      </c>
      <c r="B114" t="s">
        <v>127</v>
      </c>
      <c r="C114" t="s">
        <v>206</v>
      </c>
      <c r="D114" t="s">
        <v>18</v>
      </c>
      <c r="E114" t="s">
        <v>56</v>
      </c>
      <c r="F114" t="s">
        <v>20</v>
      </c>
      <c r="G114" t="s">
        <v>36</v>
      </c>
      <c r="H114" t="s">
        <v>37</v>
      </c>
      <c r="I114">
        <v>2964</v>
      </c>
      <c r="J114">
        <v>2736</v>
      </c>
      <c r="K114">
        <v>2528</v>
      </c>
      <c r="L114">
        <v>119</v>
      </c>
      <c r="M114">
        <v>62</v>
      </c>
      <c r="N114">
        <v>2</v>
      </c>
      <c r="O114">
        <v>382.96</v>
      </c>
      <c r="P114">
        <v>1812.29</v>
      </c>
      <c r="Q114" s="5">
        <f t="shared" si="8"/>
        <v>0.92397660818713445</v>
      </c>
      <c r="R114" s="5">
        <f t="shared" si="9"/>
        <v>4.7072784810126583E-2</v>
      </c>
      <c r="S114" s="5">
        <f t="shared" si="10"/>
        <v>0.52100840336134457</v>
      </c>
      <c r="T114" s="5">
        <f t="shared" si="11"/>
        <v>3.2258064516129031E-2</v>
      </c>
      <c r="U114" s="5">
        <f t="shared" si="12"/>
        <v>7.911392405063291E-4</v>
      </c>
      <c r="V114" s="6">
        <f t="shared" si="13"/>
        <v>6.1767741935483871</v>
      </c>
      <c r="W114" s="7">
        <f t="shared" si="14"/>
        <v>3.2181512605042015</v>
      </c>
      <c r="X114" s="5">
        <f t="shared" si="15"/>
        <v>3.7323219135157717</v>
      </c>
    </row>
    <row r="115" spans="1:24" x14ac:dyDescent="0.35">
      <c r="A115" s="3">
        <v>46039</v>
      </c>
      <c r="B115" t="s">
        <v>207</v>
      </c>
      <c r="C115" t="s">
        <v>208</v>
      </c>
      <c r="D115" t="s">
        <v>34</v>
      </c>
      <c r="E115" t="s">
        <v>25</v>
      </c>
      <c r="F115" t="s">
        <v>26</v>
      </c>
      <c r="G115" t="s">
        <v>27</v>
      </c>
      <c r="H115" t="s">
        <v>48</v>
      </c>
      <c r="I115">
        <v>4809</v>
      </c>
      <c r="J115">
        <v>3837</v>
      </c>
      <c r="K115">
        <v>3699</v>
      </c>
      <c r="L115">
        <v>149</v>
      </c>
      <c r="M115">
        <v>83</v>
      </c>
      <c r="N115">
        <v>5</v>
      </c>
      <c r="O115">
        <v>294.19</v>
      </c>
      <c r="P115">
        <v>7561.41</v>
      </c>
      <c r="Q115" s="5">
        <f t="shared" si="8"/>
        <v>0.96403440187646594</v>
      </c>
      <c r="R115" s="5">
        <f t="shared" si="9"/>
        <v>4.0281157069478241E-2</v>
      </c>
      <c r="S115" s="5">
        <f t="shared" si="10"/>
        <v>0.55704697986577179</v>
      </c>
      <c r="T115" s="5">
        <f t="shared" si="11"/>
        <v>6.0240963855421686E-2</v>
      </c>
      <c r="U115" s="5">
        <f t="shared" si="12"/>
        <v>1.3517166801838335E-3</v>
      </c>
      <c r="V115" s="6">
        <f t="shared" si="13"/>
        <v>3.544457831325301</v>
      </c>
      <c r="W115" s="7">
        <f t="shared" si="14"/>
        <v>1.9744295302013424</v>
      </c>
      <c r="X115" s="5">
        <f t="shared" si="15"/>
        <v>24.702471192086747</v>
      </c>
    </row>
    <row r="116" spans="1:24" x14ac:dyDescent="0.35">
      <c r="A116" s="3">
        <v>46039</v>
      </c>
      <c r="B116" t="s">
        <v>173</v>
      </c>
      <c r="C116" t="s">
        <v>209</v>
      </c>
      <c r="D116" t="s">
        <v>34</v>
      </c>
      <c r="E116" t="s">
        <v>25</v>
      </c>
      <c r="F116" t="s">
        <v>26</v>
      </c>
      <c r="G116" t="s">
        <v>27</v>
      </c>
      <c r="H116" t="s">
        <v>48</v>
      </c>
      <c r="I116">
        <v>892</v>
      </c>
      <c r="J116">
        <v>849</v>
      </c>
      <c r="K116">
        <v>818</v>
      </c>
      <c r="L116">
        <v>40</v>
      </c>
      <c r="M116">
        <v>22</v>
      </c>
      <c r="N116">
        <v>1</v>
      </c>
      <c r="O116">
        <v>58.45</v>
      </c>
      <c r="P116">
        <v>1532.73</v>
      </c>
      <c r="Q116" s="5">
        <f t="shared" si="8"/>
        <v>0.96348645465253235</v>
      </c>
      <c r="R116" s="5">
        <f t="shared" si="9"/>
        <v>4.8899755501222497E-2</v>
      </c>
      <c r="S116" s="5">
        <f t="shared" si="10"/>
        <v>0.55000000000000004</v>
      </c>
      <c r="T116" s="5">
        <f t="shared" si="11"/>
        <v>4.5454545454545456E-2</v>
      </c>
      <c r="U116" s="5">
        <f t="shared" si="12"/>
        <v>1.2224938875305623E-3</v>
      </c>
      <c r="V116" s="6">
        <f t="shared" si="13"/>
        <v>2.6568181818181817</v>
      </c>
      <c r="W116" s="7">
        <f t="shared" si="14"/>
        <v>1.4612500000000002</v>
      </c>
      <c r="X116" s="5">
        <f t="shared" si="15"/>
        <v>25.222925577416593</v>
      </c>
    </row>
    <row r="117" spans="1:24" x14ac:dyDescent="0.35">
      <c r="A117" s="3">
        <v>46039</v>
      </c>
      <c r="B117" t="s">
        <v>101</v>
      </c>
      <c r="C117" t="s">
        <v>210</v>
      </c>
      <c r="D117" t="s">
        <v>18</v>
      </c>
      <c r="E117" t="s">
        <v>35</v>
      </c>
      <c r="F117" t="s">
        <v>20</v>
      </c>
      <c r="G117" t="s">
        <v>27</v>
      </c>
      <c r="H117" t="s">
        <v>51</v>
      </c>
      <c r="I117">
        <v>1318</v>
      </c>
      <c r="J117">
        <v>1104</v>
      </c>
      <c r="K117">
        <v>992</v>
      </c>
      <c r="L117">
        <v>90</v>
      </c>
      <c r="M117">
        <v>44</v>
      </c>
      <c r="N117">
        <v>3</v>
      </c>
      <c r="O117">
        <v>144.68</v>
      </c>
      <c r="P117">
        <v>3961.69</v>
      </c>
      <c r="Q117" s="5">
        <f t="shared" si="8"/>
        <v>0.89855072463768115</v>
      </c>
      <c r="R117" s="5">
        <f t="shared" si="9"/>
        <v>9.0725806451612906E-2</v>
      </c>
      <c r="S117" s="5">
        <f t="shared" si="10"/>
        <v>0.48888888888888887</v>
      </c>
      <c r="T117" s="5">
        <f t="shared" si="11"/>
        <v>6.8181818181818177E-2</v>
      </c>
      <c r="U117" s="5">
        <f t="shared" si="12"/>
        <v>3.0241935483870967E-3</v>
      </c>
      <c r="V117" s="6">
        <f t="shared" si="13"/>
        <v>3.2881818181818185</v>
      </c>
      <c r="W117" s="7">
        <f t="shared" si="14"/>
        <v>1.6075555555555556</v>
      </c>
      <c r="X117" s="5">
        <f t="shared" si="15"/>
        <v>26.382430190765827</v>
      </c>
    </row>
    <row r="118" spans="1:24" x14ac:dyDescent="0.35">
      <c r="A118" s="3">
        <v>46039</v>
      </c>
      <c r="B118" t="s">
        <v>118</v>
      </c>
      <c r="C118" t="s">
        <v>211</v>
      </c>
      <c r="D118" t="s">
        <v>40</v>
      </c>
      <c r="E118" t="s">
        <v>19</v>
      </c>
      <c r="F118" t="s">
        <v>20</v>
      </c>
      <c r="G118" t="s">
        <v>41</v>
      </c>
      <c r="H118" t="s">
        <v>22</v>
      </c>
      <c r="I118">
        <v>1403</v>
      </c>
      <c r="J118">
        <v>1283</v>
      </c>
      <c r="K118">
        <v>1170</v>
      </c>
      <c r="L118">
        <v>27</v>
      </c>
      <c r="M118">
        <v>13</v>
      </c>
      <c r="N118">
        <v>0</v>
      </c>
      <c r="O118">
        <v>166.73</v>
      </c>
      <c r="P118">
        <v>0</v>
      </c>
      <c r="Q118" s="5">
        <f t="shared" si="8"/>
        <v>0.91192517537022599</v>
      </c>
      <c r="R118" s="5">
        <f t="shared" si="9"/>
        <v>2.3076923076923078E-2</v>
      </c>
      <c r="S118" s="5">
        <f t="shared" si="10"/>
        <v>0.48148148148148145</v>
      </c>
      <c r="T118" s="5">
        <f t="shared" si="11"/>
        <v>0</v>
      </c>
      <c r="U118" s="5">
        <f t="shared" si="12"/>
        <v>0</v>
      </c>
      <c r="V118" s="6">
        <f t="shared" si="13"/>
        <v>12.825384615384614</v>
      </c>
      <c r="W118" s="7">
        <f t="shared" si="14"/>
        <v>6.1751851851851844</v>
      </c>
      <c r="X118" s="5">
        <f t="shared" si="15"/>
        <v>-1</v>
      </c>
    </row>
    <row r="119" spans="1:24" x14ac:dyDescent="0.35">
      <c r="A119" s="3">
        <v>46039</v>
      </c>
      <c r="B119" t="s">
        <v>212</v>
      </c>
      <c r="C119" t="s">
        <v>213</v>
      </c>
      <c r="D119" t="s">
        <v>34</v>
      </c>
      <c r="E119" t="s">
        <v>35</v>
      </c>
      <c r="F119" t="s">
        <v>26</v>
      </c>
      <c r="G119" t="s">
        <v>36</v>
      </c>
      <c r="H119" t="s">
        <v>22</v>
      </c>
      <c r="I119">
        <v>3065</v>
      </c>
      <c r="J119">
        <v>2734</v>
      </c>
      <c r="K119">
        <v>2537</v>
      </c>
      <c r="L119">
        <v>283</v>
      </c>
      <c r="M119">
        <v>149</v>
      </c>
      <c r="N119">
        <v>9</v>
      </c>
      <c r="O119">
        <v>217.68</v>
      </c>
      <c r="P119">
        <v>13438.11</v>
      </c>
      <c r="Q119" s="5">
        <f t="shared" si="8"/>
        <v>0.92794440380395027</v>
      </c>
      <c r="R119" s="5">
        <f t="shared" si="9"/>
        <v>0.11154907370910525</v>
      </c>
      <c r="S119" s="5">
        <f t="shared" si="10"/>
        <v>0.52650176678445226</v>
      </c>
      <c r="T119" s="5">
        <f t="shared" si="11"/>
        <v>6.0402684563758392E-2</v>
      </c>
      <c r="U119" s="5">
        <f t="shared" si="12"/>
        <v>3.5474970437524636E-3</v>
      </c>
      <c r="V119" s="6">
        <f t="shared" si="13"/>
        <v>1.4609395973154362</v>
      </c>
      <c r="W119" s="7">
        <f t="shared" si="14"/>
        <v>0.76918727915194351</v>
      </c>
      <c r="X119" s="5">
        <f t="shared" si="15"/>
        <v>60.733324145534731</v>
      </c>
    </row>
    <row r="120" spans="1:24" x14ac:dyDescent="0.35">
      <c r="A120" s="3">
        <v>46039</v>
      </c>
      <c r="B120" t="s">
        <v>212</v>
      </c>
      <c r="C120" t="s">
        <v>214</v>
      </c>
      <c r="D120" t="s">
        <v>40</v>
      </c>
      <c r="E120" t="s">
        <v>56</v>
      </c>
      <c r="F120" t="s">
        <v>26</v>
      </c>
      <c r="G120" t="s">
        <v>21</v>
      </c>
      <c r="H120" t="s">
        <v>22</v>
      </c>
      <c r="I120">
        <v>4938</v>
      </c>
      <c r="J120">
        <v>3917</v>
      </c>
      <c r="K120">
        <v>3627</v>
      </c>
      <c r="L120">
        <v>226</v>
      </c>
      <c r="M120">
        <v>138</v>
      </c>
      <c r="N120">
        <v>11</v>
      </c>
      <c r="O120">
        <v>633.08000000000004</v>
      </c>
      <c r="P120">
        <v>14885.81</v>
      </c>
      <c r="Q120" s="5">
        <f t="shared" si="8"/>
        <v>0.92596374776614754</v>
      </c>
      <c r="R120" s="5">
        <f t="shared" si="9"/>
        <v>6.2310449407223599E-2</v>
      </c>
      <c r="S120" s="5">
        <f t="shared" si="10"/>
        <v>0.61061946902654862</v>
      </c>
      <c r="T120" s="5">
        <f t="shared" si="11"/>
        <v>7.9710144927536225E-2</v>
      </c>
      <c r="U120" s="5">
        <f t="shared" si="12"/>
        <v>3.0328094844223876E-3</v>
      </c>
      <c r="V120" s="6">
        <f t="shared" si="13"/>
        <v>4.5875362318840587</v>
      </c>
      <c r="W120" s="7">
        <f t="shared" si="14"/>
        <v>2.8012389380530975</v>
      </c>
      <c r="X120" s="5">
        <f t="shared" si="15"/>
        <v>22.513315852656849</v>
      </c>
    </row>
    <row r="121" spans="1:24" x14ac:dyDescent="0.35">
      <c r="A121" s="3">
        <v>46039</v>
      </c>
      <c r="B121" t="s">
        <v>215</v>
      </c>
      <c r="C121" t="s">
        <v>216</v>
      </c>
      <c r="D121" t="s">
        <v>31</v>
      </c>
      <c r="E121" t="s">
        <v>25</v>
      </c>
      <c r="F121" t="s">
        <v>20</v>
      </c>
      <c r="G121" t="s">
        <v>59</v>
      </c>
      <c r="H121" t="s">
        <v>37</v>
      </c>
      <c r="I121">
        <v>1111</v>
      </c>
      <c r="J121">
        <v>982</v>
      </c>
      <c r="K121">
        <v>939</v>
      </c>
      <c r="L121">
        <v>10</v>
      </c>
      <c r="M121">
        <v>4</v>
      </c>
      <c r="N121">
        <v>0</v>
      </c>
      <c r="O121">
        <v>152.21</v>
      </c>
      <c r="P121">
        <v>0</v>
      </c>
      <c r="Q121" s="5">
        <f t="shared" si="8"/>
        <v>0.95621181262729127</v>
      </c>
      <c r="R121" s="5">
        <f t="shared" si="9"/>
        <v>1.0649627263045794E-2</v>
      </c>
      <c r="S121" s="5">
        <f t="shared" si="10"/>
        <v>0.4</v>
      </c>
      <c r="T121" s="5">
        <f t="shared" si="11"/>
        <v>0</v>
      </c>
      <c r="U121" s="5">
        <f t="shared" si="12"/>
        <v>0</v>
      </c>
      <c r="V121" s="6">
        <f t="shared" si="13"/>
        <v>38.052500000000002</v>
      </c>
      <c r="W121" s="7">
        <f t="shared" si="14"/>
        <v>15.221</v>
      </c>
      <c r="X121" s="5">
        <f t="shared" si="15"/>
        <v>-1</v>
      </c>
    </row>
    <row r="122" spans="1:24" x14ac:dyDescent="0.35">
      <c r="A122" s="3">
        <v>46040</v>
      </c>
      <c r="B122" t="s">
        <v>110</v>
      </c>
      <c r="C122" t="s">
        <v>217</v>
      </c>
      <c r="D122" t="s">
        <v>34</v>
      </c>
      <c r="E122" t="s">
        <v>56</v>
      </c>
      <c r="F122" t="s">
        <v>20</v>
      </c>
      <c r="G122" t="s">
        <v>41</v>
      </c>
      <c r="H122" t="s">
        <v>51</v>
      </c>
      <c r="I122">
        <v>4225</v>
      </c>
      <c r="J122">
        <v>3416</v>
      </c>
      <c r="K122">
        <v>3181</v>
      </c>
      <c r="L122">
        <v>170</v>
      </c>
      <c r="M122">
        <v>82</v>
      </c>
      <c r="N122">
        <v>5</v>
      </c>
      <c r="O122">
        <v>297.64</v>
      </c>
      <c r="P122">
        <v>5176.21</v>
      </c>
      <c r="Q122" s="5">
        <f t="shared" si="8"/>
        <v>0.93120608899297419</v>
      </c>
      <c r="R122" s="5">
        <f t="shared" si="9"/>
        <v>5.3442313737818298E-2</v>
      </c>
      <c r="S122" s="5">
        <f t="shared" si="10"/>
        <v>0.4823529411764706</v>
      </c>
      <c r="T122" s="5">
        <f t="shared" si="11"/>
        <v>6.097560975609756E-2</v>
      </c>
      <c r="U122" s="5">
        <f t="shared" si="12"/>
        <v>1.5718327569946558E-3</v>
      </c>
      <c r="V122" s="6">
        <f t="shared" si="13"/>
        <v>3.6297560975609753</v>
      </c>
      <c r="W122" s="7">
        <f t="shared" si="14"/>
        <v>1.7508235294117647</v>
      </c>
      <c r="X122" s="5">
        <f t="shared" si="15"/>
        <v>16.390841284773551</v>
      </c>
    </row>
    <row r="123" spans="1:24" x14ac:dyDescent="0.35">
      <c r="A123" s="3">
        <v>46040</v>
      </c>
      <c r="B123" t="s">
        <v>191</v>
      </c>
      <c r="C123" t="s">
        <v>218</v>
      </c>
      <c r="D123" t="s">
        <v>34</v>
      </c>
      <c r="E123" t="s">
        <v>56</v>
      </c>
      <c r="F123" t="s">
        <v>26</v>
      </c>
      <c r="G123" t="s">
        <v>36</v>
      </c>
      <c r="H123" t="s">
        <v>51</v>
      </c>
      <c r="I123">
        <v>2294</v>
      </c>
      <c r="J123">
        <v>1753</v>
      </c>
      <c r="K123">
        <v>1662</v>
      </c>
      <c r="L123">
        <v>105</v>
      </c>
      <c r="M123">
        <v>61</v>
      </c>
      <c r="N123">
        <v>4</v>
      </c>
      <c r="O123">
        <v>137.83000000000001</v>
      </c>
      <c r="P123">
        <v>4558.6400000000003</v>
      </c>
      <c r="Q123" s="5">
        <f t="shared" si="8"/>
        <v>0.94808899030233884</v>
      </c>
      <c r="R123" s="5">
        <f t="shared" si="9"/>
        <v>6.3176895306859202E-2</v>
      </c>
      <c r="S123" s="5">
        <f t="shared" si="10"/>
        <v>0.580952380952381</v>
      </c>
      <c r="T123" s="5">
        <f t="shared" si="11"/>
        <v>6.5573770491803282E-2</v>
      </c>
      <c r="U123" s="5">
        <f t="shared" si="12"/>
        <v>2.4067388688327317E-3</v>
      </c>
      <c r="V123" s="6">
        <f t="shared" si="13"/>
        <v>2.2595081967213115</v>
      </c>
      <c r="W123" s="7">
        <f t="shared" si="14"/>
        <v>1.3126666666666669</v>
      </c>
      <c r="X123" s="5">
        <f t="shared" si="15"/>
        <v>32.074366973808317</v>
      </c>
    </row>
    <row r="124" spans="1:24" x14ac:dyDescent="0.35">
      <c r="A124" s="3">
        <v>46041</v>
      </c>
      <c r="B124" t="s">
        <v>42</v>
      </c>
      <c r="C124" t="s">
        <v>219</v>
      </c>
      <c r="D124" t="s">
        <v>40</v>
      </c>
      <c r="E124" t="s">
        <v>19</v>
      </c>
      <c r="F124" t="s">
        <v>20</v>
      </c>
      <c r="G124" t="s">
        <v>36</v>
      </c>
      <c r="H124" t="s">
        <v>48</v>
      </c>
      <c r="I124">
        <v>2310</v>
      </c>
      <c r="J124">
        <v>1742</v>
      </c>
      <c r="K124">
        <v>1596</v>
      </c>
      <c r="L124">
        <v>43</v>
      </c>
      <c r="M124">
        <v>18</v>
      </c>
      <c r="N124">
        <v>0</v>
      </c>
      <c r="O124">
        <v>284.92</v>
      </c>
      <c r="P124">
        <v>0</v>
      </c>
      <c r="Q124" s="5">
        <f t="shared" si="8"/>
        <v>0.91618828932261764</v>
      </c>
      <c r="R124" s="5">
        <f t="shared" si="9"/>
        <v>2.6942355889724309E-2</v>
      </c>
      <c r="S124" s="5">
        <f t="shared" si="10"/>
        <v>0.41860465116279072</v>
      </c>
      <c r="T124" s="5">
        <f t="shared" si="11"/>
        <v>0</v>
      </c>
      <c r="U124" s="5">
        <f t="shared" si="12"/>
        <v>0</v>
      </c>
      <c r="V124" s="6">
        <f t="shared" si="13"/>
        <v>15.828888888888891</v>
      </c>
      <c r="W124" s="7">
        <f t="shared" si="14"/>
        <v>6.6260465116279077</v>
      </c>
      <c r="X124" s="5">
        <f t="shared" si="15"/>
        <v>-1</v>
      </c>
    </row>
    <row r="125" spans="1:24" x14ac:dyDescent="0.35">
      <c r="A125" s="3">
        <v>46041</v>
      </c>
      <c r="B125" t="s">
        <v>44</v>
      </c>
      <c r="C125" t="s">
        <v>220</v>
      </c>
      <c r="D125" t="s">
        <v>40</v>
      </c>
      <c r="E125" t="s">
        <v>35</v>
      </c>
      <c r="F125" t="s">
        <v>20</v>
      </c>
      <c r="G125" t="s">
        <v>41</v>
      </c>
      <c r="H125" t="s">
        <v>51</v>
      </c>
      <c r="I125">
        <v>1464</v>
      </c>
      <c r="J125">
        <v>1340</v>
      </c>
      <c r="K125">
        <v>1223</v>
      </c>
      <c r="L125">
        <v>85</v>
      </c>
      <c r="M125">
        <v>32</v>
      </c>
      <c r="N125">
        <v>2</v>
      </c>
      <c r="O125">
        <v>189.94</v>
      </c>
      <c r="P125">
        <v>2613.34</v>
      </c>
      <c r="Q125" s="5">
        <f t="shared" si="8"/>
        <v>0.91268656716417906</v>
      </c>
      <c r="R125" s="5">
        <f t="shared" si="9"/>
        <v>6.9501226492232213E-2</v>
      </c>
      <c r="S125" s="5">
        <f t="shared" si="10"/>
        <v>0.37647058823529411</v>
      </c>
      <c r="T125" s="5">
        <f t="shared" si="11"/>
        <v>6.25E-2</v>
      </c>
      <c r="U125" s="5">
        <f t="shared" si="12"/>
        <v>1.6353229762878169E-3</v>
      </c>
      <c r="V125" s="6">
        <f t="shared" si="13"/>
        <v>5.9356249999999999</v>
      </c>
      <c r="W125" s="7">
        <f t="shared" si="14"/>
        <v>2.2345882352941175</v>
      </c>
      <c r="X125" s="5">
        <f t="shared" si="15"/>
        <v>12.758765926081921</v>
      </c>
    </row>
    <row r="126" spans="1:24" x14ac:dyDescent="0.35">
      <c r="A126" s="3">
        <v>46041</v>
      </c>
      <c r="B126" t="s">
        <v>99</v>
      </c>
      <c r="C126" t="s">
        <v>221</v>
      </c>
      <c r="D126" t="s">
        <v>40</v>
      </c>
      <c r="E126" t="s">
        <v>25</v>
      </c>
      <c r="F126" t="s">
        <v>26</v>
      </c>
      <c r="G126" t="s">
        <v>59</v>
      </c>
      <c r="H126" t="s">
        <v>51</v>
      </c>
      <c r="I126">
        <v>3977</v>
      </c>
      <c r="J126">
        <v>3149</v>
      </c>
      <c r="K126">
        <v>2925</v>
      </c>
      <c r="L126">
        <v>178</v>
      </c>
      <c r="M126">
        <v>95</v>
      </c>
      <c r="N126">
        <v>5</v>
      </c>
      <c r="O126">
        <v>510.38</v>
      </c>
      <c r="P126">
        <v>7723.89</v>
      </c>
      <c r="Q126" s="5">
        <f t="shared" si="8"/>
        <v>0.92886630676405213</v>
      </c>
      <c r="R126" s="5">
        <f t="shared" si="9"/>
        <v>6.0854700854700856E-2</v>
      </c>
      <c r="S126" s="5">
        <f t="shared" si="10"/>
        <v>0.5337078651685393</v>
      </c>
      <c r="T126" s="5">
        <f t="shared" si="11"/>
        <v>5.2631578947368418E-2</v>
      </c>
      <c r="U126" s="5">
        <f t="shared" si="12"/>
        <v>1.7094017094017094E-3</v>
      </c>
      <c r="V126" s="6">
        <f t="shared" si="13"/>
        <v>5.3724210526315792</v>
      </c>
      <c r="W126" s="7">
        <f t="shared" si="14"/>
        <v>2.8673033707865168</v>
      </c>
      <c r="X126" s="5">
        <f t="shared" si="15"/>
        <v>14.133606332536543</v>
      </c>
    </row>
    <row r="127" spans="1:24" x14ac:dyDescent="0.35">
      <c r="A127" s="3">
        <v>46041</v>
      </c>
      <c r="B127" t="s">
        <v>101</v>
      </c>
      <c r="C127" t="s">
        <v>222</v>
      </c>
      <c r="D127" t="s">
        <v>40</v>
      </c>
      <c r="E127" t="s">
        <v>19</v>
      </c>
      <c r="F127" t="s">
        <v>20</v>
      </c>
      <c r="G127" t="s">
        <v>21</v>
      </c>
      <c r="H127" t="s">
        <v>37</v>
      </c>
      <c r="I127">
        <v>2707</v>
      </c>
      <c r="J127">
        <v>2410</v>
      </c>
      <c r="K127">
        <v>2215</v>
      </c>
      <c r="L127">
        <v>7</v>
      </c>
      <c r="M127">
        <v>4</v>
      </c>
      <c r="N127">
        <v>0</v>
      </c>
      <c r="O127">
        <v>336.38</v>
      </c>
      <c r="P127">
        <v>0</v>
      </c>
      <c r="Q127" s="5">
        <f t="shared" si="8"/>
        <v>0.91908713692946054</v>
      </c>
      <c r="R127" s="5">
        <f t="shared" si="9"/>
        <v>3.1602708803611739E-3</v>
      </c>
      <c r="S127" s="5">
        <f t="shared" si="10"/>
        <v>0.5714285714285714</v>
      </c>
      <c r="T127" s="5">
        <f t="shared" si="11"/>
        <v>0</v>
      </c>
      <c r="U127" s="5">
        <f t="shared" si="12"/>
        <v>0</v>
      </c>
      <c r="V127" s="6">
        <f t="shared" si="13"/>
        <v>84.094999999999999</v>
      </c>
      <c r="W127" s="7">
        <f t="shared" si="14"/>
        <v>48.054285714285712</v>
      </c>
      <c r="X127" s="5">
        <f t="shared" si="15"/>
        <v>-1</v>
      </c>
    </row>
    <row r="128" spans="1:24" x14ac:dyDescent="0.35">
      <c r="A128" s="3">
        <v>46041</v>
      </c>
      <c r="B128" t="s">
        <v>32</v>
      </c>
      <c r="C128" t="s">
        <v>223</v>
      </c>
      <c r="D128" t="s">
        <v>40</v>
      </c>
      <c r="E128" t="s">
        <v>19</v>
      </c>
      <c r="F128" t="s">
        <v>26</v>
      </c>
      <c r="G128" t="s">
        <v>36</v>
      </c>
      <c r="H128" t="s">
        <v>37</v>
      </c>
      <c r="I128">
        <v>1972</v>
      </c>
      <c r="J128">
        <v>1533</v>
      </c>
      <c r="K128">
        <v>1415</v>
      </c>
      <c r="L128">
        <v>30</v>
      </c>
      <c r="M128">
        <v>19</v>
      </c>
      <c r="N128">
        <v>0</v>
      </c>
      <c r="O128">
        <v>275.27999999999997</v>
      </c>
      <c r="P128">
        <v>0</v>
      </c>
      <c r="Q128" s="5">
        <f t="shared" si="8"/>
        <v>0.92302674494455317</v>
      </c>
      <c r="R128" s="5">
        <f t="shared" si="9"/>
        <v>2.1201413427561839E-2</v>
      </c>
      <c r="S128" s="5">
        <f t="shared" si="10"/>
        <v>0.6333333333333333</v>
      </c>
      <c r="T128" s="5">
        <f t="shared" si="11"/>
        <v>0</v>
      </c>
      <c r="U128" s="5">
        <f t="shared" si="12"/>
        <v>0</v>
      </c>
      <c r="V128" s="6">
        <f t="shared" si="13"/>
        <v>14.488421052631578</v>
      </c>
      <c r="W128" s="7">
        <f t="shared" si="14"/>
        <v>9.1759999999999984</v>
      </c>
      <c r="X128" s="5">
        <f t="shared" si="15"/>
        <v>-1</v>
      </c>
    </row>
    <row r="129" spans="1:24" x14ac:dyDescent="0.35">
      <c r="A129" s="3">
        <v>46041</v>
      </c>
      <c r="B129" t="s">
        <v>201</v>
      </c>
      <c r="C129" t="s">
        <v>224</v>
      </c>
      <c r="D129" t="s">
        <v>18</v>
      </c>
      <c r="E129" t="s">
        <v>25</v>
      </c>
      <c r="F129" t="s">
        <v>20</v>
      </c>
      <c r="G129" t="s">
        <v>36</v>
      </c>
      <c r="H129" t="s">
        <v>48</v>
      </c>
      <c r="I129">
        <v>4160</v>
      </c>
      <c r="J129">
        <v>3922</v>
      </c>
      <c r="K129">
        <v>3639</v>
      </c>
      <c r="L129">
        <v>195</v>
      </c>
      <c r="M129">
        <v>96</v>
      </c>
      <c r="N129">
        <v>1</v>
      </c>
      <c r="O129">
        <v>498.44</v>
      </c>
      <c r="P129">
        <v>1027.97</v>
      </c>
      <c r="Q129" s="5">
        <f t="shared" si="8"/>
        <v>0.92784293727689959</v>
      </c>
      <c r="R129" s="5">
        <f t="shared" si="9"/>
        <v>5.3586150041220117E-2</v>
      </c>
      <c r="S129" s="5">
        <f t="shared" si="10"/>
        <v>0.49230769230769234</v>
      </c>
      <c r="T129" s="5">
        <f t="shared" si="11"/>
        <v>1.0416666666666666E-2</v>
      </c>
      <c r="U129" s="5">
        <f t="shared" si="12"/>
        <v>2.7480076944215443E-4</v>
      </c>
      <c r="V129" s="6">
        <f t="shared" si="13"/>
        <v>5.1920833333333336</v>
      </c>
      <c r="W129" s="7">
        <f t="shared" si="14"/>
        <v>2.5561025641025643</v>
      </c>
      <c r="X129" s="5">
        <f t="shared" si="15"/>
        <v>1.0623746087793917</v>
      </c>
    </row>
    <row r="130" spans="1:24" x14ac:dyDescent="0.35">
      <c r="A130" s="3">
        <v>46042</v>
      </c>
      <c r="B130" t="s">
        <v>159</v>
      </c>
      <c r="C130" t="s">
        <v>225</v>
      </c>
      <c r="D130" t="s">
        <v>40</v>
      </c>
      <c r="E130" t="s">
        <v>25</v>
      </c>
      <c r="F130" t="s">
        <v>20</v>
      </c>
      <c r="G130" t="s">
        <v>59</v>
      </c>
      <c r="H130" t="s">
        <v>48</v>
      </c>
      <c r="I130">
        <v>2025</v>
      </c>
      <c r="J130">
        <v>1576</v>
      </c>
      <c r="K130">
        <v>1452</v>
      </c>
      <c r="L130">
        <v>47</v>
      </c>
      <c r="M130">
        <v>21</v>
      </c>
      <c r="N130">
        <v>1</v>
      </c>
      <c r="O130">
        <v>274.24</v>
      </c>
      <c r="P130">
        <v>1269.94</v>
      </c>
      <c r="Q130" s="5">
        <f t="shared" si="8"/>
        <v>0.92131979695431476</v>
      </c>
      <c r="R130" s="5">
        <f t="shared" si="9"/>
        <v>3.2369146005509643E-2</v>
      </c>
      <c r="S130" s="5">
        <f t="shared" si="10"/>
        <v>0.44680851063829785</v>
      </c>
      <c r="T130" s="5">
        <f t="shared" si="11"/>
        <v>4.7619047619047616E-2</v>
      </c>
      <c r="U130" s="5">
        <f t="shared" si="12"/>
        <v>6.8870523415977963E-4</v>
      </c>
      <c r="V130" s="6">
        <f t="shared" si="13"/>
        <v>13.05904761904762</v>
      </c>
      <c r="W130" s="7">
        <f t="shared" si="14"/>
        <v>5.8348936170212768</v>
      </c>
      <c r="X130" s="5">
        <f t="shared" si="15"/>
        <v>3.6307613768961495</v>
      </c>
    </row>
    <row r="131" spans="1:24" x14ac:dyDescent="0.35">
      <c r="A131" s="3">
        <v>46042</v>
      </c>
      <c r="B131" t="s">
        <v>207</v>
      </c>
      <c r="C131" t="s">
        <v>226</v>
      </c>
      <c r="D131" t="s">
        <v>31</v>
      </c>
      <c r="E131" t="s">
        <v>19</v>
      </c>
      <c r="F131" t="s">
        <v>20</v>
      </c>
      <c r="G131" t="s">
        <v>21</v>
      </c>
      <c r="H131" t="s">
        <v>48</v>
      </c>
      <c r="I131">
        <v>3892</v>
      </c>
      <c r="J131">
        <v>3784</v>
      </c>
      <c r="K131">
        <v>3699</v>
      </c>
      <c r="L131">
        <v>17</v>
      </c>
      <c r="M131">
        <v>8</v>
      </c>
      <c r="N131">
        <v>0</v>
      </c>
      <c r="O131">
        <v>626.92999999999995</v>
      </c>
      <c r="P131">
        <v>0</v>
      </c>
      <c r="Q131" s="5">
        <f t="shared" ref="Q131:Q194" si="16">K131/J131</f>
        <v>0.97753699788583515</v>
      </c>
      <c r="R131" s="5">
        <f t="shared" ref="R131:R194" si="17">L131/K131</f>
        <v>4.5958367126250335E-3</v>
      </c>
      <c r="S131" s="5">
        <f t="shared" ref="S131:S194" si="18">M131/L131</f>
        <v>0.47058823529411764</v>
      </c>
      <c r="T131" s="5">
        <f t="shared" ref="T131:T194" si="19">N131/M131</f>
        <v>0</v>
      </c>
      <c r="U131" s="5">
        <f t="shared" ref="U131:U194" si="20">N131/K131</f>
        <v>0</v>
      </c>
      <c r="V131" s="6">
        <f t="shared" ref="V131:V194" si="21">O131/M131</f>
        <v>78.366249999999994</v>
      </c>
      <c r="W131" s="7">
        <f t="shared" ref="W131:W194" si="22">O131/L131</f>
        <v>36.878235294117644</v>
      </c>
      <c r="X131" s="5">
        <f t="shared" ref="X131:X194" si="23">(P131-O131)/O131</f>
        <v>-1</v>
      </c>
    </row>
    <row r="132" spans="1:24" x14ac:dyDescent="0.35">
      <c r="A132" s="3">
        <v>46042</v>
      </c>
      <c r="B132" t="s">
        <v>108</v>
      </c>
      <c r="C132" t="s">
        <v>227</v>
      </c>
      <c r="D132" t="s">
        <v>34</v>
      </c>
      <c r="E132" t="s">
        <v>35</v>
      </c>
      <c r="F132" t="s">
        <v>20</v>
      </c>
      <c r="G132" t="s">
        <v>59</v>
      </c>
      <c r="H132" t="s">
        <v>28</v>
      </c>
      <c r="I132">
        <v>2142</v>
      </c>
      <c r="J132">
        <v>1880</v>
      </c>
      <c r="K132">
        <v>1822</v>
      </c>
      <c r="L132">
        <v>115</v>
      </c>
      <c r="M132">
        <v>56</v>
      </c>
      <c r="N132">
        <v>5</v>
      </c>
      <c r="O132">
        <v>140.97</v>
      </c>
      <c r="P132">
        <v>3649.04</v>
      </c>
      <c r="Q132" s="5">
        <f t="shared" si="16"/>
        <v>0.9691489361702128</v>
      </c>
      <c r="R132" s="5">
        <f t="shared" si="17"/>
        <v>6.3117453347969268E-2</v>
      </c>
      <c r="S132" s="5">
        <f t="shared" si="18"/>
        <v>0.48695652173913045</v>
      </c>
      <c r="T132" s="5">
        <f t="shared" si="19"/>
        <v>8.9285714285714288E-2</v>
      </c>
      <c r="U132" s="5">
        <f t="shared" si="20"/>
        <v>2.7442371020856204E-3</v>
      </c>
      <c r="V132" s="6">
        <f t="shared" si="21"/>
        <v>2.5173214285714285</v>
      </c>
      <c r="W132" s="7">
        <f t="shared" si="22"/>
        <v>1.2258260869565216</v>
      </c>
      <c r="X132" s="5">
        <f t="shared" si="23"/>
        <v>24.885223806483651</v>
      </c>
    </row>
    <row r="133" spans="1:24" x14ac:dyDescent="0.35">
      <c r="A133" s="3">
        <v>46043</v>
      </c>
      <c r="B133" t="s">
        <v>134</v>
      </c>
      <c r="C133" t="s">
        <v>228</v>
      </c>
      <c r="D133" t="s">
        <v>18</v>
      </c>
      <c r="E133" t="s">
        <v>56</v>
      </c>
      <c r="F133" t="s">
        <v>20</v>
      </c>
      <c r="G133" t="s">
        <v>27</v>
      </c>
      <c r="H133" t="s">
        <v>22</v>
      </c>
      <c r="I133">
        <v>4330</v>
      </c>
      <c r="J133">
        <v>3999</v>
      </c>
      <c r="K133">
        <v>3610</v>
      </c>
      <c r="L133">
        <v>188</v>
      </c>
      <c r="M133">
        <v>88</v>
      </c>
      <c r="N133">
        <v>4</v>
      </c>
      <c r="O133">
        <v>425.87</v>
      </c>
      <c r="P133">
        <v>4902.2700000000004</v>
      </c>
      <c r="Q133" s="5">
        <f t="shared" si="16"/>
        <v>0.90272568142035514</v>
      </c>
      <c r="R133" s="5">
        <f t="shared" si="17"/>
        <v>5.2077562326869803E-2</v>
      </c>
      <c r="S133" s="5">
        <f t="shared" si="18"/>
        <v>0.46808510638297873</v>
      </c>
      <c r="T133" s="5">
        <f t="shared" si="19"/>
        <v>4.5454545454545456E-2</v>
      </c>
      <c r="U133" s="5">
        <f t="shared" si="20"/>
        <v>1.10803324099723E-3</v>
      </c>
      <c r="V133" s="6">
        <f t="shared" si="21"/>
        <v>4.8394318181818186</v>
      </c>
      <c r="W133" s="7">
        <f t="shared" si="22"/>
        <v>2.2652659574468084</v>
      </c>
      <c r="X133" s="5">
        <f t="shared" si="23"/>
        <v>10.511188860450373</v>
      </c>
    </row>
    <row r="134" spans="1:24" x14ac:dyDescent="0.35">
      <c r="A134" s="3">
        <v>46043</v>
      </c>
      <c r="B134" t="s">
        <v>67</v>
      </c>
      <c r="C134" t="s">
        <v>229</v>
      </c>
      <c r="D134" t="s">
        <v>34</v>
      </c>
      <c r="E134" t="s">
        <v>35</v>
      </c>
      <c r="F134" t="s">
        <v>20</v>
      </c>
      <c r="G134" t="s">
        <v>36</v>
      </c>
      <c r="H134" t="s">
        <v>48</v>
      </c>
      <c r="I134">
        <v>923</v>
      </c>
      <c r="J134">
        <v>718</v>
      </c>
      <c r="K134">
        <v>676</v>
      </c>
      <c r="L134">
        <v>33</v>
      </c>
      <c r="M134">
        <v>15</v>
      </c>
      <c r="N134">
        <v>1</v>
      </c>
      <c r="O134">
        <v>64.900000000000006</v>
      </c>
      <c r="P134">
        <v>1290.5999999999999</v>
      </c>
      <c r="Q134" s="5">
        <f t="shared" si="16"/>
        <v>0.9415041782729805</v>
      </c>
      <c r="R134" s="5">
        <f t="shared" si="17"/>
        <v>4.8816568047337278E-2</v>
      </c>
      <c r="S134" s="5">
        <f t="shared" si="18"/>
        <v>0.45454545454545453</v>
      </c>
      <c r="T134" s="5">
        <f t="shared" si="19"/>
        <v>6.6666666666666666E-2</v>
      </c>
      <c r="U134" s="5">
        <f t="shared" si="20"/>
        <v>1.4792899408284023E-3</v>
      </c>
      <c r="V134" s="6">
        <f t="shared" si="21"/>
        <v>4.3266666666666671</v>
      </c>
      <c r="W134" s="7">
        <f t="shared" si="22"/>
        <v>1.9666666666666668</v>
      </c>
      <c r="X134" s="5">
        <f t="shared" si="23"/>
        <v>18.885978428351304</v>
      </c>
    </row>
    <row r="135" spans="1:24" x14ac:dyDescent="0.35">
      <c r="A135" s="3">
        <v>46043</v>
      </c>
      <c r="B135" t="s">
        <v>106</v>
      </c>
      <c r="C135" t="s">
        <v>230</v>
      </c>
      <c r="D135" t="s">
        <v>31</v>
      </c>
      <c r="E135" t="s">
        <v>35</v>
      </c>
      <c r="F135" t="s">
        <v>20</v>
      </c>
      <c r="G135" t="s">
        <v>27</v>
      </c>
      <c r="H135" t="s">
        <v>48</v>
      </c>
      <c r="I135">
        <v>3703</v>
      </c>
      <c r="J135">
        <v>3329</v>
      </c>
      <c r="K135">
        <v>3283</v>
      </c>
      <c r="L135">
        <v>119</v>
      </c>
      <c r="M135">
        <v>39</v>
      </c>
      <c r="N135">
        <v>3</v>
      </c>
      <c r="O135">
        <v>607.79</v>
      </c>
      <c r="P135">
        <v>4041.19</v>
      </c>
      <c r="Q135" s="5">
        <f t="shared" si="16"/>
        <v>0.98618203664764192</v>
      </c>
      <c r="R135" s="5">
        <f t="shared" si="17"/>
        <v>3.6247334754797439E-2</v>
      </c>
      <c r="S135" s="5">
        <f t="shared" si="18"/>
        <v>0.32773109243697479</v>
      </c>
      <c r="T135" s="5">
        <f t="shared" si="19"/>
        <v>7.6923076923076927E-2</v>
      </c>
      <c r="U135" s="5">
        <f t="shared" si="20"/>
        <v>9.1379835516296074E-4</v>
      </c>
      <c r="V135" s="6">
        <f t="shared" si="21"/>
        <v>15.584358974358974</v>
      </c>
      <c r="W135" s="7">
        <f t="shared" si="22"/>
        <v>5.1074789915966381</v>
      </c>
      <c r="X135" s="5">
        <f t="shared" si="23"/>
        <v>5.6489906053077545</v>
      </c>
    </row>
    <row r="136" spans="1:24" x14ac:dyDescent="0.35">
      <c r="A136" s="3">
        <v>46043</v>
      </c>
      <c r="B136" t="s">
        <v>181</v>
      </c>
      <c r="C136" t="s">
        <v>231</v>
      </c>
      <c r="D136" t="s">
        <v>18</v>
      </c>
      <c r="E136" t="s">
        <v>25</v>
      </c>
      <c r="F136" t="s">
        <v>20</v>
      </c>
      <c r="G136" t="s">
        <v>27</v>
      </c>
      <c r="H136" t="s">
        <v>28</v>
      </c>
      <c r="I136">
        <v>2440</v>
      </c>
      <c r="J136">
        <v>1903</v>
      </c>
      <c r="K136">
        <v>1711</v>
      </c>
      <c r="L136">
        <v>46</v>
      </c>
      <c r="M136">
        <v>26</v>
      </c>
      <c r="N136">
        <v>1</v>
      </c>
      <c r="O136">
        <v>257.94</v>
      </c>
      <c r="P136">
        <v>1396.2</v>
      </c>
      <c r="Q136" s="5">
        <f t="shared" si="16"/>
        <v>0.89910667367314767</v>
      </c>
      <c r="R136" s="5">
        <f t="shared" si="17"/>
        <v>2.6884862653419054E-2</v>
      </c>
      <c r="S136" s="5">
        <f t="shared" si="18"/>
        <v>0.56521739130434778</v>
      </c>
      <c r="T136" s="5">
        <f t="shared" si="19"/>
        <v>3.8461538461538464E-2</v>
      </c>
      <c r="U136" s="5">
        <f t="shared" si="20"/>
        <v>5.8445353594389242E-4</v>
      </c>
      <c r="V136" s="6">
        <f t="shared" si="21"/>
        <v>9.9207692307692312</v>
      </c>
      <c r="W136" s="7">
        <f t="shared" si="22"/>
        <v>5.6073913043478258</v>
      </c>
      <c r="X136" s="5">
        <f t="shared" si="23"/>
        <v>4.4128867178413582</v>
      </c>
    </row>
    <row r="137" spans="1:24" x14ac:dyDescent="0.35">
      <c r="A137" s="3">
        <v>46043</v>
      </c>
      <c r="B137" t="s">
        <v>232</v>
      </c>
      <c r="C137" t="s">
        <v>233</v>
      </c>
      <c r="D137" t="s">
        <v>18</v>
      </c>
      <c r="E137" t="s">
        <v>35</v>
      </c>
      <c r="F137" t="s">
        <v>26</v>
      </c>
      <c r="G137" t="s">
        <v>21</v>
      </c>
      <c r="H137" t="s">
        <v>48</v>
      </c>
      <c r="I137">
        <v>558</v>
      </c>
      <c r="J137">
        <v>478</v>
      </c>
      <c r="K137">
        <v>425</v>
      </c>
      <c r="L137">
        <v>45</v>
      </c>
      <c r="M137">
        <v>29</v>
      </c>
      <c r="N137">
        <v>3</v>
      </c>
      <c r="O137">
        <v>61.47</v>
      </c>
      <c r="P137">
        <v>3080.23</v>
      </c>
      <c r="Q137" s="5">
        <f t="shared" si="16"/>
        <v>0.88912133891213385</v>
      </c>
      <c r="R137" s="5">
        <f t="shared" si="17"/>
        <v>0.10588235294117647</v>
      </c>
      <c r="S137" s="5">
        <f t="shared" si="18"/>
        <v>0.64444444444444449</v>
      </c>
      <c r="T137" s="5">
        <f t="shared" si="19"/>
        <v>0.10344827586206896</v>
      </c>
      <c r="U137" s="5">
        <f t="shared" si="20"/>
        <v>7.058823529411765E-3</v>
      </c>
      <c r="V137" s="6">
        <f t="shared" si="21"/>
        <v>2.1196551724137929</v>
      </c>
      <c r="W137" s="7">
        <f t="shared" si="22"/>
        <v>1.3659999999999999</v>
      </c>
      <c r="X137" s="5">
        <f t="shared" si="23"/>
        <v>49.109484301285185</v>
      </c>
    </row>
    <row r="138" spans="1:24" x14ac:dyDescent="0.35">
      <c r="A138" s="3">
        <v>46043</v>
      </c>
      <c r="B138" t="s">
        <v>32</v>
      </c>
      <c r="C138" t="s">
        <v>234</v>
      </c>
      <c r="D138" t="s">
        <v>34</v>
      </c>
      <c r="E138" t="s">
        <v>35</v>
      </c>
      <c r="F138" t="s">
        <v>20</v>
      </c>
      <c r="G138" t="s">
        <v>27</v>
      </c>
      <c r="H138" t="s">
        <v>22</v>
      </c>
      <c r="I138">
        <v>4757</v>
      </c>
      <c r="J138">
        <v>3484</v>
      </c>
      <c r="K138">
        <v>3339</v>
      </c>
      <c r="L138">
        <v>284</v>
      </c>
      <c r="M138">
        <v>147</v>
      </c>
      <c r="N138">
        <v>9</v>
      </c>
      <c r="O138">
        <v>276.10000000000002</v>
      </c>
      <c r="P138">
        <v>7123.8</v>
      </c>
      <c r="Q138" s="5">
        <f t="shared" si="16"/>
        <v>0.95838117106773824</v>
      </c>
      <c r="R138" s="5">
        <f t="shared" si="17"/>
        <v>8.5055405810122789E-2</v>
      </c>
      <c r="S138" s="5">
        <f t="shared" si="18"/>
        <v>0.51760563380281688</v>
      </c>
      <c r="T138" s="5">
        <f t="shared" si="19"/>
        <v>6.1224489795918366E-2</v>
      </c>
      <c r="U138" s="5">
        <f t="shared" si="20"/>
        <v>2.6954177897574125E-3</v>
      </c>
      <c r="V138" s="6">
        <f t="shared" si="21"/>
        <v>1.878231292517007</v>
      </c>
      <c r="W138" s="7">
        <f t="shared" si="22"/>
        <v>0.97218309859154939</v>
      </c>
      <c r="X138" s="5">
        <f t="shared" si="23"/>
        <v>24.801521187975368</v>
      </c>
    </row>
    <row r="139" spans="1:24" x14ac:dyDescent="0.35">
      <c r="A139" s="3">
        <v>46043</v>
      </c>
      <c r="B139" t="s">
        <v>73</v>
      </c>
      <c r="C139" t="s">
        <v>235</v>
      </c>
      <c r="D139" t="s">
        <v>40</v>
      </c>
      <c r="E139" t="s">
        <v>56</v>
      </c>
      <c r="F139" t="s">
        <v>26</v>
      </c>
      <c r="G139" t="s">
        <v>21</v>
      </c>
      <c r="H139" t="s">
        <v>48</v>
      </c>
      <c r="I139">
        <v>4962</v>
      </c>
      <c r="J139">
        <v>4231</v>
      </c>
      <c r="K139">
        <v>3966</v>
      </c>
      <c r="L139">
        <v>305</v>
      </c>
      <c r="M139">
        <v>181</v>
      </c>
      <c r="N139">
        <v>12</v>
      </c>
      <c r="O139">
        <v>716.87</v>
      </c>
      <c r="P139">
        <v>10607.97</v>
      </c>
      <c r="Q139" s="5">
        <f t="shared" si="16"/>
        <v>0.93736705270621601</v>
      </c>
      <c r="R139" s="5">
        <f t="shared" si="17"/>
        <v>7.6903681290973275E-2</v>
      </c>
      <c r="S139" s="5">
        <f t="shared" si="18"/>
        <v>0.59344262295081962</v>
      </c>
      <c r="T139" s="5">
        <f t="shared" si="19"/>
        <v>6.6298342541436461E-2</v>
      </c>
      <c r="U139" s="5">
        <f t="shared" si="20"/>
        <v>3.0257186081694403E-3</v>
      </c>
      <c r="V139" s="6">
        <f t="shared" si="21"/>
        <v>3.9606077348066298</v>
      </c>
      <c r="W139" s="7">
        <f t="shared" si="22"/>
        <v>2.3503934426229507</v>
      </c>
      <c r="X139" s="5">
        <f t="shared" si="23"/>
        <v>13.797620210079929</v>
      </c>
    </row>
    <row r="140" spans="1:24" x14ac:dyDescent="0.35">
      <c r="A140" s="3">
        <v>46043</v>
      </c>
      <c r="B140" t="s">
        <v>201</v>
      </c>
      <c r="C140" t="s">
        <v>236</v>
      </c>
      <c r="D140" t="s">
        <v>18</v>
      </c>
      <c r="E140" t="s">
        <v>25</v>
      </c>
      <c r="F140" t="s">
        <v>26</v>
      </c>
      <c r="G140" t="s">
        <v>41</v>
      </c>
      <c r="H140" t="s">
        <v>37</v>
      </c>
      <c r="I140">
        <v>833</v>
      </c>
      <c r="J140">
        <v>717</v>
      </c>
      <c r="K140">
        <v>657</v>
      </c>
      <c r="L140">
        <v>38</v>
      </c>
      <c r="M140">
        <v>24</v>
      </c>
      <c r="N140">
        <v>1</v>
      </c>
      <c r="O140">
        <v>96.51</v>
      </c>
      <c r="P140">
        <v>1074.95</v>
      </c>
      <c r="Q140" s="5">
        <f t="shared" si="16"/>
        <v>0.91631799163179917</v>
      </c>
      <c r="R140" s="5">
        <f t="shared" si="17"/>
        <v>5.7838660578386603E-2</v>
      </c>
      <c r="S140" s="5">
        <f t="shared" si="18"/>
        <v>0.63157894736842102</v>
      </c>
      <c r="T140" s="5">
        <f t="shared" si="19"/>
        <v>4.1666666666666664E-2</v>
      </c>
      <c r="U140" s="5">
        <f t="shared" si="20"/>
        <v>1.5220700152207001E-3</v>
      </c>
      <c r="V140" s="6">
        <f t="shared" si="21"/>
        <v>4.0212500000000002</v>
      </c>
      <c r="W140" s="7">
        <f t="shared" si="22"/>
        <v>2.5397368421052633</v>
      </c>
      <c r="X140" s="5">
        <f t="shared" si="23"/>
        <v>10.138224018236452</v>
      </c>
    </row>
    <row r="141" spans="1:24" x14ac:dyDescent="0.35">
      <c r="A141" s="3">
        <v>46043</v>
      </c>
      <c r="B141" t="s">
        <v>189</v>
      </c>
      <c r="C141" t="s">
        <v>237</v>
      </c>
      <c r="D141" t="s">
        <v>40</v>
      </c>
      <c r="E141" t="s">
        <v>25</v>
      </c>
      <c r="F141" t="s">
        <v>26</v>
      </c>
      <c r="G141" t="s">
        <v>21</v>
      </c>
      <c r="H141" t="s">
        <v>37</v>
      </c>
      <c r="I141">
        <v>3244</v>
      </c>
      <c r="J141">
        <v>2395</v>
      </c>
      <c r="K141">
        <v>2224</v>
      </c>
      <c r="L141">
        <v>120</v>
      </c>
      <c r="M141">
        <v>69</v>
      </c>
      <c r="N141">
        <v>4</v>
      </c>
      <c r="O141">
        <v>384.93</v>
      </c>
      <c r="P141">
        <v>6207.29</v>
      </c>
      <c r="Q141" s="5">
        <f t="shared" si="16"/>
        <v>0.92860125260960336</v>
      </c>
      <c r="R141" s="5">
        <f t="shared" si="17"/>
        <v>5.3956834532374098E-2</v>
      </c>
      <c r="S141" s="5">
        <f t="shared" si="18"/>
        <v>0.57499999999999996</v>
      </c>
      <c r="T141" s="5">
        <f t="shared" si="19"/>
        <v>5.7971014492753624E-2</v>
      </c>
      <c r="U141" s="5">
        <f t="shared" si="20"/>
        <v>1.7985611510791368E-3</v>
      </c>
      <c r="V141" s="6">
        <f t="shared" si="21"/>
        <v>5.5786956521739128</v>
      </c>
      <c r="W141" s="7">
        <f t="shared" si="22"/>
        <v>3.2077499999999999</v>
      </c>
      <c r="X141" s="5">
        <f t="shared" si="23"/>
        <v>15.125763125763125</v>
      </c>
    </row>
    <row r="142" spans="1:24" x14ac:dyDescent="0.35">
      <c r="A142" s="3">
        <v>46044</v>
      </c>
      <c r="B142" t="s">
        <v>16</v>
      </c>
      <c r="C142" t="s">
        <v>238</v>
      </c>
      <c r="D142" t="s">
        <v>40</v>
      </c>
      <c r="E142" t="s">
        <v>35</v>
      </c>
      <c r="F142" t="s">
        <v>20</v>
      </c>
      <c r="G142" t="s">
        <v>36</v>
      </c>
      <c r="H142" t="s">
        <v>48</v>
      </c>
      <c r="I142">
        <v>3208</v>
      </c>
      <c r="J142">
        <v>2357</v>
      </c>
      <c r="K142">
        <v>2208</v>
      </c>
      <c r="L142">
        <v>157</v>
      </c>
      <c r="M142">
        <v>83</v>
      </c>
      <c r="N142">
        <v>5</v>
      </c>
      <c r="O142">
        <v>310.01</v>
      </c>
      <c r="P142">
        <v>5232.8</v>
      </c>
      <c r="Q142" s="5">
        <f t="shared" si="16"/>
        <v>0.93678404751803135</v>
      </c>
      <c r="R142" s="5">
        <f t="shared" si="17"/>
        <v>7.1105072463768113E-2</v>
      </c>
      <c r="S142" s="5">
        <f t="shared" si="18"/>
        <v>0.5286624203821656</v>
      </c>
      <c r="T142" s="5">
        <f t="shared" si="19"/>
        <v>6.0240963855421686E-2</v>
      </c>
      <c r="U142" s="5">
        <f t="shared" si="20"/>
        <v>2.2644927536231885E-3</v>
      </c>
      <c r="V142" s="6">
        <f t="shared" si="21"/>
        <v>3.7350602409638554</v>
      </c>
      <c r="W142" s="7">
        <f t="shared" si="22"/>
        <v>1.9745859872611464</v>
      </c>
      <c r="X142" s="5">
        <f t="shared" si="23"/>
        <v>15.879455501435437</v>
      </c>
    </row>
    <row r="143" spans="1:24" x14ac:dyDescent="0.35">
      <c r="A143" s="3">
        <v>46044</v>
      </c>
      <c r="B143" t="s">
        <v>64</v>
      </c>
      <c r="C143" t="s">
        <v>239</v>
      </c>
      <c r="D143" t="s">
        <v>40</v>
      </c>
      <c r="E143" t="s">
        <v>56</v>
      </c>
      <c r="F143" t="s">
        <v>26</v>
      </c>
      <c r="G143" t="s">
        <v>21</v>
      </c>
      <c r="H143" t="s">
        <v>28</v>
      </c>
      <c r="I143">
        <v>3645</v>
      </c>
      <c r="J143">
        <v>3593</v>
      </c>
      <c r="K143">
        <v>3390</v>
      </c>
      <c r="L143">
        <v>150</v>
      </c>
      <c r="M143">
        <v>88</v>
      </c>
      <c r="N143">
        <v>6</v>
      </c>
      <c r="O143">
        <v>532.98</v>
      </c>
      <c r="P143">
        <v>5114.58</v>
      </c>
      <c r="Q143" s="5">
        <f t="shared" si="16"/>
        <v>0.94350125243529082</v>
      </c>
      <c r="R143" s="5">
        <f t="shared" si="17"/>
        <v>4.4247787610619468E-2</v>
      </c>
      <c r="S143" s="5">
        <f t="shared" si="18"/>
        <v>0.58666666666666667</v>
      </c>
      <c r="T143" s="5">
        <f t="shared" si="19"/>
        <v>6.8181818181818177E-2</v>
      </c>
      <c r="U143" s="5">
        <f t="shared" si="20"/>
        <v>1.7699115044247787E-3</v>
      </c>
      <c r="V143" s="6">
        <f t="shared" si="21"/>
        <v>6.0565909090909091</v>
      </c>
      <c r="W143" s="7">
        <f t="shared" si="22"/>
        <v>3.5531999999999999</v>
      </c>
      <c r="X143" s="5">
        <f t="shared" si="23"/>
        <v>8.5961949791737027</v>
      </c>
    </row>
    <row r="144" spans="1:24" x14ac:dyDescent="0.35">
      <c r="A144" s="3">
        <v>46044</v>
      </c>
      <c r="B144" t="s">
        <v>240</v>
      </c>
      <c r="C144" t="s">
        <v>241</v>
      </c>
      <c r="D144" t="s">
        <v>40</v>
      </c>
      <c r="E144" t="s">
        <v>19</v>
      </c>
      <c r="F144" t="s">
        <v>26</v>
      </c>
      <c r="G144" t="s">
        <v>27</v>
      </c>
      <c r="H144" t="s">
        <v>37</v>
      </c>
      <c r="I144">
        <v>4148</v>
      </c>
      <c r="J144">
        <v>4086</v>
      </c>
      <c r="K144">
        <v>3657</v>
      </c>
      <c r="L144">
        <v>80</v>
      </c>
      <c r="M144">
        <v>48</v>
      </c>
      <c r="N144">
        <v>0</v>
      </c>
      <c r="O144">
        <v>721.44</v>
      </c>
      <c r="P144">
        <v>0</v>
      </c>
      <c r="Q144" s="5">
        <f t="shared" si="16"/>
        <v>0.89500734214390598</v>
      </c>
      <c r="R144" s="5">
        <f t="shared" si="17"/>
        <v>2.1875854525567406E-2</v>
      </c>
      <c r="S144" s="5">
        <f t="shared" si="18"/>
        <v>0.6</v>
      </c>
      <c r="T144" s="5">
        <f t="shared" si="19"/>
        <v>0</v>
      </c>
      <c r="U144" s="5">
        <f t="shared" si="20"/>
        <v>0</v>
      </c>
      <c r="V144" s="6">
        <f t="shared" si="21"/>
        <v>15.030000000000001</v>
      </c>
      <c r="W144" s="7">
        <f t="shared" si="22"/>
        <v>9.0180000000000007</v>
      </c>
      <c r="X144" s="5">
        <f t="shared" si="23"/>
        <v>-1</v>
      </c>
    </row>
    <row r="145" spans="1:24" x14ac:dyDescent="0.35">
      <c r="A145" s="3">
        <v>46044</v>
      </c>
      <c r="B145" t="s">
        <v>118</v>
      </c>
      <c r="C145" t="s">
        <v>242</v>
      </c>
      <c r="D145" t="s">
        <v>34</v>
      </c>
      <c r="E145" t="s">
        <v>35</v>
      </c>
      <c r="F145" t="s">
        <v>20</v>
      </c>
      <c r="G145" t="s">
        <v>27</v>
      </c>
      <c r="H145" t="s">
        <v>51</v>
      </c>
      <c r="I145">
        <v>3355</v>
      </c>
      <c r="J145">
        <v>2427</v>
      </c>
      <c r="K145">
        <v>2260</v>
      </c>
      <c r="L145">
        <v>149</v>
      </c>
      <c r="M145">
        <v>66</v>
      </c>
      <c r="N145">
        <v>5</v>
      </c>
      <c r="O145">
        <v>196.26</v>
      </c>
      <c r="P145">
        <v>5207.33</v>
      </c>
      <c r="Q145" s="5">
        <f t="shared" si="16"/>
        <v>0.93119077049855792</v>
      </c>
      <c r="R145" s="5">
        <f t="shared" si="17"/>
        <v>6.5929203539823011E-2</v>
      </c>
      <c r="S145" s="5">
        <f t="shared" si="18"/>
        <v>0.44295302013422821</v>
      </c>
      <c r="T145" s="5">
        <f t="shared" si="19"/>
        <v>7.575757575757576E-2</v>
      </c>
      <c r="U145" s="5">
        <f t="shared" si="20"/>
        <v>2.2123893805309734E-3</v>
      </c>
      <c r="V145" s="6">
        <f t="shared" si="21"/>
        <v>2.9736363636363636</v>
      </c>
      <c r="W145" s="7">
        <f t="shared" si="22"/>
        <v>1.3171812080536913</v>
      </c>
      <c r="X145" s="5">
        <f t="shared" si="23"/>
        <v>25.532813614592886</v>
      </c>
    </row>
    <row r="146" spans="1:24" x14ac:dyDescent="0.35">
      <c r="A146" s="3">
        <v>46044</v>
      </c>
      <c r="B146" t="s">
        <v>118</v>
      </c>
      <c r="C146" t="s">
        <v>243</v>
      </c>
      <c r="D146" t="s">
        <v>31</v>
      </c>
      <c r="E146" t="s">
        <v>35</v>
      </c>
      <c r="F146" t="s">
        <v>26</v>
      </c>
      <c r="G146" t="s">
        <v>41</v>
      </c>
      <c r="H146" t="s">
        <v>37</v>
      </c>
      <c r="I146">
        <v>648</v>
      </c>
      <c r="J146">
        <v>593</v>
      </c>
      <c r="K146">
        <v>566</v>
      </c>
      <c r="L146">
        <v>36</v>
      </c>
      <c r="M146">
        <v>17</v>
      </c>
      <c r="N146">
        <v>1</v>
      </c>
      <c r="O146">
        <v>101.34</v>
      </c>
      <c r="P146">
        <v>1495.47</v>
      </c>
      <c r="Q146" s="5">
        <f t="shared" si="16"/>
        <v>0.95446880269814505</v>
      </c>
      <c r="R146" s="5">
        <f t="shared" si="17"/>
        <v>6.3604240282685506E-2</v>
      </c>
      <c r="S146" s="5">
        <f t="shared" si="18"/>
        <v>0.47222222222222221</v>
      </c>
      <c r="T146" s="5">
        <f t="shared" si="19"/>
        <v>5.8823529411764705E-2</v>
      </c>
      <c r="U146" s="5">
        <f t="shared" si="20"/>
        <v>1.7667844522968198E-3</v>
      </c>
      <c r="V146" s="6">
        <f t="shared" si="21"/>
        <v>5.9611764705882351</v>
      </c>
      <c r="W146" s="7">
        <f t="shared" si="22"/>
        <v>2.8149999999999999</v>
      </c>
      <c r="X146" s="5">
        <f t="shared" si="23"/>
        <v>13.756956779159266</v>
      </c>
    </row>
    <row r="147" spans="1:24" x14ac:dyDescent="0.35">
      <c r="A147" s="3">
        <v>46044</v>
      </c>
      <c r="B147" t="s">
        <v>244</v>
      </c>
      <c r="C147" t="s">
        <v>245</v>
      </c>
      <c r="D147" t="s">
        <v>18</v>
      </c>
      <c r="E147" t="s">
        <v>56</v>
      </c>
      <c r="F147" t="s">
        <v>20</v>
      </c>
      <c r="G147" t="s">
        <v>21</v>
      </c>
      <c r="H147" t="s">
        <v>37</v>
      </c>
      <c r="I147">
        <v>1715</v>
      </c>
      <c r="J147">
        <v>1246</v>
      </c>
      <c r="K147">
        <v>1137</v>
      </c>
      <c r="L147">
        <v>52</v>
      </c>
      <c r="M147">
        <v>26</v>
      </c>
      <c r="N147">
        <v>1</v>
      </c>
      <c r="O147">
        <v>149.94</v>
      </c>
      <c r="P147">
        <v>865.24</v>
      </c>
      <c r="Q147" s="5">
        <f t="shared" si="16"/>
        <v>0.9125200642054575</v>
      </c>
      <c r="R147" s="5">
        <f t="shared" si="17"/>
        <v>4.5734388742304309E-2</v>
      </c>
      <c r="S147" s="5">
        <f t="shared" si="18"/>
        <v>0.5</v>
      </c>
      <c r="T147" s="5">
        <f t="shared" si="19"/>
        <v>3.8461538461538464E-2</v>
      </c>
      <c r="U147" s="5">
        <f t="shared" si="20"/>
        <v>8.7950747581354446E-4</v>
      </c>
      <c r="V147" s="6">
        <f t="shared" si="21"/>
        <v>5.766923076923077</v>
      </c>
      <c r="W147" s="7">
        <f t="shared" si="22"/>
        <v>2.8834615384615385</v>
      </c>
      <c r="X147" s="5">
        <f t="shared" si="23"/>
        <v>4.770574896625317</v>
      </c>
    </row>
    <row r="148" spans="1:24" x14ac:dyDescent="0.35">
      <c r="A148" s="3">
        <v>46045</v>
      </c>
      <c r="B148" t="s">
        <v>196</v>
      </c>
      <c r="C148" t="s">
        <v>246</v>
      </c>
      <c r="D148" t="s">
        <v>40</v>
      </c>
      <c r="E148" t="s">
        <v>25</v>
      </c>
      <c r="F148" t="s">
        <v>26</v>
      </c>
      <c r="G148" t="s">
        <v>59</v>
      </c>
      <c r="H148" t="s">
        <v>22</v>
      </c>
      <c r="I148">
        <v>2269</v>
      </c>
      <c r="J148">
        <v>1815</v>
      </c>
      <c r="K148">
        <v>1662</v>
      </c>
      <c r="L148">
        <v>92</v>
      </c>
      <c r="M148">
        <v>54</v>
      </c>
      <c r="N148">
        <v>2</v>
      </c>
      <c r="O148">
        <v>304.39999999999998</v>
      </c>
      <c r="P148">
        <v>2118.84</v>
      </c>
      <c r="Q148" s="5">
        <f t="shared" si="16"/>
        <v>0.91570247933884297</v>
      </c>
      <c r="R148" s="5">
        <f t="shared" si="17"/>
        <v>5.5354993983152828E-2</v>
      </c>
      <c r="S148" s="5">
        <f t="shared" si="18"/>
        <v>0.58695652173913049</v>
      </c>
      <c r="T148" s="5">
        <f t="shared" si="19"/>
        <v>3.7037037037037035E-2</v>
      </c>
      <c r="U148" s="5">
        <f t="shared" si="20"/>
        <v>1.2033694344163659E-3</v>
      </c>
      <c r="V148" s="6">
        <f t="shared" si="21"/>
        <v>5.6370370370370368</v>
      </c>
      <c r="W148" s="7">
        <f t="shared" si="22"/>
        <v>3.3086956521739128</v>
      </c>
      <c r="X148" s="5">
        <f t="shared" si="23"/>
        <v>5.9607095926412619</v>
      </c>
    </row>
    <row r="149" spans="1:24" x14ac:dyDescent="0.35">
      <c r="A149" s="3">
        <v>46045</v>
      </c>
      <c r="B149" t="s">
        <v>44</v>
      </c>
      <c r="C149" t="s">
        <v>247</v>
      </c>
      <c r="D149" t="s">
        <v>18</v>
      </c>
      <c r="E149" t="s">
        <v>19</v>
      </c>
      <c r="F149" t="s">
        <v>26</v>
      </c>
      <c r="G149" t="s">
        <v>59</v>
      </c>
      <c r="H149" t="s">
        <v>48</v>
      </c>
      <c r="I149">
        <v>4851</v>
      </c>
      <c r="J149">
        <v>4055</v>
      </c>
      <c r="K149">
        <v>3580</v>
      </c>
      <c r="L149">
        <v>105</v>
      </c>
      <c r="M149">
        <v>67</v>
      </c>
      <c r="N149">
        <v>1</v>
      </c>
      <c r="O149">
        <v>497.69</v>
      </c>
      <c r="P149">
        <v>726.71</v>
      </c>
      <c r="Q149" s="5">
        <f t="shared" si="16"/>
        <v>0.88286066584463629</v>
      </c>
      <c r="R149" s="5">
        <f t="shared" si="17"/>
        <v>2.9329608938547486E-2</v>
      </c>
      <c r="S149" s="5">
        <f t="shared" si="18"/>
        <v>0.63809523809523805</v>
      </c>
      <c r="T149" s="5">
        <f t="shared" si="19"/>
        <v>1.4925373134328358E-2</v>
      </c>
      <c r="U149" s="5">
        <f t="shared" si="20"/>
        <v>2.7932960893854746E-4</v>
      </c>
      <c r="V149" s="6">
        <f t="shared" si="21"/>
        <v>7.4282089552238801</v>
      </c>
      <c r="W149" s="7">
        <f t="shared" si="22"/>
        <v>4.7399047619047616</v>
      </c>
      <c r="X149" s="5">
        <f t="shared" si="23"/>
        <v>0.46016596676646115</v>
      </c>
    </row>
    <row r="150" spans="1:24" x14ac:dyDescent="0.35">
      <c r="A150" s="3">
        <v>46045</v>
      </c>
      <c r="B150" t="s">
        <v>248</v>
      </c>
      <c r="C150" t="s">
        <v>249</v>
      </c>
      <c r="D150" t="s">
        <v>34</v>
      </c>
      <c r="E150" t="s">
        <v>56</v>
      </c>
      <c r="F150" t="s">
        <v>20</v>
      </c>
      <c r="G150" t="s">
        <v>41</v>
      </c>
      <c r="H150" t="s">
        <v>48</v>
      </c>
      <c r="I150">
        <v>2691</v>
      </c>
      <c r="J150">
        <v>1946</v>
      </c>
      <c r="K150">
        <v>1842</v>
      </c>
      <c r="L150">
        <v>92</v>
      </c>
      <c r="M150">
        <v>48</v>
      </c>
      <c r="N150">
        <v>1</v>
      </c>
      <c r="O150">
        <v>185.07</v>
      </c>
      <c r="P150">
        <v>854.15</v>
      </c>
      <c r="Q150" s="5">
        <f t="shared" si="16"/>
        <v>0.94655704008221997</v>
      </c>
      <c r="R150" s="5">
        <f t="shared" si="17"/>
        <v>4.9945711183496201E-2</v>
      </c>
      <c r="S150" s="5">
        <f t="shared" si="18"/>
        <v>0.52173913043478259</v>
      </c>
      <c r="T150" s="5">
        <f t="shared" si="19"/>
        <v>2.0833333333333332E-2</v>
      </c>
      <c r="U150" s="5">
        <f t="shared" si="20"/>
        <v>5.428881650380022E-4</v>
      </c>
      <c r="V150" s="6">
        <f t="shared" si="21"/>
        <v>3.8556249999999999</v>
      </c>
      <c r="W150" s="7">
        <f t="shared" si="22"/>
        <v>2.0116304347826088</v>
      </c>
      <c r="X150" s="5">
        <f t="shared" si="23"/>
        <v>3.61528070459826</v>
      </c>
    </row>
    <row r="151" spans="1:24" x14ac:dyDescent="0.35">
      <c r="A151" s="3">
        <v>46045</v>
      </c>
      <c r="B151" t="s">
        <v>250</v>
      </c>
      <c r="C151" t="s">
        <v>251</v>
      </c>
      <c r="D151" t="s">
        <v>18</v>
      </c>
      <c r="E151" t="s">
        <v>35</v>
      </c>
      <c r="F151" t="s">
        <v>20</v>
      </c>
      <c r="G151" t="s">
        <v>41</v>
      </c>
      <c r="H151" t="s">
        <v>22</v>
      </c>
      <c r="I151">
        <v>4055</v>
      </c>
      <c r="J151">
        <v>3046</v>
      </c>
      <c r="K151">
        <v>2685</v>
      </c>
      <c r="L151">
        <v>213</v>
      </c>
      <c r="M151">
        <v>107</v>
      </c>
      <c r="N151">
        <v>6</v>
      </c>
      <c r="O151">
        <v>412.34</v>
      </c>
      <c r="P151">
        <v>8169.3</v>
      </c>
      <c r="Q151" s="5">
        <f t="shared" si="16"/>
        <v>0.88148391332895604</v>
      </c>
      <c r="R151" s="5">
        <f t="shared" si="17"/>
        <v>7.9329608938547486E-2</v>
      </c>
      <c r="S151" s="5">
        <f t="shared" si="18"/>
        <v>0.50234741784037562</v>
      </c>
      <c r="T151" s="5">
        <f t="shared" si="19"/>
        <v>5.6074766355140186E-2</v>
      </c>
      <c r="U151" s="5">
        <f t="shared" si="20"/>
        <v>2.2346368715083797E-3</v>
      </c>
      <c r="V151" s="6">
        <f t="shared" si="21"/>
        <v>3.8536448598130839</v>
      </c>
      <c r="W151" s="7">
        <f t="shared" si="22"/>
        <v>1.9358685446009389</v>
      </c>
      <c r="X151" s="5">
        <f t="shared" si="23"/>
        <v>18.812048309647381</v>
      </c>
    </row>
    <row r="152" spans="1:24" x14ac:dyDescent="0.35">
      <c r="A152" s="3">
        <v>46045</v>
      </c>
      <c r="B152" t="s">
        <v>130</v>
      </c>
      <c r="C152" t="s">
        <v>252</v>
      </c>
      <c r="D152" t="s">
        <v>40</v>
      </c>
      <c r="E152" t="s">
        <v>56</v>
      </c>
      <c r="F152" t="s">
        <v>26</v>
      </c>
      <c r="G152" t="s">
        <v>41</v>
      </c>
      <c r="H152" t="s">
        <v>37</v>
      </c>
      <c r="I152">
        <v>4057</v>
      </c>
      <c r="J152">
        <v>3028</v>
      </c>
      <c r="K152">
        <v>2874</v>
      </c>
      <c r="L152">
        <v>197</v>
      </c>
      <c r="M152">
        <v>109</v>
      </c>
      <c r="N152">
        <v>6</v>
      </c>
      <c r="O152">
        <v>488.24</v>
      </c>
      <c r="P152">
        <v>5227.24</v>
      </c>
      <c r="Q152" s="5">
        <f t="shared" si="16"/>
        <v>0.94914134742404233</v>
      </c>
      <c r="R152" s="5">
        <f t="shared" si="17"/>
        <v>6.8545581071677103E-2</v>
      </c>
      <c r="S152" s="5">
        <f t="shared" si="18"/>
        <v>0.5532994923857868</v>
      </c>
      <c r="T152" s="5">
        <f t="shared" si="19"/>
        <v>5.5045871559633031E-2</v>
      </c>
      <c r="U152" s="5">
        <f t="shared" si="20"/>
        <v>2.0876826722338203E-3</v>
      </c>
      <c r="V152" s="6">
        <f t="shared" si="21"/>
        <v>4.4792660550458718</v>
      </c>
      <c r="W152" s="7">
        <f t="shared" si="22"/>
        <v>2.4783756345177665</v>
      </c>
      <c r="X152" s="5">
        <f t="shared" si="23"/>
        <v>9.7062919875471074</v>
      </c>
    </row>
    <row r="153" spans="1:24" x14ac:dyDescent="0.35">
      <c r="A153" s="3">
        <v>46045</v>
      </c>
      <c r="B153" t="s">
        <v>130</v>
      </c>
      <c r="C153" t="s">
        <v>253</v>
      </c>
      <c r="D153" t="s">
        <v>34</v>
      </c>
      <c r="E153" t="s">
        <v>19</v>
      </c>
      <c r="F153" t="s">
        <v>20</v>
      </c>
      <c r="G153" t="s">
        <v>36</v>
      </c>
      <c r="H153" t="s">
        <v>48</v>
      </c>
      <c r="I153">
        <v>2021</v>
      </c>
      <c r="J153">
        <v>1910</v>
      </c>
      <c r="K153">
        <v>1800</v>
      </c>
      <c r="L153">
        <v>8</v>
      </c>
      <c r="M153">
        <v>4</v>
      </c>
      <c r="N153">
        <v>0</v>
      </c>
      <c r="O153">
        <v>160.06</v>
      </c>
      <c r="P153">
        <v>0</v>
      </c>
      <c r="Q153" s="5">
        <f t="shared" si="16"/>
        <v>0.94240837696335078</v>
      </c>
      <c r="R153" s="5">
        <f t="shared" si="17"/>
        <v>4.4444444444444444E-3</v>
      </c>
      <c r="S153" s="5">
        <f t="shared" si="18"/>
        <v>0.5</v>
      </c>
      <c r="T153" s="5">
        <f t="shared" si="19"/>
        <v>0</v>
      </c>
      <c r="U153" s="5">
        <f t="shared" si="20"/>
        <v>0</v>
      </c>
      <c r="V153" s="6">
        <f t="shared" si="21"/>
        <v>40.015000000000001</v>
      </c>
      <c r="W153" s="7">
        <f t="shared" si="22"/>
        <v>20.0075</v>
      </c>
      <c r="X153" s="5">
        <f t="shared" si="23"/>
        <v>-1</v>
      </c>
    </row>
    <row r="154" spans="1:24" x14ac:dyDescent="0.35">
      <c r="A154" s="3">
        <v>46045</v>
      </c>
      <c r="B154" t="s">
        <v>154</v>
      </c>
      <c r="C154" t="s">
        <v>254</v>
      </c>
      <c r="D154" t="s">
        <v>34</v>
      </c>
      <c r="E154" t="s">
        <v>35</v>
      </c>
      <c r="F154" t="s">
        <v>20</v>
      </c>
      <c r="G154" t="s">
        <v>36</v>
      </c>
      <c r="H154" t="s">
        <v>37</v>
      </c>
      <c r="I154">
        <v>3175</v>
      </c>
      <c r="J154">
        <v>2925</v>
      </c>
      <c r="K154">
        <v>2763</v>
      </c>
      <c r="L154">
        <v>205</v>
      </c>
      <c r="M154">
        <v>92</v>
      </c>
      <c r="N154">
        <v>6</v>
      </c>
      <c r="O154">
        <v>265.07</v>
      </c>
      <c r="P154">
        <v>5266.5</v>
      </c>
      <c r="Q154" s="5">
        <f t="shared" si="16"/>
        <v>0.94461538461538463</v>
      </c>
      <c r="R154" s="5">
        <f t="shared" si="17"/>
        <v>7.4194715888526969E-2</v>
      </c>
      <c r="S154" s="5">
        <f t="shared" si="18"/>
        <v>0.44878048780487806</v>
      </c>
      <c r="T154" s="5">
        <f t="shared" si="19"/>
        <v>6.5217391304347824E-2</v>
      </c>
      <c r="U154" s="5">
        <f t="shared" si="20"/>
        <v>2.1715526601520088E-3</v>
      </c>
      <c r="V154" s="6">
        <f t="shared" si="21"/>
        <v>2.881195652173913</v>
      </c>
      <c r="W154" s="7">
        <f t="shared" si="22"/>
        <v>1.2930243902439025</v>
      </c>
      <c r="X154" s="5">
        <f t="shared" si="23"/>
        <v>18.868336665786398</v>
      </c>
    </row>
    <row r="155" spans="1:24" x14ac:dyDescent="0.35">
      <c r="A155" s="3">
        <v>46045</v>
      </c>
      <c r="B155" t="s">
        <v>255</v>
      </c>
      <c r="C155" t="s">
        <v>256</v>
      </c>
      <c r="D155" t="s">
        <v>40</v>
      </c>
      <c r="E155" t="s">
        <v>35</v>
      </c>
      <c r="F155" t="s">
        <v>20</v>
      </c>
      <c r="G155" t="s">
        <v>27</v>
      </c>
      <c r="H155" t="s">
        <v>37</v>
      </c>
      <c r="I155">
        <v>3211</v>
      </c>
      <c r="J155">
        <v>2338</v>
      </c>
      <c r="K155">
        <v>2115</v>
      </c>
      <c r="L155">
        <v>146</v>
      </c>
      <c r="M155">
        <v>70</v>
      </c>
      <c r="N155">
        <v>6</v>
      </c>
      <c r="O155">
        <v>373.47</v>
      </c>
      <c r="P155">
        <v>7227.55</v>
      </c>
      <c r="Q155" s="5">
        <f t="shared" si="16"/>
        <v>0.90461933276304529</v>
      </c>
      <c r="R155" s="5">
        <f t="shared" si="17"/>
        <v>6.9030732860520097E-2</v>
      </c>
      <c r="S155" s="5">
        <f t="shared" si="18"/>
        <v>0.47945205479452052</v>
      </c>
      <c r="T155" s="5">
        <f t="shared" si="19"/>
        <v>8.5714285714285715E-2</v>
      </c>
      <c r="U155" s="5">
        <f t="shared" si="20"/>
        <v>2.8368794326241137E-3</v>
      </c>
      <c r="V155" s="6">
        <f t="shared" si="21"/>
        <v>5.3352857142857149</v>
      </c>
      <c r="W155" s="7">
        <f t="shared" si="22"/>
        <v>2.5580136986301372</v>
      </c>
      <c r="X155" s="5">
        <f t="shared" si="23"/>
        <v>18.352424558866844</v>
      </c>
    </row>
    <row r="156" spans="1:24" x14ac:dyDescent="0.35">
      <c r="A156" s="3">
        <v>46045</v>
      </c>
      <c r="B156" t="s">
        <v>257</v>
      </c>
      <c r="C156" t="s">
        <v>258</v>
      </c>
      <c r="D156" t="s">
        <v>18</v>
      </c>
      <c r="E156" t="s">
        <v>25</v>
      </c>
      <c r="F156" t="s">
        <v>26</v>
      </c>
      <c r="G156" t="s">
        <v>21</v>
      </c>
      <c r="H156" t="s">
        <v>22</v>
      </c>
      <c r="I156">
        <v>2871</v>
      </c>
      <c r="J156">
        <v>2690</v>
      </c>
      <c r="K156">
        <v>2394</v>
      </c>
      <c r="L156">
        <v>125</v>
      </c>
      <c r="M156">
        <v>90</v>
      </c>
      <c r="N156">
        <v>6</v>
      </c>
      <c r="O156">
        <v>309.52</v>
      </c>
      <c r="P156">
        <v>5870.94</v>
      </c>
      <c r="Q156" s="5">
        <f t="shared" si="16"/>
        <v>0.88996282527881043</v>
      </c>
      <c r="R156" s="5">
        <f t="shared" si="17"/>
        <v>5.2213868003341685E-2</v>
      </c>
      <c r="S156" s="5">
        <f t="shared" si="18"/>
        <v>0.72</v>
      </c>
      <c r="T156" s="5">
        <f t="shared" si="19"/>
        <v>6.6666666666666666E-2</v>
      </c>
      <c r="U156" s="5">
        <f t="shared" si="20"/>
        <v>2.5062656641604009E-3</v>
      </c>
      <c r="V156" s="6">
        <f t="shared" si="21"/>
        <v>3.439111111111111</v>
      </c>
      <c r="W156" s="7">
        <f t="shared" si="22"/>
        <v>2.4761599999999997</v>
      </c>
      <c r="X156" s="5">
        <f t="shared" si="23"/>
        <v>17.967885758593955</v>
      </c>
    </row>
    <row r="157" spans="1:24" x14ac:dyDescent="0.35">
      <c r="A157" s="3">
        <v>46045</v>
      </c>
      <c r="B157" t="s">
        <v>203</v>
      </c>
      <c r="C157" t="s">
        <v>259</v>
      </c>
      <c r="D157" t="s">
        <v>40</v>
      </c>
      <c r="E157" t="s">
        <v>56</v>
      </c>
      <c r="F157" t="s">
        <v>20</v>
      </c>
      <c r="G157" t="s">
        <v>21</v>
      </c>
      <c r="H157" t="s">
        <v>28</v>
      </c>
      <c r="I157">
        <v>957</v>
      </c>
      <c r="J157">
        <v>844</v>
      </c>
      <c r="K157">
        <v>797</v>
      </c>
      <c r="L157">
        <v>45</v>
      </c>
      <c r="M157">
        <v>19</v>
      </c>
      <c r="N157">
        <v>1</v>
      </c>
      <c r="O157">
        <v>124.4</v>
      </c>
      <c r="P157">
        <v>932.86</v>
      </c>
      <c r="Q157" s="5">
        <f t="shared" si="16"/>
        <v>0.94431279620853081</v>
      </c>
      <c r="R157" s="5">
        <f t="shared" si="17"/>
        <v>5.6461731493099125E-2</v>
      </c>
      <c r="S157" s="5">
        <f t="shared" si="18"/>
        <v>0.42222222222222222</v>
      </c>
      <c r="T157" s="5">
        <f t="shared" si="19"/>
        <v>5.2631578947368418E-2</v>
      </c>
      <c r="U157" s="5">
        <f t="shared" si="20"/>
        <v>1.2547051442910915E-3</v>
      </c>
      <c r="V157" s="6">
        <f t="shared" si="21"/>
        <v>6.5473684210526315</v>
      </c>
      <c r="W157" s="7">
        <f t="shared" si="22"/>
        <v>2.7644444444444445</v>
      </c>
      <c r="X157" s="5">
        <f t="shared" si="23"/>
        <v>6.4988745980707394</v>
      </c>
    </row>
    <row r="158" spans="1:24" x14ac:dyDescent="0.35">
      <c r="A158" s="3">
        <v>46045</v>
      </c>
      <c r="B158" t="s">
        <v>260</v>
      </c>
      <c r="C158" t="s">
        <v>261</v>
      </c>
      <c r="D158" t="s">
        <v>18</v>
      </c>
      <c r="E158" t="s">
        <v>25</v>
      </c>
      <c r="F158" t="s">
        <v>20</v>
      </c>
      <c r="G158" t="s">
        <v>36</v>
      </c>
      <c r="H158" t="s">
        <v>48</v>
      </c>
      <c r="I158">
        <v>2991</v>
      </c>
      <c r="J158">
        <v>2170</v>
      </c>
      <c r="K158">
        <v>2004</v>
      </c>
      <c r="L158">
        <v>80</v>
      </c>
      <c r="M158">
        <v>38</v>
      </c>
      <c r="N158">
        <v>1</v>
      </c>
      <c r="O158">
        <v>251.51</v>
      </c>
      <c r="P158">
        <v>934.75</v>
      </c>
      <c r="Q158" s="5">
        <f t="shared" si="16"/>
        <v>0.92350230414746548</v>
      </c>
      <c r="R158" s="5">
        <f t="shared" si="17"/>
        <v>3.9920159680638723E-2</v>
      </c>
      <c r="S158" s="5">
        <f t="shared" si="18"/>
        <v>0.47499999999999998</v>
      </c>
      <c r="T158" s="5">
        <f t="shared" si="19"/>
        <v>2.6315789473684209E-2</v>
      </c>
      <c r="U158" s="5">
        <f t="shared" si="20"/>
        <v>4.9900199600798399E-4</v>
      </c>
      <c r="V158" s="6">
        <f t="shared" si="21"/>
        <v>6.6186842105263155</v>
      </c>
      <c r="W158" s="7">
        <f t="shared" si="22"/>
        <v>3.143875</v>
      </c>
      <c r="X158" s="5">
        <f t="shared" si="23"/>
        <v>2.7165520257643831</v>
      </c>
    </row>
    <row r="159" spans="1:24" x14ac:dyDescent="0.35">
      <c r="A159" s="3">
        <v>46045</v>
      </c>
      <c r="B159" t="s">
        <v>262</v>
      </c>
      <c r="C159" t="s">
        <v>263</v>
      </c>
      <c r="D159" t="s">
        <v>18</v>
      </c>
      <c r="E159" t="s">
        <v>19</v>
      </c>
      <c r="F159" t="s">
        <v>20</v>
      </c>
      <c r="G159" t="s">
        <v>59</v>
      </c>
      <c r="H159" t="s">
        <v>28</v>
      </c>
      <c r="I159">
        <v>3211</v>
      </c>
      <c r="J159">
        <v>3137</v>
      </c>
      <c r="K159">
        <v>2848</v>
      </c>
      <c r="L159">
        <v>59</v>
      </c>
      <c r="M159">
        <v>33</v>
      </c>
      <c r="N159">
        <v>0</v>
      </c>
      <c r="O159">
        <v>367.3</v>
      </c>
      <c r="P159">
        <v>0</v>
      </c>
      <c r="Q159" s="5">
        <f t="shared" si="16"/>
        <v>0.90787376474338544</v>
      </c>
      <c r="R159" s="5">
        <f t="shared" si="17"/>
        <v>2.0716292134831459E-2</v>
      </c>
      <c r="S159" s="5">
        <f t="shared" si="18"/>
        <v>0.55932203389830504</v>
      </c>
      <c r="T159" s="5">
        <f t="shared" si="19"/>
        <v>0</v>
      </c>
      <c r="U159" s="5">
        <f t="shared" si="20"/>
        <v>0</v>
      </c>
      <c r="V159" s="6">
        <f t="shared" si="21"/>
        <v>11.130303030303031</v>
      </c>
      <c r="W159" s="7">
        <f t="shared" si="22"/>
        <v>6.2254237288135599</v>
      </c>
      <c r="X159" s="5">
        <f t="shared" si="23"/>
        <v>-1</v>
      </c>
    </row>
    <row r="160" spans="1:24" x14ac:dyDescent="0.35">
      <c r="A160" s="3">
        <v>46046</v>
      </c>
      <c r="B160" t="s">
        <v>83</v>
      </c>
      <c r="C160" t="s">
        <v>264</v>
      </c>
      <c r="D160" t="s">
        <v>18</v>
      </c>
      <c r="E160" t="s">
        <v>25</v>
      </c>
      <c r="F160" t="s">
        <v>20</v>
      </c>
      <c r="G160" t="s">
        <v>21</v>
      </c>
      <c r="H160" t="s">
        <v>51</v>
      </c>
      <c r="I160">
        <v>4999</v>
      </c>
      <c r="J160">
        <v>4158</v>
      </c>
      <c r="K160">
        <v>3710</v>
      </c>
      <c r="L160">
        <v>195</v>
      </c>
      <c r="M160">
        <v>101</v>
      </c>
      <c r="N160">
        <v>5</v>
      </c>
      <c r="O160">
        <v>431.45</v>
      </c>
      <c r="P160">
        <v>3957.03</v>
      </c>
      <c r="Q160" s="5">
        <f t="shared" si="16"/>
        <v>0.8922558922558923</v>
      </c>
      <c r="R160" s="5">
        <f t="shared" si="17"/>
        <v>5.2560646900269542E-2</v>
      </c>
      <c r="S160" s="5">
        <f t="shared" si="18"/>
        <v>0.517948717948718</v>
      </c>
      <c r="T160" s="5">
        <f t="shared" si="19"/>
        <v>4.9504950495049507E-2</v>
      </c>
      <c r="U160" s="5">
        <f t="shared" si="20"/>
        <v>1.3477088948787063E-3</v>
      </c>
      <c r="V160" s="6">
        <f t="shared" si="21"/>
        <v>4.2717821782178218</v>
      </c>
      <c r="W160" s="7">
        <f t="shared" si="22"/>
        <v>2.2125641025641025</v>
      </c>
      <c r="X160" s="5">
        <f t="shared" si="23"/>
        <v>8.171468304554411</v>
      </c>
    </row>
    <row r="161" spans="1:24" x14ac:dyDescent="0.35">
      <c r="A161" s="3">
        <v>46046</v>
      </c>
      <c r="B161" t="s">
        <v>101</v>
      </c>
      <c r="C161" t="s">
        <v>265</v>
      </c>
      <c r="D161" t="s">
        <v>18</v>
      </c>
      <c r="E161" t="s">
        <v>56</v>
      </c>
      <c r="F161" t="s">
        <v>20</v>
      </c>
      <c r="G161" t="s">
        <v>21</v>
      </c>
      <c r="H161" t="s">
        <v>51</v>
      </c>
      <c r="I161">
        <v>2017</v>
      </c>
      <c r="J161">
        <v>1762</v>
      </c>
      <c r="K161">
        <v>1622</v>
      </c>
      <c r="L161">
        <v>107</v>
      </c>
      <c r="M161">
        <v>55</v>
      </c>
      <c r="N161">
        <v>1</v>
      </c>
      <c r="O161">
        <v>241.9</v>
      </c>
      <c r="P161">
        <v>704.56</v>
      </c>
      <c r="Q161" s="5">
        <f t="shared" si="16"/>
        <v>0.92054483541430188</v>
      </c>
      <c r="R161" s="5">
        <f t="shared" si="17"/>
        <v>6.5967940813810105E-2</v>
      </c>
      <c r="S161" s="5">
        <f t="shared" si="18"/>
        <v>0.51401869158878499</v>
      </c>
      <c r="T161" s="5">
        <f t="shared" si="19"/>
        <v>1.8181818181818181E-2</v>
      </c>
      <c r="U161" s="5">
        <f t="shared" si="20"/>
        <v>6.1652281134401974E-4</v>
      </c>
      <c r="V161" s="6">
        <f t="shared" si="21"/>
        <v>4.3981818181818184</v>
      </c>
      <c r="W161" s="7">
        <f t="shared" si="22"/>
        <v>2.2607476635514021</v>
      </c>
      <c r="X161" s="5">
        <f t="shared" si="23"/>
        <v>1.9126085159156674</v>
      </c>
    </row>
    <row r="162" spans="1:24" x14ac:dyDescent="0.35">
      <c r="A162" s="3">
        <v>46046</v>
      </c>
      <c r="B162" t="s">
        <v>52</v>
      </c>
      <c r="C162" t="s">
        <v>266</v>
      </c>
      <c r="D162" t="s">
        <v>31</v>
      </c>
      <c r="E162" t="s">
        <v>56</v>
      </c>
      <c r="F162" t="s">
        <v>20</v>
      </c>
      <c r="G162" t="s">
        <v>21</v>
      </c>
      <c r="H162" t="s">
        <v>22</v>
      </c>
      <c r="I162">
        <v>1423</v>
      </c>
      <c r="J162">
        <v>1071</v>
      </c>
      <c r="K162">
        <v>1047</v>
      </c>
      <c r="L162">
        <v>36</v>
      </c>
      <c r="M162">
        <v>13</v>
      </c>
      <c r="N162">
        <v>1</v>
      </c>
      <c r="O162">
        <v>176.8</v>
      </c>
      <c r="P162">
        <v>1029.6400000000001</v>
      </c>
      <c r="Q162" s="5">
        <f t="shared" si="16"/>
        <v>0.97759103641456579</v>
      </c>
      <c r="R162" s="5">
        <f t="shared" si="17"/>
        <v>3.4383954154727794E-2</v>
      </c>
      <c r="S162" s="5">
        <f t="shared" si="18"/>
        <v>0.3611111111111111</v>
      </c>
      <c r="T162" s="5">
        <f t="shared" si="19"/>
        <v>7.6923076923076927E-2</v>
      </c>
      <c r="U162" s="5">
        <f t="shared" si="20"/>
        <v>9.5510983763132757E-4</v>
      </c>
      <c r="V162" s="6">
        <f t="shared" si="21"/>
        <v>13.600000000000001</v>
      </c>
      <c r="W162" s="7">
        <f t="shared" si="22"/>
        <v>4.9111111111111114</v>
      </c>
      <c r="X162" s="5">
        <f t="shared" si="23"/>
        <v>4.8237556561085979</v>
      </c>
    </row>
    <row r="163" spans="1:24" x14ac:dyDescent="0.35">
      <c r="A163" s="3">
        <v>46046</v>
      </c>
      <c r="B163" t="s">
        <v>203</v>
      </c>
      <c r="C163" t="s">
        <v>267</v>
      </c>
      <c r="D163" t="s">
        <v>40</v>
      </c>
      <c r="E163" t="s">
        <v>25</v>
      </c>
      <c r="F163" t="s">
        <v>26</v>
      </c>
      <c r="G163" t="s">
        <v>59</v>
      </c>
      <c r="H163" t="s">
        <v>51</v>
      </c>
      <c r="I163">
        <v>1885</v>
      </c>
      <c r="J163">
        <v>1850</v>
      </c>
      <c r="K163">
        <v>1709</v>
      </c>
      <c r="L163">
        <v>97</v>
      </c>
      <c r="M163">
        <v>54</v>
      </c>
      <c r="N163">
        <v>1</v>
      </c>
      <c r="O163">
        <v>249.4</v>
      </c>
      <c r="P163">
        <v>721.24</v>
      </c>
      <c r="Q163" s="5">
        <f t="shared" si="16"/>
        <v>0.92378378378378379</v>
      </c>
      <c r="R163" s="5">
        <f t="shared" si="17"/>
        <v>5.6758338209479231E-2</v>
      </c>
      <c r="S163" s="5">
        <f t="shared" si="18"/>
        <v>0.55670103092783507</v>
      </c>
      <c r="T163" s="5">
        <f t="shared" si="19"/>
        <v>1.8518518518518517E-2</v>
      </c>
      <c r="U163" s="5">
        <f t="shared" si="20"/>
        <v>5.8513750731421885E-4</v>
      </c>
      <c r="V163" s="6">
        <f t="shared" si="21"/>
        <v>4.6185185185185187</v>
      </c>
      <c r="W163" s="7">
        <f t="shared" si="22"/>
        <v>2.5711340206185569</v>
      </c>
      <c r="X163" s="5">
        <f t="shared" si="23"/>
        <v>1.8919005613472335</v>
      </c>
    </row>
    <row r="164" spans="1:24" x14ac:dyDescent="0.35">
      <c r="A164" s="3">
        <v>46046</v>
      </c>
      <c r="B164" t="s">
        <v>77</v>
      </c>
      <c r="C164" t="s">
        <v>268</v>
      </c>
      <c r="D164" t="s">
        <v>18</v>
      </c>
      <c r="E164" t="s">
        <v>35</v>
      </c>
      <c r="F164" t="s">
        <v>20</v>
      </c>
      <c r="G164" t="s">
        <v>59</v>
      </c>
      <c r="H164" t="s">
        <v>22</v>
      </c>
      <c r="I164">
        <v>693</v>
      </c>
      <c r="J164">
        <v>505</v>
      </c>
      <c r="K164">
        <v>451</v>
      </c>
      <c r="L164">
        <v>40</v>
      </c>
      <c r="M164">
        <v>18</v>
      </c>
      <c r="N164">
        <v>2</v>
      </c>
      <c r="O164">
        <v>65.8</v>
      </c>
      <c r="P164">
        <v>2762.79</v>
      </c>
      <c r="Q164" s="5">
        <f t="shared" si="16"/>
        <v>0.89306930693069309</v>
      </c>
      <c r="R164" s="5">
        <f t="shared" si="17"/>
        <v>8.8691796008869186E-2</v>
      </c>
      <c r="S164" s="5">
        <f t="shared" si="18"/>
        <v>0.45</v>
      </c>
      <c r="T164" s="5">
        <f t="shared" si="19"/>
        <v>0.1111111111111111</v>
      </c>
      <c r="U164" s="5">
        <f t="shared" si="20"/>
        <v>4.434589800443459E-3</v>
      </c>
      <c r="V164" s="6">
        <f t="shared" si="21"/>
        <v>3.6555555555555554</v>
      </c>
      <c r="W164" s="7">
        <f t="shared" si="22"/>
        <v>1.645</v>
      </c>
      <c r="X164" s="5">
        <f t="shared" si="23"/>
        <v>40.987689969604858</v>
      </c>
    </row>
    <row r="165" spans="1:24" x14ac:dyDescent="0.35">
      <c r="A165" s="3">
        <v>46046</v>
      </c>
      <c r="B165" t="s">
        <v>157</v>
      </c>
      <c r="C165" t="s">
        <v>269</v>
      </c>
      <c r="D165" t="s">
        <v>18</v>
      </c>
      <c r="E165" t="s">
        <v>35</v>
      </c>
      <c r="F165" t="s">
        <v>20</v>
      </c>
      <c r="G165" t="s">
        <v>36</v>
      </c>
      <c r="H165" t="s">
        <v>28</v>
      </c>
      <c r="I165">
        <v>4429</v>
      </c>
      <c r="J165">
        <v>3470</v>
      </c>
      <c r="K165">
        <v>3129</v>
      </c>
      <c r="L165">
        <v>231</v>
      </c>
      <c r="M165">
        <v>128</v>
      </c>
      <c r="N165">
        <v>8</v>
      </c>
      <c r="O165">
        <v>474.6</v>
      </c>
      <c r="P165">
        <v>8568.08</v>
      </c>
      <c r="Q165" s="5">
        <f t="shared" si="16"/>
        <v>0.90172910662824213</v>
      </c>
      <c r="R165" s="5">
        <f t="shared" si="17"/>
        <v>7.3825503355704702E-2</v>
      </c>
      <c r="S165" s="5">
        <f t="shared" si="18"/>
        <v>0.55411255411255411</v>
      </c>
      <c r="T165" s="5">
        <f t="shared" si="19"/>
        <v>6.25E-2</v>
      </c>
      <c r="U165" s="5">
        <f t="shared" si="20"/>
        <v>2.556727388942154E-3</v>
      </c>
      <c r="V165" s="6">
        <f t="shared" si="21"/>
        <v>3.7078125000000002</v>
      </c>
      <c r="W165" s="7">
        <f t="shared" si="22"/>
        <v>2.0545454545454547</v>
      </c>
      <c r="X165" s="5">
        <f t="shared" si="23"/>
        <v>17.053265908133163</v>
      </c>
    </row>
    <row r="166" spans="1:24" x14ac:dyDescent="0.35">
      <c r="A166" s="3">
        <v>46047</v>
      </c>
      <c r="B166" t="s">
        <v>110</v>
      </c>
      <c r="C166" t="s">
        <v>270</v>
      </c>
      <c r="D166" t="s">
        <v>18</v>
      </c>
      <c r="E166" t="s">
        <v>25</v>
      </c>
      <c r="F166" t="s">
        <v>26</v>
      </c>
      <c r="G166" t="s">
        <v>59</v>
      </c>
      <c r="H166" t="s">
        <v>28</v>
      </c>
      <c r="I166">
        <v>4839</v>
      </c>
      <c r="J166">
        <v>4173</v>
      </c>
      <c r="K166">
        <v>3775</v>
      </c>
      <c r="L166">
        <v>210</v>
      </c>
      <c r="M166">
        <v>145</v>
      </c>
      <c r="N166">
        <v>8</v>
      </c>
      <c r="O166">
        <v>454.77</v>
      </c>
      <c r="P166">
        <v>6776.4</v>
      </c>
      <c r="Q166" s="5">
        <f t="shared" si="16"/>
        <v>0.90462497004553077</v>
      </c>
      <c r="R166" s="5">
        <f t="shared" si="17"/>
        <v>5.562913907284768E-2</v>
      </c>
      <c r="S166" s="5">
        <f t="shared" si="18"/>
        <v>0.69047619047619047</v>
      </c>
      <c r="T166" s="5">
        <f t="shared" si="19"/>
        <v>5.5172413793103448E-2</v>
      </c>
      <c r="U166" s="5">
        <f t="shared" si="20"/>
        <v>2.119205298013245E-3</v>
      </c>
      <c r="V166" s="6">
        <f t="shared" si="21"/>
        <v>3.1363448275862069</v>
      </c>
      <c r="W166" s="7">
        <f t="shared" si="22"/>
        <v>2.1655714285714285</v>
      </c>
      <c r="X166" s="5">
        <f t="shared" si="23"/>
        <v>13.900719044791872</v>
      </c>
    </row>
    <row r="167" spans="1:24" x14ac:dyDescent="0.35">
      <c r="A167" s="3">
        <v>46047</v>
      </c>
      <c r="B167" t="s">
        <v>44</v>
      </c>
      <c r="C167" t="s">
        <v>271</v>
      </c>
      <c r="D167" t="s">
        <v>18</v>
      </c>
      <c r="E167" t="s">
        <v>19</v>
      </c>
      <c r="F167" t="s">
        <v>26</v>
      </c>
      <c r="G167" t="s">
        <v>41</v>
      </c>
      <c r="H167" t="s">
        <v>22</v>
      </c>
      <c r="I167">
        <v>3187</v>
      </c>
      <c r="J167">
        <v>2451</v>
      </c>
      <c r="K167">
        <v>2235</v>
      </c>
      <c r="L167">
        <v>46</v>
      </c>
      <c r="M167">
        <v>27</v>
      </c>
      <c r="N167">
        <v>0</v>
      </c>
      <c r="O167">
        <v>333.1</v>
      </c>
      <c r="P167">
        <v>0</v>
      </c>
      <c r="Q167" s="5">
        <f t="shared" si="16"/>
        <v>0.91187270501835982</v>
      </c>
      <c r="R167" s="5">
        <f t="shared" si="17"/>
        <v>2.058165548098434E-2</v>
      </c>
      <c r="S167" s="5">
        <f t="shared" si="18"/>
        <v>0.58695652173913049</v>
      </c>
      <c r="T167" s="5">
        <f t="shared" si="19"/>
        <v>0</v>
      </c>
      <c r="U167" s="5">
        <f t="shared" si="20"/>
        <v>0</v>
      </c>
      <c r="V167" s="6">
        <f t="shared" si="21"/>
        <v>12.337037037037037</v>
      </c>
      <c r="W167" s="7">
        <f t="shared" si="22"/>
        <v>7.2413043478260875</v>
      </c>
      <c r="X167" s="5">
        <f t="shared" si="23"/>
        <v>-1</v>
      </c>
    </row>
    <row r="168" spans="1:24" x14ac:dyDescent="0.35">
      <c r="A168" s="3">
        <v>46047</v>
      </c>
      <c r="B168" t="s">
        <v>248</v>
      </c>
      <c r="C168" t="s">
        <v>272</v>
      </c>
      <c r="D168" t="s">
        <v>31</v>
      </c>
      <c r="E168" t="s">
        <v>56</v>
      </c>
      <c r="F168" t="s">
        <v>20</v>
      </c>
      <c r="G168" t="s">
        <v>27</v>
      </c>
      <c r="H168" t="s">
        <v>22</v>
      </c>
      <c r="I168">
        <v>1101</v>
      </c>
      <c r="J168">
        <v>955</v>
      </c>
      <c r="K168">
        <v>926</v>
      </c>
      <c r="L168">
        <v>27</v>
      </c>
      <c r="M168">
        <v>10</v>
      </c>
      <c r="N168">
        <v>1</v>
      </c>
      <c r="O168">
        <v>198.94</v>
      </c>
      <c r="P168">
        <v>865.35</v>
      </c>
      <c r="Q168" s="5">
        <f t="shared" si="16"/>
        <v>0.96963350785340319</v>
      </c>
      <c r="R168" s="5">
        <f t="shared" si="17"/>
        <v>2.9157667386609073E-2</v>
      </c>
      <c r="S168" s="5">
        <f t="shared" si="18"/>
        <v>0.37037037037037035</v>
      </c>
      <c r="T168" s="5">
        <f t="shared" si="19"/>
        <v>0.1</v>
      </c>
      <c r="U168" s="5">
        <f t="shared" si="20"/>
        <v>1.0799136069114472E-3</v>
      </c>
      <c r="V168" s="6">
        <f t="shared" si="21"/>
        <v>19.893999999999998</v>
      </c>
      <c r="W168" s="7">
        <f t="shared" si="22"/>
        <v>7.3681481481481477</v>
      </c>
      <c r="X168" s="5">
        <f t="shared" si="23"/>
        <v>3.3498039609932646</v>
      </c>
    </row>
    <row r="169" spans="1:24" x14ac:dyDescent="0.35">
      <c r="A169" s="3">
        <v>46047</v>
      </c>
      <c r="B169" t="s">
        <v>46</v>
      </c>
      <c r="C169" t="s">
        <v>273</v>
      </c>
      <c r="D169" t="s">
        <v>34</v>
      </c>
      <c r="E169" t="s">
        <v>35</v>
      </c>
      <c r="F169" t="s">
        <v>26</v>
      </c>
      <c r="G169" t="s">
        <v>36</v>
      </c>
      <c r="H169" t="s">
        <v>37</v>
      </c>
      <c r="I169">
        <v>4216</v>
      </c>
      <c r="J169">
        <v>4085</v>
      </c>
      <c r="K169">
        <v>4006</v>
      </c>
      <c r="L169">
        <v>401</v>
      </c>
      <c r="M169">
        <v>235</v>
      </c>
      <c r="N169">
        <v>21</v>
      </c>
      <c r="O169">
        <v>346.71</v>
      </c>
      <c r="P169">
        <v>27880.29</v>
      </c>
      <c r="Q169" s="5">
        <f t="shared" si="16"/>
        <v>0.98066095471236225</v>
      </c>
      <c r="R169" s="5">
        <f t="shared" si="17"/>
        <v>0.100099850224663</v>
      </c>
      <c r="S169" s="5">
        <f t="shared" si="18"/>
        <v>0.58603491271820451</v>
      </c>
      <c r="T169" s="5">
        <f t="shared" si="19"/>
        <v>8.9361702127659579E-2</v>
      </c>
      <c r="U169" s="5">
        <f t="shared" si="20"/>
        <v>5.2421367948077887E-3</v>
      </c>
      <c r="V169" s="6">
        <f t="shared" si="21"/>
        <v>1.4753617021276595</v>
      </c>
      <c r="W169" s="7">
        <f t="shared" si="22"/>
        <v>0.86461346633416458</v>
      </c>
      <c r="X169" s="5">
        <f t="shared" si="23"/>
        <v>79.413861728822368</v>
      </c>
    </row>
    <row r="170" spans="1:24" x14ac:dyDescent="0.35">
      <c r="A170" s="3">
        <v>46047</v>
      </c>
      <c r="B170" t="s">
        <v>232</v>
      </c>
      <c r="C170" t="s">
        <v>274</v>
      </c>
      <c r="D170" t="s">
        <v>34</v>
      </c>
      <c r="E170" t="s">
        <v>35</v>
      </c>
      <c r="F170" t="s">
        <v>20</v>
      </c>
      <c r="G170" t="s">
        <v>21</v>
      </c>
      <c r="H170" t="s">
        <v>48</v>
      </c>
      <c r="I170">
        <v>709</v>
      </c>
      <c r="J170">
        <v>628</v>
      </c>
      <c r="K170">
        <v>585</v>
      </c>
      <c r="L170">
        <v>41</v>
      </c>
      <c r="M170">
        <v>22</v>
      </c>
      <c r="N170">
        <v>2</v>
      </c>
      <c r="O170">
        <v>45.65</v>
      </c>
      <c r="P170">
        <v>2854.89</v>
      </c>
      <c r="Q170" s="5">
        <f t="shared" si="16"/>
        <v>0.93152866242038213</v>
      </c>
      <c r="R170" s="5">
        <f t="shared" si="17"/>
        <v>7.0085470085470086E-2</v>
      </c>
      <c r="S170" s="5">
        <f t="shared" si="18"/>
        <v>0.53658536585365857</v>
      </c>
      <c r="T170" s="5">
        <f t="shared" si="19"/>
        <v>9.0909090909090912E-2</v>
      </c>
      <c r="U170" s="5">
        <f t="shared" si="20"/>
        <v>3.4188034188034188E-3</v>
      </c>
      <c r="V170" s="6">
        <f t="shared" si="21"/>
        <v>2.0749999999999997</v>
      </c>
      <c r="W170" s="7">
        <f t="shared" si="22"/>
        <v>1.1134146341463413</v>
      </c>
      <c r="X170" s="5">
        <f t="shared" si="23"/>
        <v>61.538663745892656</v>
      </c>
    </row>
    <row r="171" spans="1:24" x14ac:dyDescent="0.35">
      <c r="A171" s="3">
        <v>46047</v>
      </c>
      <c r="B171" t="s">
        <v>215</v>
      </c>
      <c r="C171" t="s">
        <v>275</v>
      </c>
      <c r="D171" t="s">
        <v>34</v>
      </c>
      <c r="E171" t="s">
        <v>35</v>
      </c>
      <c r="F171" t="s">
        <v>26</v>
      </c>
      <c r="G171" t="s">
        <v>27</v>
      </c>
      <c r="H171" t="s">
        <v>22</v>
      </c>
      <c r="I171">
        <v>4143</v>
      </c>
      <c r="J171">
        <v>3073</v>
      </c>
      <c r="K171">
        <v>2872</v>
      </c>
      <c r="L171">
        <v>244</v>
      </c>
      <c r="M171">
        <v>147</v>
      </c>
      <c r="N171">
        <v>12</v>
      </c>
      <c r="O171">
        <v>244.76</v>
      </c>
      <c r="P171">
        <v>10519.83</v>
      </c>
      <c r="Q171" s="5">
        <f t="shared" si="16"/>
        <v>0.93459160429547672</v>
      </c>
      <c r="R171" s="5">
        <f t="shared" si="17"/>
        <v>8.495821727019498E-2</v>
      </c>
      <c r="S171" s="5">
        <f t="shared" si="18"/>
        <v>0.60245901639344257</v>
      </c>
      <c r="T171" s="5">
        <f t="shared" si="19"/>
        <v>8.1632653061224483E-2</v>
      </c>
      <c r="U171" s="5">
        <f t="shared" si="20"/>
        <v>4.178272980501393E-3</v>
      </c>
      <c r="V171" s="6">
        <f t="shared" si="21"/>
        <v>1.665034013605442</v>
      </c>
      <c r="W171" s="7">
        <f t="shared" si="22"/>
        <v>1.0031147540983607</v>
      </c>
      <c r="X171" s="5">
        <f t="shared" si="23"/>
        <v>41.980184670697824</v>
      </c>
    </row>
    <row r="172" spans="1:24" x14ac:dyDescent="0.35">
      <c r="A172" s="3">
        <v>46047</v>
      </c>
      <c r="B172" t="s">
        <v>73</v>
      </c>
      <c r="C172" t="s">
        <v>276</v>
      </c>
      <c r="D172" t="s">
        <v>31</v>
      </c>
      <c r="E172" t="s">
        <v>25</v>
      </c>
      <c r="F172" t="s">
        <v>20</v>
      </c>
      <c r="G172" t="s">
        <v>59</v>
      </c>
      <c r="H172" t="s">
        <v>48</v>
      </c>
      <c r="I172">
        <v>4873</v>
      </c>
      <c r="J172">
        <v>3968</v>
      </c>
      <c r="K172">
        <v>3928</v>
      </c>
      <c r="L172">
        <v>145</v>
      </c>
      <c r="M172">
        <v>55</v>
      </c>
      <c r="N172">
        <v>1</v>
      </c>
      <c r="O172">
        <v>674.17</v>
      </c>
      <c r="P172">
        <v>1323.62</v>
      </c>
      <c r="Q172" s="5">
        <f t="shared" si="16"/>
        <v>0.98991935483870963</v>
      </c>
      <c r="R172" s="5">
        <f t="shared" si="17"/>
        <v>3.6914460285132386E-2</v>
      </c>
      <c r="S172" s="5">
        <f t="shared" si="18"/>
        <v>0.37931034482758619</v>
      </c>
      <c r="T172" s="5">
        <f t="shared" si="19"/>
        <v>1.8181818181818181E-2</v>
      </c>
      <c r="U172" s="5">
        <f t="shared" si="20"/>
        <v>2.5458248472505089E-4</v>
      </c>
      <c r="V172" s="6">
        <f t="shared" si="21"/>
        <v>12.257636363636363</v>
      </c>
      <c r="W172" s="7">
        <f t="shared" si="22"/>
        <v>4.6494482758620688</v>
      </c>
      <c r="X172" s="5">
        <f t="shared" si="23"/>
        <v>0.96333269056766091</v>
      </c>
    </row>
    <row r="173" spans="1:24" x14ac:dyDescent="0.35">
      <c r="A173" s="3">
        <v>46048</v>
      </c>
      <c r="B173" t="s">
        <v>122</v>
      </c>
      <c r="C173" t="s">
        <v>277</v>
      </c>
      <c r="D173" t="s">
        <v>31</v>
      </c>
      <c r="E173" t="s">
        <v>35</v>
      </c>
      <c r="F173" t="s">
        <v>20</v>
      </c>
      <c r="G173" t="s">
        <v>59</v>
      </c>
      <c r="H173" t="s">
        <v>28</v>
      </c>
      <c r="I173">
        <v>4846</v>
      </c>
      <c r="J173">
        <v>4023</v>
      </c>
      <c r="K173">
        <v>3882</v>
      </c>
      <c r="L173">
        <v>194</v>
      </c>
      <c r="M173">
        <v>68</v>
      </c>
      <c r="N173">
        <v>4</v>
      </c>
      <c r="O173">
        <v>654.54</v>
      </c>
      <c r="P173">
        <v>5387.55</v>
      </c>
      <c r="Q173" s="5">
        <f t="shared" si="16"/>
        <v>0.96495152870991796</v>
      </c>
      <c r="R173" s="5">
        <f t="shared" si="17"/>
        <v>4.9974240082431738E-2</v>
      </c>
      <c r="S173" s="5">
        <f t="shared" si="18"/>
        <v>0.35051546391752575</v>
      </c>
      <c r="T173" s="5">
        <f t="shared" si="19"/>
        <v>5.8823529411764705E-2</v>
      </c>
      <c r="U173" s="5">
        <f t="shared" si="20"/>
        <v>1.0303967027305513E-3</v>
      </c>
      <c r="V173" s="6">
        <f t="shared" si="21"/>
        <v>9.6255882352941171</v>
      </c>
      <c r="W173" s="7">
        <f t="shared" si="22"/>
        <v>3.3739175257731957</v>
      </c>
      <c r="X173" s="5">
        <f t="shared" si="23"/>
        <v>7.2310477587313233</v>
      </c>
    </row>
    <row r="174" spans="1:24" x14ac:dyDescent="0.35">
      <c r="A174" s="3">
        <v>46048</v>
      </c>
      <c r="B174" t="s">
        <v>278</v>
      </c>
      <c r="C174" t="s">
        <v>279</v>
      </c>
      <c r="D174" t="s">
        <v>34</v>
      </c>
      <c r="E174" t="s">
        <v>56</v>
      </c>
      <c r="F174" t="s">
        <v>26</v>
      </c>
      <c r="G174" t="s">
        <v>36</v>
      </c>
      <c r="H174" t="s">
        <v>48</v>
      </c>
      <c r="I174">
        <v>2604</v>
      </c>
      <c r="J174">
        <v>2092</v>
      </c>
      <c r="K174">
        <v>1981</v>
      </c>
      <c r="L174">
        <v>145</v>
      </c>
      <c r="M174">
        <v>80</v>
      </c>
      <c r="N174">
        <v>5</v>
      </c>
      <c r="O174">
        <v>193.1</v>
      </c>
      <c r="P174">
        <v>7671.18</v>
      </c>
      <c r="Q174" s="5">
        <f t="shared" si="16"/>
        <v>0.94694072657743789</v>
      </c>
      <c r="R174" s="5">
        <f t="shared" si="17"/>
        <v>7.3195355880868243E-2</v>
      </c>
      <c r="S174" s="5">
        <f t="shared" si="18"/>
        <v>0.55172413793103448</v>
      </c>
      <c r="T174" s="5">
        <f t="shared" si="19"/>
        <v>6.25E-2</v>
      </c>
      <c r="U174" s="5">
        <f t="shared" si="20"/>
        <v>2.5239777889954568E-3</v>
      </c>
      <c r="V174" s="6">
        <f t="shared" si="21"/>
        <v>2.4137499999999998</v>
      </c>
      <c r="W174" s="7">
        <f t="shared" si="22"/>
        <v>1.3317241379310345</v>
      </c>
      <c r="X174" s="5">
        <f t="shared" si="23"/>
        <v>38.72646297255308</v>
      </c>
    </row>
    <row r="175" spans="1:24" x14ac:dyDescent="0.35">
      <c r="A175" s="3">
        <v>46048</v>
      </c>
      <c r="B175" t="s">
        <v>95</v>
      </c>
      <c r="C175" t="s">
        <v>280</v>
      </c>
      <c r="D175" t="s">
        <v>34</v>
      </c>
      <c r="E175" t="s">
        <v>25</v>
      </c>
      <c r="F175" t="s">
        <v>26</v>
      </c>
      <c r="G175" t="s">
        <v>27</v>
      </c>
      <c r="H175" t="s">
        <v>48</v>
      </c>
      <c r="I175">
        <v>3557</v>
      </c>
      <c r="J175">
        <v>3473</v>
      </c>
      <c r="K175">
        <v>3288</v>
      </c>
      <c r="L175">
        <v>151</v>
      </c>
      <c r="M175">
        <v>95</v>
      </c>
      <c r="N175">
        <v>4</v>
      </c>
      <c r="O175">
        <v>318.29000000000002</v>
      </c>
      <c r="P175">
        <v>3910.81</v>
      </c>
      <c r="Q175" s="5">
        <f t="shared" si="16"/>
        <v>0.94673193204722139</v>
      </c>
      <c r="R175" s="5">
        <f t="shared" si="17"/>
        <v>4.5924574209245742E-2</v>
      </c>
      <c r="S175" s="5">
        <f t="shared" si="18"/>
        <v>0.62913907284768211</v>
      </c>
      <c r="T175" s="5">
        <f t="shared" si="19"/>
        <v>4.2105263157894736E-2</v>
      </c>
      <c r="U175" s="5">
        <f t="shared" si="20"/>
        <v>1.2165450121654502E-3</v>
      </c>
      <c r="V175" s="6">
        <f t="shared" si="21"/>
        <v>3.350421052631579</v>
      </c>
      <c r="W175" s="7">
        <f t="shared" si="22"/>
        <v>2.1078807947019871</v>
      </c>
      <c r="X175" s="5">
        <f t="shared" si="23"/>
        <v>11.286939583398787</v>
      </c>
    </row>
    <row r="176" spans="1:24" x14ac:dyDescent="0.35">
      <c r="A176" s="3">
        <v>46048</v>
      </c>
      <c r="B176" t="s">
        <v>97</v>
      </c>
      <c r="C176" t="s">
        <v>281</v>
      </c>
      <c r="D176" t="s">
        <v>34</v>
      </c>
      <c r="E176" t="s">
        <v>35</v>
      </c>
      <c r="F176" t="s">
        <v>20</v>
      </c>
      <c r="G176" t="s">
        <v>41</v>
      </c>
      <c r="H176" t="s">
        <v>28</v>
      </c>
      <c r="I176">
        <v>2771</v>
      </c>
      <c r="J176">
        <v>2141</v>
      </c>
      <c r="K176">
        <v>2011</v>
      </c>
      <c r="L176">
        <v>108</v>
      </c>
      <c r="M176">
        <v>49</v>
      </c>
      <c r="N176">
        <v>3</v>
      </c>
      <c r="O176">
        <v>175.73</v>
      </c>
      <c r="P176">
        <v>2572.25</v>
      </c>
      <c r="Q176" s="5">
        <f t="shared" si="16"/>
        <v>0.93928070994862212</v>
      </c>
      <c r="R176" s="5">
        <f t="shared" si="17"/>
        <v>5.370462456489309E-2</v>
      </c>
      <c r="S176" s="5">
        <f t="shared" si="18"/>
        <v>0.45370370370370372</v>
      </c>
      <c r="T176" s="5">
        <f t="shared" si="19"/>
        <v>6.1224489795918366E-2</v>
      </c>
      <c r="U176" s="5">
        <f t="shared" si="20"/>
        <v>1.4917951268025858E-3</v>
      </c>
      <c r="V176" s="6">
        <f t="shared" si="21"/>
        <v>3.5863265306122445</v>
      </c>
      <c r="W176" s="7">
        <f t="shared" si="22"/>
        <v>1.6271296296296296</v>
      </c>
      <c r="X176" s="5">
        <f t="shared" si="23"/>
        <v>13.6375120924145</v>
      </c>
    </row>
    <row r="177" spans="1:24" x14ac:dyDescent="0.35">
      <c r="A177" s="3">
        <v>46048</v>
      </c>
      <c r="B177" t="s">
        <v>250</v>
      </c>
      <c r="C177" t="s">
        <v>282</v>
      </c>
      <c r="D177" t="s">
        <v>31</v>
      </c>
      <c r="E177" t="s">
        <v>25</v>
      </c>
      <c r="F177" t="s">
        <v>26</v>
      </c>
      <c r="G177" t="s">
        <v>21</v>
      </c>
      <c r="H177" t="s">
        <v>37</v>
      </c>
      <c r="I177">
        <v>2171</v>
      </c>
      <c r="J177">
        <v>2034</v>
      </c>
      <c r="K177">
        <v>2006</v>
      </c>
      <c r="L177">
        <v>79</v>
      </c>
      <c r="M177">
        <v>40</v>
      </c>
      <c r="N177">
        <v>2</v>
      </c>
      <c r="O177">
        <v>358.41</v>
      </c>
      <c r="P177">
        <v>2636.11</v>
      </c>
      <c r="Q177" s="5">
        <f t="shared" si="16"/>
        <v>0.98623402163225171</v>
      </c>
      <c r="R177" s="5">
        <f t="shared" si="17"/>
        <v>3.9381854436689928E-2</v>
      </c>
      <c r="S177" s="5">
        <f t="shared" si="18"/>
        <v>0.50632911392405067</v>
      </c>
      <c r="T177" s="5">
        <f t="shared" si="19"/>
        <v>0.05</v>
      </c>
      <c r="U177" s="5">
        <f t="shared" si="20"/>
        <v>9.9700897308075765E-4</v>
      </c>
      <c r="V177" s="6">
        <f t="shared" si="21"/>
        <v>8.9602500000000003</v>
      </c>
      <c r="W177" s="7">
        <f t="shared" si="22"/>
        <v>4.5368354430379751</v>
      </c>
      <c r="X177" s="5">
        <f t="shared" si="23"/>
        <v>6.3550124159482158</v>
      </c>
    </row>
    <row r="178" spans="1:24" x14ac:dyDescent="0.35">
      <c r="A178" s="3">
        <v>46048</v>
      </c>
      <c r="B178" t="s">
        <v>163</v>
      </c>
      <c r="C178" t="s">
        <v>283</v>
      </c>
      <c r="D178" t="s">
        <v>18</v>
      </c>
      <c r="E178" t="s">
        <v>25</v>
      </c>
      <c r="F178" t="s">
        <v>20</v>
      </c>
      <c r="G178" t="s">
        <v>36</v>
      </c>
      <c r="H178" t="s">
        <v>48</v>
      </c>
      <c r="I178">
        <v>2676</v>
      </c>
      <c r="J178">
        <v>1957</v>
      </c>
      <c r="K178">
        <v>1845</v>
      </c>
      <c r="L178">
        <v>52</v>
      </c>
      <c r="M178">
        <v>21</v>
      </c>
      <c r="N178">
        <v>1</v>
      </c>
      <c r="O178">
        <v>225.55</v>
      </c>
      <c r="P178">
        <v>735.3</v>
      </c>
      <c r="Q178" s="5">
        <f t="shared" si="16"/>
        <v>0.94276954522227896</v>
      </c>
      <c r="R178" s="5">
        <f t="shared" si="17"/>
        <v>2.8184281842818428E-2</v>
      </c>
      <c r="S178" s="5">
        <f t="shared" si="18"/>
        <v>0.40384615384615385</v>
      </c>
      <c r="T178" s="5">
        <f t="shared" si="19"/>
        <v>4.7619047619047616E-2</v>
      </c>
      <c r="U178" s="5">
        <f t="shared" si="20"/>
        <v>5.4200542005420054E-4</v>
      </c>
      <c r="V178" s="6">
        <f t="shared" si="21"/>
        <v>10.740476190476191</v>
      </c>
      <c r="W178" s="7">
        <f t="shared" si="22"/>
        <v>4.3375000000000004</v>
      </c>
      <c r="X178" s="5">
        <f t="shared" si="23"/>
        <v>2.2600310352471733</v>
      </c>
    </row>
    <row r="179" spans="1:24" x14ac:dyDescent="0.35">
      <c r="A179" s="3">
        <v>46048</v>
      </c>
      <c r="B179" t="s">
        <v>284</v>
      </c>
      <c r="C179" t="s">
        <v>285</v>
      </c>
      <c r="D179" t="s">
        <v>31</v>
      </c>
      <c r="E179" t="s">
        <v>19</v>
      </c>
      <c r="F179" t="s">
        <v>26</v>
      </c>
      <c r="G179" t="s">
        <v>27</v>
      </c>
      <c r="H179" t="s">
        <v>28</v>
      </c>
      <c r="I179">
        <v>4437</v>
      </c>
      <c r="J179">
        <v>4410</v>
      </c>
      <c r="K179">
        <v>4217</v>
      </c>
      <c r="L179">
        <v>111</v>
      </c>
      <c r="M179">
        <v>45</v>
      </c>
      <c r="N179">
        <v>1</v>
      </c>
      <c r="O179">
        <v>720.03</v>
      </c>
      <c r="P179">
        <v>984.3</v>
      </c>
      <c r="Q179" s="5">
        <f t="shared" si="16"/>
        <v>0.95623582766439907</v>
      </c>
      <c r="R179" s="5">
        <f t="shared" si="17"/>
        <v>2.6322029879060942E-2</v>
      </c>
      <c r="S179" s="5">
        <f t="shared" si="18"/>
        <v>0.40540540540540543</v>
      </c>
      <c r="T179" s="5">
        <f t="shared" si="19"/>
        <v>2.2222222222222223E-2</v>
      </c>
      <c r="U179" s="5">
        <f t="shared" si="20"/>
        <v>2.3713540431586437E-4</v>
      </c>
      <c r="V179" s="6">
        <f t="shared" si="21"/>
        <v>16.000666666666667</v>
      </c>
      <c r="W179" s="7">
        <f t="shared" si="22"/>
        <v>6.4867567567567566</v>
      </c>
      <c r="X179" s="5">
        <f t="shared" si="23"/>
        <v>0.36702637390108744</v>
      </c>
    </row>
    <row r="180" spans="1:24" x14ac:dyDescent="0.35">
      <c r="A180" s="3">
        <v>46048</v>
      </c>
      <c r="B180" t="s">
        <v>154</v>
      </c>
      <c r="C180" t="s">
        <v>286</v>
      </c>
      <c r="D180" t="s">
        <v>40</v>
      </c>
      <c r="E180" t="s">
        <v>56</v>
      </c>
      <c r="F180" t="s">
        <v>20</v>
      </c>
      <c r="G180" t="s">
        <v>36</v>
      </c>
      <c r="H180" t="s">
        <v>48</v>
      </c>
      <c r="I180">
        <v>3547</v>
      </c>
      <c r="J180">
        <v>3409</v>
      </c>
      <c r="K180">
        <v>3161</v>
      </c>
      <c r="L180">
        <v>127</v>
      </c>
      <c r="M180">
        <v>51</v>
      </c>
      <c r="N180">
        <v>2</v>
      </c>
      <c r="O180">
        <v>585.39</v>
      </c>
      <c r="P180">
        <v>2494.27</v>
      </c>
      <c r="Q180" s="5">
        <f t="shared" si="16"/>
        <v>0.9272513933704899</v>
      </c>
      <c r="R180" s="5">
        <f t="shared" si="17"/>
        <v>4.017715912685859E-2</v>
      </c>
      <c r="S180" s="5">
        <f t="shared" si="18"/>
        <v>0.40157480314960631</v>
      </c>
      <c r="T180" s="5">
        <f t="shared" si="19"/>
        <v>3.9215686274509803E-2</v>
      </c>
      <c r="U180" s="5">
        <f t="shared" si="20"/>
        <v>6.3271116735210374E-4</v>
      </c>
      <c r="V180" s="6">
        <f t="shared" si="21"/>
        <v>11.478235294117647</v>
      </c>
      <c r="W180" s="7">
        <f t="shared" si="22"/>
        <v>4.6093700787401577</v>
      </c>
      <c r="X180" s="5">
        <f t="shared" si="23"/>
        <v>3.2608688224944058</v>
      </c>
    </row>
    <row r="181" spans="1:24" x14ac:dyDescent="0.35">
      <c r="A181" s="3">
        <v>46048</v>
      </c>
      <c r="B181" t="s">
        <v>255</v>
      </c>
      <c r="C181" t="s">
        <v>287</v>
      </c>
      <c r="D181" t="s">
        <v>18</v>
      </c>
      <c r="E181" t="s">
        <v>35</v>
      </c>
      <c r="F181" t="s">
        <v>20</v>
      </c>
      <c r="G181" t="s">
        <v>36</v>
      </c>
      <c r="H181" t="s">
        <v>28</v>
      </c>
      <c r="I181">
        <v>3548</v>
      </c>
      <c r="J181">
        <v>3539</v>
      </c>
      <c r="K181">
        <v>3178</v>
      </c>
      <c r="L181">
        <v>260</v>
      </c>
      <c r="M181">
        <v>133</v>
      </c>
      <c r="N181">
        <v>9</v>
      </c>
      <c r="O181">
        <v>369.8</v>
      </c>
      <c r="P181">
        <v>11854.63</v>
      </c>
      <c r="Q181" s="5">
        <f t="shared" si="16"/>
        <v>0.89799378355467652</v>
      </c>
      <c r="R181" s="5">
        <f t="shared" si="17"/>
        <v>8.1812460667086223E-2</v>
      </c>
      <c r="S181" s="5">
        <f t="shared" si="18"/>
        <v>0.5115384615384615</v>
      </c>
      <c r="T181" s="5">
        <f t="shared" si="19"/>
        <v>6.7669172932330823E-2</v>
      </c>
      <c r="U181" s="5">
        <f t="shared" si="20"/>
        <v>2.8319697923222154E-3</v>
      </c>
      <c r="V181" s="6">
        <f t="shared" si="21"/>
        <v>2.780451127819549</v>
      </c>
      <c r="W181" s="7">
        <f t="shared" si="22"/>
        <v>1.4223076923076923</v>
      </c>
      <c r="X181" s="5">
        <f t="shared" si="23"/>
        <v>31.056868577609517</v>
      </c>
    </row>
    <row r="182" spans="1:24" x14ac:dyDescent="0.35">
      <c r="A182" s="3">
        <v>46048</v>
      </c>
      <c r="B182" t="s">
        <v>49</v>
      </c>
      <c r="C182" t="s">
        <v>288</v>
      </c>
      <c r="D182" t="s">
        <v>34</v>
      </c>
      <c r="E182" t="s">
        <v>56</v>
      </c>
      <c r="F182" t="s">
        <v>20</v>
      </c>
      <c r="G182" t="s">
        <v>59</v>
      </c>
      <c r="H182" t="s">
        <v>28</v>
      </c>
      <c r="I182">
        <v>2906</v>
      </c>
      <c r="J182">
        <v>2591</v>
      </c>
      <c r="K182">
        <v>2412</v>
      </c>
      <c r="L182">
        <v>137</v>
      </c>
      <c r="M182">
        <v>62</v>
      </c>
      <c r="N182">
        <v>3</v>
      </c>
      <c r="O182">
        <v>221.04</v>
      </c>
      <c r="P182">
        <v>3583.61</v>
      </c>
      <c r="Q182" s="5">
        <f t="shared" si="16"/>
        <v>0.93091470474720184</v>
      </c>
      <c r="R182" s="5">
        <f t="shared" si="17"/>
        <v>5.6799336650082917E-2</v>
      </c>
      <c r="S182" s="5">
        <f t="shared" si="18"/>
        <v>0.45255474452554745</v>
      </c>
      <c r="T182" s="5">
        <f t="shared" si="19"/>
        <v>4.8387096774193547E-2</v>
      </c>
      <c r="U182" s="5">
        <f t="shared" si="20"/>
        <v>1.2437810945273632E-3</v>
      </c>
      <c r="V182" s="6">
        <f t="shared" si="21"/>
        <v>3.5651612903225804</v>
      </c>
      <c r="W182" s="7">
        <f t="shared" si="22"/>
        <v>1.6134306569343064</v>
      </c>
      <c r="X182" s="5">
        <f t="shared" si="23"/>
        <v>15.212495475931959</v>
      </c>
    </row>
    <row r="183" spans="1:24" x14ac:dyDescent="0.35">
      <c r="A183" s="3">
        <v>46049</v>
      </c>
      <c r="B183" t="s">
        <v>289</v>
      </c>
      <c r="C183" t="s">
        <v>290</v>
      </c>
      <c r="D183" t="s">
        <v>18</v>
      </c>
      <c r="E183" t="s">
        <v>35</v>
      </c>
      <c r="F183" t="s">
        <v>20</v>
      </c>
      <c r="G183" t="s">
        <v>59</v>
      </c>
      <c r="H183" t="s">
        <v>37</v>
      </c>
      <c r="I183">
        <v>2400</v>
      </c>
      <c r="J183">
        <v>2087</v>
      </c>
      <c r="K183">
        <v>1909</v>
      </c>
      <c r="L183">
        <v>151</v>
      </c>
      <c r="M183">
        <v>88</v>
      </c>
      <c r="N183">
        <v>7</v>
      </c>
      <c r="O183">
        <v>279.24</v>
      </c>
      <c r="P183">
        <v>7465.88</v>
      </c>
      <c r="Q183" s="5">
        <f t="shared" si="16"/>
        <v>0.91471011020603732</v>
      </c>
      <c r="R183" s="5">
        <f t="shared" si="17"/>
        <v>7.9099004714510215E-2</v>
      </c>
      <c r="S183" s="5">
        <f t="shared" si="18"/>
        <v>0.58278145695364236</v>
      </c>
      <c r="T183" s="5">
        <f t="shared" si="19"/>
        <v>7.9545454545454544E-2</v>
      </c>
      <c r="U183" s="5">
        <f t="shared" si="20"/>
        <v>3.6668412781561029E-3</v>
      </c>
      <c r="V183" s="6">
        <f t="shared" si="21"/>
        <v>3.1731818181818183</v>
      </c>
      <c r="W183" s="7">
        <f t="shared" si="22"/>
        <v>1.8492715231788079</v>
      </c>
      <c r="X183" s="5">
        <f t="shared" si="23"/>
        <v>25.736427445924654</v>
      </c>
    </row>
    <row r="184" spans="1:24" x14ac:dyDescent="0.35">
      <c r="A184" s="3">
        <v>46049</v>
      </c>
      <c r="B184" t="s">
        <v>291</v>
      </c>
      <c r="C184" t="s">
        <v>292</v>
      </c>
      <c r="D184" t="s">
        <v>31</v>
      </c>
      <c r="E184" t="s">
        <v>25</v>
      </c>
      <c r="F184" t="s">
        <v>20</v>
      </c>
      <c r="G184" t="s">
        <v>59</v>
      </c>
      <c r="H184" t="s">
        <v>51</v>
      </c>
      <c r="I184">
        <v>1383</v>
      </c>
      <c r="J184">
        <v>1374</v>
      </c>
      <c r="K184">
        <v>1317</v>
      </c>
      <c r="L184">
        <v>34</v>
      </c>
      <c r="M184">
        <v>11</v>
      </c>
      <c r="N184">
        <v>0</v>
      </c>
      <c r="O184">
        <v>224.72</v>
      </c>
      <c r="P184">
        <v>0</v>
      </c>
      <c r="Q184" s="5">
        <f t="shared" si="16"/>
        <v>0.95851528384279472</v>
      </c>
      <c r="R184" s="5">
        <f t="shared" si="17"/>
        <v>2.5816249050873197E-2</v>
      </c>
      <c r="S184" s="5">
        <f t="shared" si="18"/>
        <v>0.3235294117647059</v>
      </c>
      <c r="T184" s="5">
        <f t="shared" si="19"/>
        <v>0</v>
      </c>
      <c r="U184" s="5">
        <f t="shared" si="20"/>
        <v>0</v>
      </c>
      <c r="V184" s="6">
        <f t="shared" si="21"/>
        <v>20.42909090909091</v>
      </c>
      <c r="W184" s="7">
        <f t="shared" si="22"/>
        <v>6.6094117647058823</v>
      </c>
      <c r="X184" s="5">
        <f t="shared" si="23"/>
        <v>-1</v>
      </c>
    </row>
    <row r="185" spans="1:24" x14ac:dyDescent="0.35">
      <c r="A185" s="3">
        <v>46049</v>
      </c>
      <c r="B185" t="s">
        <v>127</v>
      </c>
      <c r="C185" t="s">
        <v>293</v>
      </c>
      <c r="D185" t="s">
        <v>34</v>
      </c>
      <c r="E185" t="s">
        <v>35</v>
      </c>
      <c r="F185" t="s">
        <v>20</v>
      </c>
      <c r="G185" t="s">
        <v>36</v>
      </c>
      <c r="H185" t="s">
        <v>22</v>
      </c>
      <c r="I185">
        <v>3475</v>
      </c>
      <c r="J185">
        <v>2847</v>
      </c>
      <c r="K185">
        <v>2681</v>
      </c>
      <c r="L185">
        <v>208</v>
      </c>
      <c r="M185">
        <v>96</v>
      </c>
      <c r="N185">
        <v>6</v>
      </c>
      <c r="O185">
        <v>228.45</v>
      </c>
      <c r="P185">
        <v>5708.33</v>
      </c>
      <c r="Q185" s="5">
        <f t="shared" si="16"/>
        <v>0.94169301018616092</v>
      </c>
      <c r="R185" s="5">
        <f t="shared" si="17"/>
        <v>7.7582991421111525E-2</v>
      </c>
      <c r="S185" s="5">
        <f t="shared" si="18"/>
        <v>0.46153846153846156</v>
      </c>
      <c r="T185" s="5">
        <f t="shared" si="19"/>
        <v>6.25E-2</v>
      </c>
      <c r="U185" s="5">
        <f t="shared" si="20"/>
        <v>2.237970906378217E-3</v>
      </c>
      <c r="V185" s="6">
        <f t="shared" si="21"/>
        <v>2.3796874999999997</v>
      </c>
      <c r="W185" s="7">
        <f t="shared" si="22"/>
        <v>1.0983173076923076</v>
      </c>
      <c r="X185" s="5">
        <f t="shared" si="23"/>
        <v>23.987218209673891</v>
      </c>
    </row>
    <row r="186" spans="1:24" x14ac:dyDescent="0.35">
      <c r="A186" s="3">
        <v>46049</v>
      </c>
      <c r="B186" t="s">
        <v>232</v>
      </c>
      <c r="C186" t="s">
        <v>294</v>
      </c>
      <c r="D186" t="s">
        <v>34</v>
      </c>
      <c r="E186" t="s">
        <v>56</v>
      </c>
      <c r="F186" t="s">
        <v>20</v>
      </c>
      <c r="G186" t="s">
        <v>27</v>
      </c>
      <c r="H186" t="s">
        <v>28</v>
      </c>
      <c r="I186">
        <v>530</v>
      </c>
      <c r="J186">
        <v>418</v>
      </c>
      <c r="K186">
        <v>396</v>
      </c>
      <c r="L186">
        <v>24</v>
      </c>
      <c r="M186">
        <v>9</v>
      </c>
      <c r="N186">
        <v>0</v>
      </c>
      <c r="O186">
        <v>29.65</v>
      </c>
      <c r="P186">
        <v>0</v>
      </c>
      <c r="Q186" s="5">
        <f t="shared" si="16"/>
        <v>0.94736842105263153</v>
      </c>
      <c r="R186" s="5">
        <f t="shared" si="17"/>
        <v>6.0606060606060608E-2</v>
      </c>
      <c r="S186" s="5">
        <f t="shared" si="18"/>
        <v>0.375</v>
      </c>
      <c r="T186" s="5">
        <f t="shared" si="19"/>
        <v>0</v>
      </c>
      <c r="U186" s="5">
        <f t="shared" si="20"/>
        <v>0</v>
      </c>
      <c r="V186" s="6">
        <f t="shared" si="21"/>
        <v>3.2944444444444443</v>
      </c>
      <c r="W186" s="7">
        <f t="shared" si="22"/>
        <v>1.2354166666666666</v>
      </c>
      <c r="X186" s="5">
        <f t="shared" si="23"/>
        <v>-1</v>
      </c>
    </row>
    <row r="187" spans="1:24" x14ac:dyDescent="0.35">
      <c r="A187" s="3">
        <v>46049</v>
      </c>
      <c r="B187" t="s">
        <v>201</v>
      </c>
      <c r="C187" t="s">
        <v>295</v>
      </c>
      <c r="D187" t="s">
        <v>40</v>
      </c>
      <c r="E187" t="s">
        <v>35</v>
      </c>
      <c r="F187" t="s">
        <v>26</v>
      </c>
      <c r="G187" t="s">
        <v>41</v>
      </c>
      <c r="H187" t="s">
        <v>28</v>
      </c>
      <c r="I187">
        <v>4844</v>
      </c>
      <c r="J187">
        <v>3666</v>
      </c>
      <c r="K187">
        <v>3478</v>
      </c>
      <c r="L187">
        <v>366</v>
      </c>
      <c r="M187">
        <v>200</v>
      </c>
      <c r="N187">
        <v>18</v>
      </c>
      <c r="O187">
        <v>491.51</v>
      </c>
      <c r="P187">
        <v>26093.66</v>
      </c>
      <c r="Q187" s="5">
        <f t="shared" si="16"/>
        <v>0.94871794871794868</v>
      </c>
      <c r="R187" s="5">
        <f t="shared" si="17"/>
        <v>0.10523289246693503</v>
      </c>
      <c r="S187" s="5">
        <f t="shared" si="18"/>
        <v>0.54644808743169404</v>
      </c>
      <c r="T187" s="5">
        <f t="shared" si="19"/>
        <v>0.09</v>
      </c>
      <c r="U187" s="5">
        <f t="shared" si="20"/>
        <v>5.1753881541115581E-3</v>
      </c>
      <c r="V187" s="6">
        <f t="shared" si="21"/>
        <v>2.4575499999999999</v>
      </c>
      <c r="W187" s="7">
        <f t="shared" si="22"/>
        <v>1.3429234972677595</v>
      </c>
      <c r="X187" s="5">
        <f t="shared" si="23"/>
        <v>52.088767268214283</v>
      </c>
    </row>
    <row r="188" spans="1:24" x14ac:dyDescent="0.35">
      <c r="A188" s="3">
        <v>46050</v>
      </c>
      <c r="B188" t="s">
        <v>38</v>
      </c>
      <c r="C188" t="s">
        <v>296</v>
      </c>
      <c r="D188" t="s">
        <v>34</v>
      </c>
      <c r="E188" t="s">
        <v>19</v>
      </c>
      <c r="F188" t="s">
        <v>20</v>
      </c>
      <c r="G188" t="s">
        <v>59</v>
      </c>
      <c r="H188" t="s">
        <v>37</v>
      </c>
      <c r="I188">
        <v>4130</v>
      </c>
      <c r="J188">
        <v>3325</v>
      </c>
      <c r="K188">
        <v>3110</v>
      </c>
      <c r="L188">
        <v>60</v>
      </c>
      <c r="M188">
        <v>24</v>
      </c>
      <c r="N188">
        <v>0</v>
      </c>
      <c r="O188">
        <v>267.64999999999998</v>
      </c>
      <c r="P188">
        <v>0</v>
      </c>
      <c r="Q188" s="5">
        <f t="shared" si="16"/>
        <v>0.93533834586466169</v>
      </c>
      <c r="R188" s="5">
        <f t="shared" si="17"/>
        <v>1.9292604501607719E-2</v>
      </c>
      <c r="S188" s="5">
        <f t="shared" si="18"/>
        <v>0.4</v>
      </c>
      <c r="T188" s="5">
        <f t="shared" si="19"/>
        <v>0</v>
      </c>
      <c r="U188" s="5">
        <f t="shared" si="20"/>
        <v>0</v>
      </c>
      <c r="V188" s="6">
        <f t="shared" si="21"/>
        <v>11.152083333333332</v>
      </c>
      <c r="W188" s="7">
        <f t="shared" si="22"/>
        <v>4.4608333333333325</v>
      </c>
      <c r="X188" s="5">
        <f t="shared" si="23"/>
        <v>-1</v>
      </c>
    </row>
    <row r="189" spans="1:24" x14ac:dyDescent="0.35">
      <c r="A189" s="3">
        <v>46050</v>
      </c>
      <c r="B189" t="s">
        <v>232</v>
      </c>
      <c r="C189" t="s">
        <v>297</v>
      </c>
      <c r="D189" t="s">
        <v>18</v>
      </c>
      <c r="E189" t="s">
        <v>56</v>
      </c>
      <c r="F189" t="s">
        <v>20</v>
      </c>
      <c r="G189" t="s">
        <v>36</v>
      </c>
      <c r="H189" t="s">
        <v>37</v>
      </c>
      <c r="I189">
        <v>2626</v>
      </c>
      <c r="J189">
        <v>2509</v>
      </c>
      <c r="K189">
        <v>2273</v>
      </c>
      <c r="L189">
        <v>123</v>
      </c>
      <c r="M189">
        <v>61</v>
      </c>
      <c r="N189">
        <v>4</v>
      </c>
      <c r="O189">
        <v>264.10000000000002</v>
      </c>
      <c r="P189">
        <v>5671.13</v>
      </c>
      <c r="Q189" s="5">
        <f t="shared" si="16"/>
        <v>0.90593862096452771</v>
      </c>
      <c r="R189" s="5">
        <f t="shared" si="17"/>
        <v>5.411350637923449E-2</v>
      </c>
      <c r="S189" s="5">
        <f t="shared" si="18"/>
        <v>0.49593495934959347</v>
      </c>
      <c r="T189" s="5">
        <f t="shared" si="19"/>
        <v>6.5573770491803282E-2</v>
      </c>
      <c r="U189" s="5">
        <f t="shared" si="20"/>
        <v>1.7597888253409592E-3</v>
      </c>
      <c r="V189" s="6">
        <f t="shared" si="21"/>
        <v>4.3295081967213118</v>
      </c>
      <c r="W189" s="7">
        <f t="shared" si="22"/>
        <v>2.1471544715447157</v>
      </c>
      <c r="X189" s="5">
        <f t="shared" si="23"/>
        <v>20.47341915940931</v>
      </c>
    </row>
    <row r="190" spans="1:24" x14ac:dyDescent="0.35">
      <c r="A190" s="3">
        <v>46050</v>
      </c>
      <c r="B190" t="s">
        <v>32</v>
      </c>
      <c r="C190" t="s">
        <v>298</v>
      </c>
      <c r="D190" t="s">
        <v>34</v>
      </c>
      <c r="E190" t="s">
        <v>56</v>
      </c>
      <c r="F190" t="s">
        <v>20</v>
      </c>
      <c r="G190" t="s">
        <v>27</v>
      </c>
      <c r="H190" t="s">
        <v>48</v>
      </c>
      <c r="I190">
        <v>4918</v>
      </c>
      <c r="J190">
        <v>4727</v>
      </c>
      <c r="K190">
        <v>4406</v>
      </c>
      <c r="L190">
        <v>246</v>
      </c>
      <c r="M190">
        <v>100</v>
      </c>
      <c r="N190">
        <v>5</v>
      </c>
      <c r="O190">
        <v>442.58</v>
      </c>
      <c r="P190">
        <v>4867.05</v>
      </c>
      <c r="Q190" s="5">
        <f t="shared" si="16"/>
        <v>0.9320922360905437</v>
      </c>
      <c r="R190" s="5">
        <f t="shared" si="17"/>
        <v>5.5832955061280075E-2</v>
      </c>
      <c r="S190" s="5">
        <f t="shared" si="18"/>
        <v>0.4065040650406504</v>
      </c>
      <c r="T190" s="5">
        <f t="shared" si="19"/>
        <v>0.05</v>
      </c>
      <c r="U190" s="5">
        <f t="shared" si="20"/>
        <v>1.1348161597821154E-3</v>
      </c>
      <c r="V190" s="6">
        <f t="shared" si="21"/>
        <v>4.4257999999999997</v>
      </c>
      <c r="W190" s="7">
        <f t="shared" si="22"/>
        <v>1.7991056910569105</v>
      </c>
      <c r="X190" s="5">
        <f t="shared" si="23"/>
        <v>9.9969948935785631</v>
      </c>
    </row>
    <row r="191" spans="1:24" x14ac:dyDescent="0.35">
      <c r="A191" s="3">
        <v>46050</v>
      </c>
      <c r="B191" t="s">
        <v>120</v>
      </c>
      <c r="C191" t="s">
        <v>299</v>
      </c>
      <c r="D191" t="s">
        <v>31</v>
      </c>
      <c r="E191" t="s">
        <v>56</v>
      </c>
      <c r="F191" t="s">
        <v>20</v>
      </c>
      <c r="G191" t="s">
        <v>59</v>
      </c>
      <c r="H191" t="s">
        <v>28</v>
      </c>
      <c r="I191">
        <v>2167</v>
      </c>
      <c r="J191">
        <v>1638</v>
      </c>
      <c r="K191">
        <v>1529</v>
      </c>
      <c r="L191">
        <v>41</v>
      </c>
      <c r="M191">
        <v>18</v>
      </c>
      <c r="N191">
        <v>1</v>
      </c>
      <c r="O191">
        <v>322.92</v>
      </c>
      <c r="P191">
        <v>1121.22</v>
      </c>
      <c r="Q191" s="5">
        <f t="shared" si="16"/>
        <v>0.93345543345543347</v>
      </c>
      <c r="R191" s="5">
        <f t="shared" si="17"/>
        <v>2.6814911706998037E-2</v>
      </c>
      <c r="S191" s="5">
        <f t="shared" si="18"/>
        <v>0.43902439024390244</v>
      </c>
      <c r="T191" s="5">
        <f t="shared" si="19"/>
        <v>5.5555555555555552E-2</v>
      </c>
      <c r="U191" s="5">
        <f t="shared" si="20"/>
        <v>6.5402223675604975E-4</v>
      </c>
      <c r="V191" s="6">
        <f t="shared" si="21"/>
        <v>17.940000000000001</v>
      </c>
      <c r="W191" s="7">
        <f t="shared" si="22"/>
        <v>7.8760975609756105</v>
      </c>
      <c r="X191" s="5">
        <f t="shared" si="23"/>
        <v>2.4721293199554069</v>
      </c>
    </row>
    <row r="192" spans="1:24" x14ac:dyDescent="0.35">
      <c r="A192" s="3">
        <v>46051</v>
      </c>
      <c r="B192" t="s">
        <v>122</v>
      </c>
      <c r="C192" t="s">
        <v>300</v>
      </c>
      <c r="D192" t="s">
        <v>18</v>
      </c>
      <c r="E192" t="s">
        <v>19</v>
      </c>
      <c r="F192" t="s">
        <v>20</v>
      </c>
      <c r="G192" t="s">
        <v>36</v>
      </c>
      <c r="H192" t="s">
        <v>51</v>
      </c>
      <c r="I192">
        <v>4513</v>
      </c>
      <c r="J192">
        <v>3762</v>
      </c>
      <c r="K192">
        <v>3417</v>
      </c>
      <c r="L192">
        <v>53</v>
      </c>
      <c r="M192">
        <v>28</v>
      </c>
      <c r="N192">
        <v>1</v>
      </c>
      <c r="O192">
        <v>418.63</v>
      </c>
      <c r="P192">
        <v>862.79</v>
      </c>
      <c r="Q192" s="5">
        <f t="shared" si="16"/>
        <v>0.90829346092503982</v>
      </c>
      <c r="R192" s="5">
        <f t="shared" si="17"/>
        <v>1.5510681884694176E-2</v>
      </c>
      <c r="S192" s="5">
        <f t="shared" si="18"/>
        <v>0.52830188679245282</v>
      </c>
      <c r="T192" s="5">
        <f t="shared" si="19"/>
        <v>3.5714285714285712E-2</v>
      </c>
      <c r="U192" s="5">
        <f t="shared" si="20"/>
        <v>2.9265437518290899E-4</v>
      </c>
      <c r="V192" s="6">
        <f t="shared" si="21"/>
        <v>14.951071428571428</v>
      </c>
      <c r="W192" s="7">
        <f t="shared" si="22"/>
        <v>7.8986792452830183</v>
      </c>
      <c r="X192" s="5">
        <f t="shared" si="23"/>
        <v>1.0609846403745551</v>
      </c>
    </row>
    <row r="193" spans="1:24" x14ac:dyDescent="0.35">
      <c r="A193" s="3">
        <v>46051</v>
      </c>
      <c r="B193" t="s">
        <v>154</v>
      </c>
      <c r="C193" t="s">
        <v>301</v>
      </c>
      <c r="D193" t="s">
        <v>34</v>
      </c>
      <c r="E193" t="s">
        <v>35</v>
      </c>
      <c r="F193" t="s">
        <v>26</v>
      </c>
      <c r="G193" t="s">
        <v>41</v>
      </c>
      <c r="H193" t="s">
        <v>22</v>
      </c>
      <c r="I193">
        <v>3011</v>
      </c>
      <c r="J193">
        <v>2871</v>
      </c>
      <c r="K193">
        <v>2674</v>
      </c>
      <c r="L193">
        <v>275</v>
      </c>
      <c r="M193">
        <v>152</v>
      </c>
      <c r="N193">
        <v>11</v>
      </c>
      <c r="O193">
        <v>232.79</v>
      </c>
      <c r="P193">
        <v>11204.22</v>
      </c>
      <c r="Q193" s="5">
        <f t="shared" si="16"/>
        <v>0.93138279345175901</v>
      </c>
      <c r="R193" s="5">
        <f t="shared" si="17"/>
        <v>0.10284218399401646</v>
      </c>
      <c r="S193" s="5">
        <f t="shared" si="18"/>
        <v>0.55272727272727273</v>
      </c>
      <c r="T193" s="5">
        <f t="shared" si="19"/>
        <v>7.2368421052631582E-2</v>
      </c>
      <c r="U193" s="5">
        <f t="shared" si="20"/>
        <v>4.1136873597606583E-3</v>
      </c>
      <c r="V193" s="6">
        <f t="shared" si="21"/>
        <v>1.5315131578947367</v>
      </c>
      <c r="W193" s="7">
        <f t="shared" si="22"/>
        <v>0.84650909090909088</v>
      </c>
      <c r="X193" s="5">
        <f t="shared" si="23"/>
        <v>47.130160230250432</v>
      </c>
    </row>
    <row r="194" spans="1:24" x14ac:dyDescent="0.35">
      <c r="A194" s="3">
        <v>46051</v>
      </c>
      <c r="B194" t="s">
        <v>302</v>
      </c>
      <c r="C194" t="s">
        <v>303</v>
      </c>
      <c r="D194" t="s">
        <v>18</v>
      </c>
      <c r="E194" t="s">
        <v>25</v>
      </c>
      <c r="F194" t="s">
        <v>20</v>
      </c>
      <c r="G194" t="s">
        <v>41</v>
      </c>
      <c r="H194" t="s">
        <v>48</v>
      </c>
      <c r="I194">
        <v>3494</v>
      </c>
      <c r="J194">
        <v>2814</v>
      </c>
      <c r="K194">
        <v>2576</v>
      </c>
      <c r="L194">
        <v>116</v>
      </c>
      <c r="M194">
        <v>67</v>
      </c>
      <c r="N194">
        <v>2</v>
      </c>
      <c r="O194">
        <v>374.66</v>
      </c>
      <c r="P194">
        <v>1364.1</v>
      </c>
      <c r="Q194" s="5">
        <f t="shared" si="16"/>
        <v>0.91542288557213936</v>
      </c>
      <c r="R194" s="5">
        <f t="shared" si="17"/>
        <v>4.503105590062112E-2</v>
      </c>
      <c r="S194" s="5">
        <f t="shared" si="18"/>
        <v>0.57758620689655171</v>
      </c>
      <c r="T194" s="5">
        <f t="shared" si="19"/>
        <v>2.9850746268656716E-2</v>
      </c>
      <c r="U194" s="5">
        <f t="shared" si="20"/>
        <v>7.7639751552795026E-4</v>
      </c>
      <c r="V194" s="6">
        <f t="shared" si="21"/>
        <v>5.5919402985074633</v>
      </c>
      <c r="W194" s="7">
        <f t="shared" si="22"/>
        <v>3.2298275862068966</v>
      </c>
      <c r="X194" s="5">
        <f t="shared" si="23"/>
        <v>2.6409010836491746</v>
      </c>
    </row>
    <row r="195" spans="1:24" x14ac:dyDescent="0.35">
      <c r="A195" s="3">
        <v>46051</v>
      </c>
      <c r="B195" t="s">
        <v>169</v>
      </c>
      <c r="C195" t="s">
        <v>304</v>
      </c>
      <c r="D195" t="s">
        <v>31</v>
      </c>
      <c r="E195" t="s">
        <v>19</v>
      </c>
      <c r="F195" t="s">
        <v>20</v>
      </c>
      <c r="G195" t="s">
        <v>41</v>
      </c>
      <c r="H195" t="s">
        <v>22</v>
      </c>
      <c r="I195">
        <v>2045</v>
      </c>
      <c r="J195">
        <v>1912</v>
      </c>
      <c r="K195">
        <v>1791</v>
      </c>
      <c r="L195">
        <v>26</v>
      </c>
      <c r="M195">
        <v>10</v>
      </c>
      <c r="N195">
        <v>0</v>
      </c>
      <c r="O195">
        <v>374.28</v>
      </c>
      <c r="P195">
        <v>0</v>
      </c>
      <c r="Q195" s="5">
        <f t="shared" ref="Q195:Q258" si="24">K195/J195</f>
        <v>0.93671548117154813</v>
      </c>
      <c r="R195" s="5">
        <f t="shared" ref="R195:R258" si="25">L195/K195</f>
        <v>1.4517029592406477E-2</v>
      </c>
      <c r="S195" s="5">
        <f t="shared" ref="S195:S258" si="26">M195/L195</f>
        <v>0.38461538461538464</v>
      </c>
      <c r="T195" s="5">
        <f t="shared" ref="T195:T258" si="27">N195/M195</f>
        <v>0</v>
      </c>
      <c r="U195" s="5">
        <f t="shared" ref="U195:U258" si="28">N195/K195</f>
        <v>0</v>
      </c>
      <c r="V195" s="6">
        <f t="shared" ref="V195:V258" si="29">O195/M195</f>
        <v>37.427999999999997</v>
      </c>
      <c r="W195" s="7">
        <f t="shared" ref="W195:W258" si="30">O195/L195</f>
        <v>14.395384615384614</v>
      </c>
      <c r="X195" s="5">
        <f t="shared" ref="X195:X258" si="31">(P195-O195)/O195</f>
        <v>-1</v>
      </c>
    </row>
    <row r="196" spans="1:24" x14ac:dyDescent="0.35">
      <c r="A196" s="3">
        <v>46051</v>
      </c>
      <c r="B196" t="s">
        <v>49</v>
      </c>
      <c r="C196" t="s">
        <v>305</v>
      </c>
      <c r="D196" t="s">
        <v>18</v>
      </c>
      <c r="E196" t="s">
        <v>35</v>
      </c>
      <c r="F196" t="s">
        <v>20</v>
      </c>
      <c r="G196" t="s">
        <v>59</v>
      </c>
      <c r="H196" t="s">
        <v>48</v>
      </c>
      <c r="I196">
        <v>4067</v>
      </c>
      <c r="J196">
        <v>3849</v>
      </c>
      <c r="K196">
        <v>3551</v>
      </c>
      <c r="L196">
        <v>284</v>
      </c>
      <c r="M196">
        <v>117</v>
      </c>
      <c r="N196">
        <v>7</v>
      </c>
      <c r="O196">
        <v>538.21</v>
      </c>
      <c r="P196">
        <v>5716.13</v>
      </c>
      <c r="Q196" s="5">
        <f t="shared" si="24"/>
        <v>0.92257729280332557</v>
      </c>
      <c r="R196" s="5">
        <f t="shared" si="25"/>
        <v>7.9977471134891578E-2</v>
      </c>
      <c r="S196" s="5">
        <f t="shared" si="26"/>
        <v>0.4119718309859155</v>
      </c>
      <c r="T196" s="5">
        <f t="shared" si="27"/>
        <v>5.9829059829059832E-2</v>
      </c>
      <c r="U196" s="5">
        <f t="shared" si="28"/>
        <v>1.9712756969867645E-3</v>
      </c>
      <c r="V196" s="6">
        <f t="shared" si="29"/>
        <v>4.6000854700854701</v>
      </c>
      <c r="W196" s="7">
        <f t="shared" si="30"/>
        <v>1.8951056338028169</v>
      </c>
      <c r="X196" s="5">
        <f t="shared" si="31"/>
        <v>9.6206313520744686</v>
      </c>
    </row>
    <row r="197" spans="1:24" x14ac:dyDescent="0.35">
      <c r="A197" s="3">
        <v>46052</v>
      </c>
      <c r="B197" t="s">
        <v>289</v>
      </c>
      <c r="C197" t="s">
        <v>306</v>
      </c>
      <c r="D197" t="s">
        <v>34</v>
      </c>
      <c r="E197" t="s">
        <v>56</v>
      </c>
      <c r="F197" t="s">
        <v>26</v>
      </c>
      <c r="G197" t="s">
        <v>36</v>
      </c>
      <c r="H197" t="s">
        <v>22</v>
      </c>
      <c r="I197">
        <v>3711</v>
      </c>
      <c r="J197">
        <v>3303</v>
      </c>
      <c r="K197">
        <v>3099</v>
      </c>
      <c r="L197">
        <v>227</v>
      </c>
      <c r="M197">
        <v>132</v>
      </c>
      <c r="N197">
        <v>7</v>
      </c>
      <c r="O197">
        <v>251.03</v>
      </c>
      <c r="P197">
        <v>6212.99</v>
      </c>
      <c r="Q197" s="5">
        <f t="shared" si="24"/>
        <v>0.93823796548592187</v>
      </c>
      <c r="R197" s="5">
        <f t="shared" si="25"/>
        <v>7.3249435301710228E-2</v>
      </c>
      <c r="S197" s="5">
        <f t="shared" si="26"/>
        <v>0.58149779735682816</v>
      </c>
      <c r="T197" s="5">
        <f t="shared" si="27"/>
        <v>5.3030303030303032E-2</v>
      </c>
      <c r="U197" s="5">
        <f t="shared" si="28"/>
        <v>2.2587931590835751E-3</v>
      </c>
      <c r="V197" s="6">
        <f t="shared" si="29"/>
        <v>1.9017424242424243</v>
      </c>
      <c r="W197" s="7">
        <f t="shared" si="30"/>
        <v>1.1058590308370044</v>
      </c>
      <c r="X197" s="5">
        <f t="shared" si="31"/>
        <v>23.749990041030951</v>
      </c>
    </row>
    <row r="198" spans="1:24" x14ac:dyDescent="0.35">
      <c r="A198" s="3">
        <v>46052</v>
      </c>
      <c r="B198" t="s">
        <v>69</v>
      </c>
      <c r="C198" t="s">
        <v>307</v>
      </c>
      <c r="D198" t="s">
        <v>31</v>
      </c>
      <c r="E198" t="s">
        <v>35</v>
      </c>
      <c r="F198" t="s">
        <v>20</v>
      </c>
      <c r="G198" t="s">
        <v>27</v>
      </c>
      <c r="H198" t="s">
        <v>28</v>
      </c>
      <c r="I198">
        <v>1416</v>
      </c>
      <c r="J198">
        <v>1293</v>
      </c>
      <c r="K198">
        <v>1262</v>
      </c>
      <c r="L198">
        <v>56</v>
      </c>
      <c r="M198">
        <v>20</v>
      </c>
      <c r="N198">
        <v>1</v>
      </c>
      <c r="O198">
        <v>216.97</v>
      </c>
      <c r="P198">
        <v>1471.82</v>
      </c>
      <c r="Q198" s="5">
        <f t="shared" si="24"/>
        <v>0.97602474864655842</v>
      </c>
      <c r="R198" s="5">
        <f t="shared" si="25"/>
        <v>4.4374009508716325E-2</v>
      </c>
      <c r="S198" s="5">
        <f t="shared" si="26"/>
        <v>0.35714285714285715</v>
      </c>
      <c r="T198" s="5">
        <f t="shared" si="27"/>
        <v>0.05</v>
      </c>
      <c r="U198" s="5">
        <f t="shared" si="28"/>
        <v>7.9239302694136295E-4</v>
      </c>
      <c r="V198" s="6">
        <f t="shared" si="29"/>
        <v>10.8485</v>
      </c>
      <c r="W198" s="7">
        <f t="shared" si="30"/>
        <v>3.8744642857142857</v>
      </c>
      <c r="X198" s="5">
        <f t="shared" si="31"/>
        <v>5.7835184587731021</v>
      </c>
    </row>
    <row r="199" spans="1:24" x14ac:dyDescent="0.35">
      <c r="A199" s="3">
        <v>46052</v>
      </c>
      <c r="B199" t="s">
        <v>212</v>
      </c>
      <c r="C199" t="s">
        <v>308</v>
      </c>
      <c r="D199" t="s">
        <v>31</v>
      </c>
      <c r="E199" t="s">
        <v>35</v>
      </c>
      <c r="F199" t="s">
        <v>20</v>
      </c>
      <c r="G199" t="s">
        <v>27</v>
      </c>
      <c r="H199" t="s">
        <v>28</v>
      </c>
      <c r="I199">
        <v>4376</v>
      </c>
      <c r="J199">
        <v>3961</v>
      </c>
      <c r="K199">
        <v>3791</v>
      </c>
      <c r="L199">
        <v>209</v>
      </c>
      <c r="M199">
        <v>87</v>
      </c>
      <c r="N199">
        <v>5</v>
      </c>
      <c r="O199">
        <v>823.43</v>
      </c>
      <c r="P199">
        <v>6992.47</v>
      </c>
      <c r="Q199" s="5">
        <f t="shared" si="24"/>
        <v>0.9570815450643777</v>
      </c>
      <c r="R199" s="5">
        <f t="shared" si="25"/>
        <v>5.5130572408335535E-2</v>
      </c>
      <c r="S199" s="5">
        <f t="shared" si="26"/>
        <v>0.41626794258373206</v>
      </c>
      <c r="T199" s="5">
        <f t="shared" si="27"/>
        <v>5.7471264367816091E-2</v>
      </c>
      <c r="U199" s="5">
        <f t="shared" si="28"/>
        <v>1.3189132155104195E-3</v>
      </c>
      <c r="V199" s="6">
        <f t="shared" si="29"/>
        <v>9.4647126436781601</v>
      </c>
      <c r="W199" s="7">
        <f t="shared" si="30"/>
        <v>3.9398564593301435</v>
      </c>
      <c r="X199" s="5">
        <f t="shared" si="31"/>
        <v>7.4918815199834841</v>
      </c>
    </row>
    <row r="200" spans="1:24" x14ac:dyDescent="0.35">
      <c r="A200" s="3">
        <v>46052</v>
      </c>
      <c r="B200" t="s">
        <v>146</v>
      </c>
      <c r="C200" t="s">
        <v>309</v>
      </c>
      <c r="D200" t="s">
        <v>18</v>
      </c>
      <c r="E200" t="s">
        <v>19</v>
      </c>
      <c r="F200" t="s">
        <v>20</v>
      </c>
      <c r="G200" t="s">
        <v>27</v>
      </c>
      <c r="H200" t="s">
        <v>51</v>
      </c>
      <c r="I200">
        <v>4712</v>
      </c>
      <c r="J200">
        <v>3696</v>
      </c>
      <c r="K200">
        <v>3270</v>
      </c>
      <c r="L200">
        <v>64</v>
      </c>
      <c r="M200">
        <v>26</v>
      </c>
      <c r="N200">
        <v>1</v>
      </c>
      <c r="O200">
        <v>436.16</v>
      </c>
      <c r="P200">
        <v>861.94</v>
      </c>
      <c r="Q200" s="5">
        <f t="shared" si="24"/>
        <v>0.88474025974025972</v>
      </c>
      <c r="R200" s="5">
        <f t="shared" si="25"/>
        <v>1.9571865443425075E-2</v>
      </c>
      <c r="S200" s="5">
        <f t="shared" si="26"/>
        <v>0.40625</v>
      </c>
      <c r="T200" s="5">
        <f t="shared" si="27"/>
        <v>3.8461538461538464E-2</v>
      </c>
      <c r="U200" s="5">
        <f t="shared" si="28"/>
        <v>3.058103975535168E-4</v>
      </c>
      <c r="V200" s="6">
        <f t="shared" si="29"/>
        <v>16.775384615384617</v>
      </c>
      <c r="W200" s="7">
        <f t="shared" si="30"/>
        <v>6.8150000000000004</v>
      </c>
      <c r="X200" s="5">
        <f t="shared" si="31"/>
        <v>0.97620139398385919</v>
      </c>
    </row>
    <row r="201" spans="1:24" x14ac:dyDescent="0.35">
      <c r="A201" s="3">
        <v>46052</v>
      </c>
      <c r="B201" t="s">
        <v>49</v>
      </c>
      <c r="C201" t="s">
        <v>310</v>
      </c>
      <c r="D201" t="s">
        <v>34</v>
      </c>
      <c r="E201" t="s">
        <v>56</v>
      </c>
      <c r="F201" t="s">
        <v>20</v>
      </c>
      <c r="G201" t="s">
        <v>36</v>
      </c>
      <c r="H201" t="s">
        <v>22</v>
      </c>
      <c r="I201">
        <v>1564</v>
      </c>
      <c r="J201">
        <v>1523</v>
      </c>
      <c r="K201">
        <v>1460</v>
      </c>
      <c r="L201">
        <v>83</v>
      </c>
      <c r="M201">
        <v>35</v>
      </c>
      <c r="N201">
        <v>2</v>
      </c>
      <c r="O201">
        <v>116.61</v>
      </c>
      <c r="P201">
        <v>2073.02</v>
      </c>
      <c r="Q201" s="5">
        <f t="shared" si="24"/>
        <v>0.95863427445830596</v>
      </c>
      <c r="R201" s="5">
        <f t="shared" si="25"/>
        <v>5.6849315068493153E-2</v>
      </c>
      <c r="S201" s="5">
        <f t="shared" si="26"/>
        <v>0.42168674698795183</v>
      </c>
      <c r="T201" s="5">
        <f t="shared" si="27"/>
        <v>5.7142857142857141E-2</v>
      </c>
      <c r="U201" s="5">
        <f t="shared" si="28"/>
        <v>1.3698630136986301E-3</v>
      </c>
      <c r="V201" s="6">
        <f t="shared" si="29"/>
        <v>3.3317142857142859</v>
      </c>
      <c r="W201" s="7">
        <f t="shared" si="30"/>
        <v>1.4049397590361445</v>
      </c>
      <c r="X201" s="5">
        <f t="shared" si="31"/>
        <v>16.777377583397652</v>
      </c>
    </row>
    <row r="202" spans="1:24" x14ac:dyDescent="0.35">
      <c r="A202" s="3">
        <v>46052</v>
      </c>
      <c r="B202" t="s">
        <v>77</v>
      </c>
      <c r="C202" t="s">
        <v>311</v>
      </c>
      <c r="D202" t="s">
        <v>18</v>
      </c>
      <c r="E202" t="s">
        <v>35</v>
      </c>
      <c r="F202" t="s">
        <v>20</v>
      </c>
      <c r="G202" t="s">
        <v>21</v>
      </c>
      <c r="H202" t="s">
        <v>48</v>
      </c>
      <c r="I202">
        <v>3091</v>
      </c>
      <c r="J202">
        <v>2839</v>
      </c>
      <c r="K202">
        <v>2536</v>
      </c>
      <c r="L202">
        <v>193</v>
      </c>
      <c r="M202">
        <v>104</v>
      </c>
      <c r="N202">
        <v>8</v>
      </c>
      <c r="O202">
        <v>365.81</v>
      </c>
      <c r="P202">
        <v>11941.64</v>
      </c>
      <c r="Q202" s="5">
        <f t="shared" si="24"/>
        <v>0.89327227897146888</v>
      </c>
      <c r="R202" s="5">
        <f t="shared" si="25"/>
        <v>7.6104100946372238E-2</v>
      </c>
      <c r="S202" s="5">
        <f t="shared" si="26"/>
        <v>0.53886010362694303</v>
      </c>
      <c r="T202" s="5">
        <f t="shared" si="27"/>
        <v>7.6923076923076927E-2</v>
      </c>
      <c r="U202" s="5">
        <f t="shared" si="28"/>
        <v>3.1545741324921135E-3</v>
      </c>
      <c r="V202" s="6">
        <f t="shared" si="29"/>
        <v>3.5174038461538464</v>
      </c>
      <c r="W202" s="7">
        <f t="shared" si="30"/>
        <v>1.8953886010362695</v>
      </c>
      <c r="X202" s="5">
        <f t="shared" si="31"/>
        <v>31.644378229135341</v>
      </c>
    </row>
    <row r="203" spans="1:24" x14ac:dyDescent="0.35">
      <c r="A203" s="3">
        <v>46053</v>
      </c>
      <c r="B203" t="s">
        <v>289</v>
      </c>
      <c r="C203" t="s">
        <v>312</v>
      </c>
      <c r="D203" t="s">
        <v>31</v>
      </c>
      <c r="E203" t="s">
        <v>35</v>
      </c>
      <c r="F203" t="s">
        <v>20</v>
      </c>
      <c r="G203" t="s">
        <v>36</v>
      </c>
      <c r="H203" t="s">
        <v>28</v>
      </c>
      <c r="I203">
        <v>1189</v>
      </c>
      <c r="J203">
        <v>1153</v>
      </c>
      <c r="K203">
        <v>1115</v>
      </c>
      <c r="L203">
        <v>56</v>
      </c>
      <c r="M203">
        <v>23</v>
      </c>
      <c r="N203">
        <v>2</v>
      </c>
      <c r="O203">
        <v>217.75</v>
      </c>
      <c r="P203">
        <v>2141.1999999999998</v>
      </c>
      <c r="Q203" s="5">
        <f t="shared" si="24"/>
        <v>0.96704249783174323</v>
      </c>
      <c r="R203" s="5">
        <f t="shared" si="25"/>
        <v>5.0224215246636769E-2</v>
      </c>
      <c r="S203" s="5">
        <f t="shared" si="26"/>
        <v>0.4107142857142857</v>
      </c>
      <c r="T203" s="5">
        <f t="shared" si="27"/>
        <v>8.6956521739130432E-2</v>
      </c>
      <c r="U203" s="5">
        <f t="shared" si="28"/>
        <v>1.7937219730941704E-3</v>
      </c>
      <c r="V203" s="6">
        <f t="shared" si="29"/>
        <v>9.4673913043478262</v>
      </c>
      <c r="W203" s="7">
        <f t="shared" si="30"/>
        <v>3.8883928571428572</v>
      </c>
      <c r="X203" s="5">
        <f t="shared" si="31"/>
        <v>8.8332950631458083</v>
      </c>
    </row>
    <row r="204" spans="1:24" x14ac:dyDescent="0.35">
      <c r="A204" s="3">
        <v>46053</v>
      </c>
      <c r="B204" t="s">
        <v>289</v>
      </c>
      <c r="C204" t="s">
        <v>313</v>
      </c>
      <c r="D204" t="s">
        <v>18</v>
      </c>
      <c r="E204" t="s">
        <v>35</v>
      </c>
      <c r="F204" t="s">
        <v>20</v>
      </c>
      <c r="G204" t="s">
        <v>59</v>
      </c>
      <c r="H204" t="s">
        <v>28</v>
      </c>
      <c r="I204">
        <v>1046</v>
      </c>
      <c r="J204">
        <v>968</v>
      </c>
      <c r="K204">
        <v>882</v>
      </c>
      <c r="L204">
        <v>76</v>
      </c>
      <c r="M204">
        <v>35</v>
      </c>
      <c r="N204">
        <v>2</v>
      </c>
      <c r="O204">
        <v>112.68</v>
      </c>
      <c r="P204">
        <v>2041.41</v>
      </c>
      <c r="Q204" s="5">
        <f t="shared" si="24"/>
        <v>0.91115702479338845</v>
      </c>
      <c r="R204" s="5">
        <f t="shared" si="25"/>
        <v>8.6167800453514742E-2</v>
      </c>
      <c r="S204" s="5">
        <f t="shared" si="26"/>
        <v>0.46052631578947367</v>
      </c>
      <c r="T204" s="5">
        <f t="shared" si="27"/>
        <v>5.7142857142857141E-2</v>
      </c>
      <c r="U204" s="5">
        <f t="shared" si="28"/>
        <v>2.2675736961451248E-3</v>
      </c>
      <c r="V204" s="6">
        <f t="shared" si="29"/>
        <v>3.2194285714285718</v>
      </c>
      <c r="W204" s="7">
        <f t="shared" si="30"/>
        <v>1.4826315789473685</v>
      </c>
      <c r="X204" s="5">
        <f t="shared" si="31"/>
        <v>17.116879659211925</v>
      </c>
    </row>
    <row r="205" spans="1:24" x14ac:dyDescent="0.35">
      <c r="A205" s="3">
        <v>46053</v>
      </c>
      <c r="B205" t="s">
        <v>44</v>
      </c>
      <c r="C205" t="s">
        <v>314</v>
      </c>
      <c r="D205" t="s">
        <v>34</v>
      </c>
      <c r="E205" t="s">
        <v>35</v>
      </c>
      <c r="F205" t="s">
        <v>26</v>
      </c>
      <c r="G205" t="s">
        <v>59</v>
      </c>
      <c r="H205" t="s">
        <v>37</v>
      </c>
      <c r="I205">
        <v>3949</v>
      </c>
      <c r="J205">
        <v>3390</v>
      </c>
      <c r="K205">
        <v>3109</v>
      </c>
      <c r="L205">
        <v>305</v>
      </c>
      <c r="M205">
        <v>163</v>
      </c>
      <c r="N205">
        <v>15</v>
      </c>
      <c r="O205">
        <v>306.45</v>
      </c>
      <c r="P205">
        <v>25224.92</v>
      </c>
      <c r="Q205" s="5">
        <f t="shared" si="24"/>
        <v>0.91710914454277281</v>
      </c>
      <c r="R205" s="5">
        <f t="shared" si="25"/>
        <v>9.8102283692505635E-2</v>
      </c>
      <c r="S205" s="5">
        <f t="shared" si="26"/>
        <v>0.53442622950819674</v>
      </c>
      <c r="T205" s="5">
        <f t="shared" si="27"/>
        <v>9.202453987730061E-2</v>
      </c>
      <c r="U205" s="5">
        <f t="shared" si="28"/>
        <v>4.8247024766806049E-3</v>
      </c>
      <c r="V205" s="6">
        <f t="shared" si="29"/>
        <v>1.8800613496932514</v>
      </c>
      <c r="W205" s="7">
        <f t="shared" si="30"/>
        <v>1.0047540983606558</v>
      </c>
      <c r="X205" s="5">
        <f t="shared" si="31"/>
        <v>81.313330070158258</v>
      </c>
    </row>
    <row r="206" spans="1:24" x14ac:dyDescent="0.35">
      <c r="A206" s="3">
        <v>46053</v>
      </c>
      <c r="B206" t="s">
        <v>250</v>
      </c>
      <c r="C206" t="s">
        <v>315</v>
      </c>
      <c r="D206" t="s">
        <v>31</v>
      </c>
      <c r="E206" t="s">
        <v>35</v>
      </c>
      <c r="F206" t="s">
        <v>20</v>
      </c>
      <c r="G206" t="s">
        <v>36</v>
      </c>
      <c r="H206" t="s">
        <v>48</v>
      </c>
      <c r="I206">
        <v>418</v>
      </c>
      <c r="J206">
        <v>401</v>
      </c>
      <c r="K206">
        <v>393</v>
      </c>
      <c r="L206">
        <v>21</v>
      </c>
      <c r="M206">
        <v>7</v>
      </c>
      <c r="N206">
        <v>1</v>
      </c>
      <c r="O206">
        <v>68.28</v>
      </c>
      <c r="P206">
        <v>1445.84</v>
      </c>
      <c r="Q206" s="5">
        <f t="shared" si="24"/>
        <v>0.98004987531172072</v>
      </c>
      <c r="R206" s="5">
        <f t="shared" si="25"/>
        <v>5.3435114503816793E-2</v>
      </c>
      <c r="S206" s="5">
        <f t="shared" si="26"/>
        <v>0.33333333333333331</v>
      </c>
      <c r="T206" s="5">
        <f t="shared" si="27"/>
        <v>0.14285714285714285</v>
      </c>
      <c r="U206" s="5">
        <f t="shared" si="28"/>
        <v>2.5445292620865142E-3</v>
      </c>
      <c r="V206" s="6">
        <f t="shared" si="29"/>
        <v>9.7542857142857144</v>
      </c>
      <c r="W206" s="7">
        <f t="shared" si="30"/>
        <v>3.2514285714285713</v>
      </c>
      <c r="X206" s="5">
        <f t="shared" si="31"/>
        <v>20.175161101347392</v>
      </c>
    </row>
    <row r="207" spans="1:24" x14ac:dyDescent="0.35">
      <c r="A207" s="3">
        <v>46053</v>
      </c>
      <c r="B207" t="s">
        <v>118</v>
      </c>
      <c r="C207" t="s">
        <v>316</v>
      </c>
      <c r="D207" t="s">
        <v>40</v>
      </c>
      <c r="E207" t="s">
        <v>35</v>
      </c>
      <c r="F207" t="s">
        <v>20</v>
      </c>
      <c r="G207" t="s">
        <v>27</v>
      </c>
      <c r="H207" t="s">
        <v>22</v>
      </c>
      <c r="I207">
        <v>4463</v>
      </c>
      <c r="J207">
        <v>3601</v>
      </c>
      <c r="K207">
        <v>3417</v>
      </c>
      <c r="L207">
        <v>282</v>
      </c>
      <c r="M207">
        <v>120</v>
      </c>
      <c r="N207">
        <v>6</v>
      </c>
      <c r="O207">
        <v>616.95000000000005</v>
      </c>
      <c r="P207">
        <v>8463.4699999999993</v>
      </c>
      <c r="Q207" s="5">
        <f t="shared" si="24"/>
        <v>0.94890308247708965</v>
      </c>
      <c r="R207" s="5">
        <f t="shared" si="25"/>
        <v>8.2528533801580331E-2</v>
      </c>
      <c r="S207" s="5">
        <f t="shared" si="26"/>
        <v>0.42553191489361702</v>
      </c>
      <c r="T207" s="5">
        <f t="shared" si="27"/>
        <v>0.05</v>
      </c>
      <c r="U207" s="5">
        <f t="shared" si="28"/>
        <v>1.7559262510974539E-3</v>
      </c>
      <c r="V207" s="6">
        <f t="shared" si="29"/>
        <v>5.1412500000000003</v>
      </c>
      <c r="W207" s="7">
        <f t="shared" si="30"/>
        <v>2.1877659574468087</v>
      </c>
      <c r="X207" s="5">
        <f t="shared" si="31"/>
        <v>12.718242969446468</v>
      </c>
    </row>
    <row r="208" spans="1:24" x14ac:dyDescent="0.35">
      <c r="A208" s="3">
        <v>46053</v>
      </c>
      <c r="B208" t="s">
        <v>215</v>
      </c>
      <c r="C208" t="s">
        <v>317</v>
      </c>
      <c r="D208" t="s">
        <v>34</v>
      </c>
      <c r="E208" t="s">
        <v>56</v>
      </c>
      <c r="F208" t="s">
        <v>20</v>
      </c>
      <c r="G208" t="s">
        <v>21</v>
      </c>
      <c r="H208" t="s">
        <v>48</v>
      </c>
      <c r="I208">
        <v>4229</v>
      </c>
      <c r="J208">
        <v>3541</v>
      </c>
      <c r="K208">
        <v>3347</v>
      </c>
      <c r="L208">
        <v>233</v>
      </c>
      <c r="M208">
        <v>83</v>
      </c>
      <c r="N208">
        <v>4</v>
      </c>
      <c r="O208">
        <v>313.62</v>
      </c>
      <c r="P208">
        <v>2676.63</v>
      </c>
      <c r="Q208" s="5">
        <f t="shared" si="24"/>
        <v>0.94521321660547863</v>
      </c>
      <c r="R208" s="5">
        <f t="shared" si="25"/>
        <v>6.9614580221093514E-2</v>
      </c>
      <c r="S208" s="5">
        <f t="shared" si="26"/>
        <v>0.35622317596566522</v>
      </c>
      <c r="T208" s="5">
        <f t="shared" si="27"/>
        <v>4.8192771084337352E-2</v>
      </c>
      <c r="U208" s="5">
        <f t="shared" si="28"/>
        <v>1.1951000896325067E-3</v>
      </c>
      <c r="V208" s="6">
        <f t="shared" si="29"/>
        <v>3.77855421686747</v>
      </c>
      <c r="W208" s="7">
        <f t="shared" si="30"/>
        <v>1.3460085836909872</v>
      </c>
      <c r="X208" s="5">
        <f t="shared" si="31"/>
        <v>7.5346278936292332</v>
      </c>
    </row>
    <row r="209" spans="1:24" x14ac:dyDescent="0.35">
      <c r="A209" s="3">
        <v>46053</v>
      </c>
      <c r="B209" t="s">
        <v>302</v>
      </c>
      <c r="C209" t="s">
        <v>318</v>
      </c>
      <c r="D209" t="s">
        <v>40</v>
      </c>
      <c r="E209" t="s">
        <v>56</v>
      </c>
      <c r="F209" t="s">
        <v>20</v>
      </c>
      <c r="G209" t="s">
        <v>27</v>
      </c>
      <c r="H209" t="s">
        <v>51</v>
      </c>
      <c r="I209">
        <v>3333</v>
      </c>
      <c r="J209">
        <v>2695</v>
      </c>
      <c r="K209">
        <v>2459</v>
      </c>
      <c r="L209">
        <v>151</v>
      </c>
      <c r="M209">
        <v>65</v>
      </c>
      <c r="N209">
        <v>3</v>
      </c>
      <c r="O209">
        <v>370.68</v>
      </c>
      <c r="P209">
        <v>2927.77</v>
      </c>
      <c r="Q209" s="5">
        <f t="shared" si="24"/>
        <v>0.91243042671614105</v>
      </c>
      <c r="R209" s="5">
        <f t="shared" si="25"/>
        <v>6.1407076047173645E-2</v>
      </c>
      <c r="S209" s="5">
        <f t="shared" si="26"/>
        <v>0.43046357615894038</v>
      </c>
      <c r="T209" s="5">
        <f t="shared" si="27"/>
        <v>4.6153846153846156E-2</v>
      </c>
      <c r="U209" s="5">
        <f t="shared" si="28"/>
        <v>1.2200081333875558E-3</v>
      </c>
      <c r="V209" s="6">
        <f t="shared" si="29"/>
        <v>5.7027692307692313</v>
      </c>
      <c r="W209" s="7">
        <f t="shared" si="30"/>
        <v>2.4548344370860926</v>
      </c>
      <c r="X209" s="5">
        <f t="shared" si="31"/>
        <v>6.898375957699364</v>
      </c>
    </row>
    <row r="210" spans="1:24" x14ac:dyDescent="0.35">
      <c r="A210" s="3">
        <v>46054</v>
      </c>
      <c r="B210" t="s">
        <v>319</v>
      </c>
      <c r="C210" t="s">
        <v>320</v>
      </c>
      <c r="D210" t="s">
        <v>34</v>
      </c>
      <c r="E210" t="s">
        <v>19</v>
      </c>
      <c r="F210" t="s">
        <v>26</v>
      </c>
      <c r="G210" t="s">
        <v>21</v>
      </c>
      <c r="H210" t="s">
        <v>51</v>
      </c>
      <c r="I210">
        <v>2001</v>
      </c>
      <c r="J210">
        <v>1654</v>
      </c>
      <c r="K210">
        <v>1524</v>
      </c>
      <c r="L210">
        <v>26</v>
      </c>
      <c r="M210">
        <v>17</v>
      </c>
      <c r="N210">
        <v>0</v>
      </c>
      <c r="O210">
        <v>125.43</v>
      </c>
      <c r="P210">
        <v>0</v>
      </c>
      <c r="Q210" s="5">
        <f t="shared" si="24"/>
        <v>0.92140266021765416</v>
      </c>
      <c r="R210" s="5">
        <f t="shared" si="25"/>
        <v>1.7060367454068241E-2</v>
      </c>
      <c r="S210" s="5">
        <f t="shared" si="26"/>
        <v>0.65384615384615385</v>
      </c>
      <c r="T210" s="5">
        <f t="shared" si="27"/>
        <v>0</v>
      </c>
      <c r="U210" s="5">
        <f t="shared" si="28"/>
        <v>0</v>
      </c>
      <c r="V210" s="6">
        <f t="shared" si="29"/>
        <v>7.3782352941176477</v>
      </c>
      <c r="W210" s="7">
        <f t="shared" si="30"/>
        <v>4.8242307692307698</v>
      </c>
      <c r="X210" s="5">
        <f t="shared" si="31"/>
        <v>-1</v>
      </c>
    </row>
    <row r="211" spans="1:24" x14ac:dyDescent="0.35">
      <c r="A211" s="3">
        <v>46054</v>
      </c>
      <c r="B211" t="s">
        <v>321</v>
      </c>
      <c r="C211" t="s">
        <v>322</v>
      </c>
      <c r="D211" t="s">
        <v>40</v>
      </c>
      <c r="E211" t="s">
        <v>56</v>
      </c>
      <c r="F211" t="s">
        <v>26</v>
      </c>
      <c r="G211" t="s">
        <v>59</v>
      </c>
      <c r="H211" t="s">
        <v>22</v>
      </c>
      <c r="I211">
        <v>1957</v>
      </c>
      <c r="J211">
        <v>1887</v>
      </c>
      <c r="K211">
        <v>1732</v>
      </c>
      <c r="L211">
        <v>139</v>
      </c>
      <c r="M211">
        <v>83</v>
      </c>
      <c r="N211">
        <v>6</v>
      </c>
      <c r="O211">
        <v>334.81</v>
      </c>
      <c r="P211">
        <v>6830.07</v>
      </c>
      <c r="Q211" s="5">
        <f t="shared" si="24"/>
        <v>0.91785903550609438</v>
      </c>
      <c r="R211" s="5">
        <f t="shared" si="25"/>
        <v>8.0254041570438805E-2</v>
      </c>
      <c r="S211" s="5">
        <f t="shared" si="26"/>
        <v>0.59712230215827333</v>
      </c>
      <c r="T211" s="5">
        <f t="shared" si="27"/>
        <v>7.2289156626506021E-2</v>
      </c>
      <c r="U211" s="5">
        <f t="shared" si="28"/>
        <v>3.4642032332563512E-3</v>
      </c>
      <c r="V211" s="6">
        <f t="shared" si="29"/>
        <v>4.0338554216867468</v>
      </c>
      <c r="W211" s="7">
        <f t="shared" si="30"/>
        <v>2.4087050359712232</v>
      </c>
      <c r="X211" s="5">
        <f t="shared" si="31"/>
        <v>19.399838714494784</v>
      </c>
    </row>
    <row r="212" spans="1:24" x14ac:dyDescent="0.35">
      <c r="A212" s="3">
        <v>46054</v>
      </c>
      <c r="B212" t="s">
        <v>323</v>
      </c>
      <c r="C212" t="s">
        <v>324</v>
      </c>
      <c r="D212" t="s">
        <v>40</v>
      </c>
      <c r="E212" t="s">
        <v>56</v>
      </c>
      <c r="F212" t="s">
        <v>20</v>
      </c>
      <c r="G212" t="s">
        <v>59</v>
      </c>
      <c r="H212" t="s">
        <v>51</v>
      </c>
      <c r="I212">
        <v>487</v>
      </c>
      <c r="J212">
        <v>477</v>
      </c>
      <c r="K212">
        <v>432</v>
      </c>
      <c r="L212">
        <v>24</v>
      </c>
      <c r="M212">
        <v>11</v>
      </c>
      <c r="N212">
        <v>1</v>
      </c>
      <c r="O212">
        <v>71.45</v>
      </c>
      <c r="P212">
        <v>758.43</v>
      </c>
      <c r="Q212" s="5">
        <f t="shared" si="24"/>
        <v>0.90566037735849059</v>
      </c>
      <c r="R212" s="5">
        <f t="shared" si="25"/>
        <v>5.5555555555555552E-2</v>
      </c>
      <c r="S212" s="5">
        <f t="shared" si="26"/>
        <v>0.45833333333333331</v>
      </c>
      <c r="T212" s="5">
        <f t="shared" si="27"/>
        <v>9.0909090909090912E-2</v>
      </c>
      <c r="U212" s="5">
        <f t="shared" si="28"/>
        <v>2.3148148148148147E-3</v>
      </c>
      <c r="V212" s="6">
        <f t="shared" si="29"/>
        <v>6.495454545454546</v>
      </c>
      <c r="W212" s="7">
        <f t="shared" si="30"/>
        <v>2.9770833333333333</v>
      </c>
      <c r="X212" s="5">
        <f t="shared" si="31"/>
        <v>9.6148355493351971</v>
      </c>
    </row>
    <row r="213" spans="1:24" x14ac:dyDescent="0.35">
      <c r="A213" s="3">
        <v>46054</v>
      </c>
      <c r="B213" t="s">
        <v>325</v>
      </c>
      <c r="C213" t="s">
        <v>326</v>
      </c>
      <c r="D213" t="s">
        <v>34</v>
      </c>
      <c r="E213" t="s">
        <v>19</v>
      </c>
      <c r="F213" t="s">
        <v>20</v>
      </c>
      <c r="G213" t="s">
        <v>36</v>
      </c>
      <c r="H213" t="s">
        <v>51</v>
      </c>
      <c r="I213">
        <v>4411</v>
      </c>
      <c r="J213">
        <v>3720</v>
      </c>
      <c r="K213">
        <v>3449</v>
      </c>
      <c r="L213">
        <v>62</v>
      </c>
      <c r="M213">
        <v>23</v>
      </c>
      <c r="N213">
        <v>0</v>
      </c>
      <c r="O213">
        <v>339.99</v>
      </c>
      <c r="P213">
        <v>0</v>
      </c>
      <c r="Q213" s="5">
        <f t="shared" si="24"/>
        <v>0.92715053763440858</v>
      </c>
      <c r="R213" s="5">
        <f t="shared" si="25"/>
        <v>1.7976224992751522E-2</v>
      </c>
      <c r="S213" s="5">
        <f t="shared" si="26"/>
        <v>0.37096774193548387</v>
      </c>
      <c r="T213" s="5">
        <f t="shared" si="27"/>
        <v>0</v>
      </c>
      <c r="U213" s="5">
        <f t="shared" si="28"/>
        <v>0</v>
      </c>
      <c r="V213" s="6">
        <f t="shared" si="29"/>
        <v>14.782173913043479</v>
      </c>
      <c r="W213" s="7">
        <f t="shared" si="30"/>
        <v>5.4837096774193546</v>
      </c>
      <c r="X213" s="5">
        <f t="shared" si="31"/>
        <v>-1</v>
      </c>
    </row>
    <row r="214" spans="1:24" x14ac:dyDescent="0.35">
      <c r="A214" s="3">
        <v>46054</v>
      </c>
      <c r="B214" t="s">
        <v>327</v>
      </c>
      <c r="C214" t="s">
        <v>328</v>
      </c>
      <c r="D214" t="s">
        <v>40</v>
      </c>
      <c r="E214" t="s">
        <v>56</v>
      </c>
      <c r="F214" t="s">
        <v>20</v>
      </c>
      <c r="G214" t="s">
        <v>36</v>
      </c>
      <c r="H214" t="s">
        <v>48</v>
      </c>
      <c r="I214">
        <v>815</v>
      </c>
      <c r="J214">
        <v>662</v>
      </c>
      <c r="K214">
        <v>618</v>
      </c>
      <c r="L214">
        <v>41</v>
      </c>
      <c r="M214">
        <v>16</v>
      </c>
      <c r="N214">
        <v>1</v>
      </c>
      <c r="O214">
        <v>117.94</v>
      </c>
      <c r="P214">
        <v>1107.3499999999999</v>
      </c>
      <c r="Q214" s="5">
        <f t="shared" si="24"/>
        <v>0.93353474320241692</v>
      </c>
      <c r="R214" s="5">
        <f t="shared" si="25"/>
        <v>6.6343042071197414E-2</v>
      </c>
      <c r="S214" s="5">
        <f t="shared" si="26"/>
        <v>0.3902439024390244</v>
      </c>
      <c r="T214" s="5">
        <f t="shared" si="27"/>
        <v>6.25E-2</v>
      </c>
      <c r="U214" s="5">
        <f t="shared" si="28"/>
        <v>1.6181229773462784E-3</v>
      </c>
      <c r="V214" s="6">
        <f t="shared" si="29"/>
        <v>7.3712499999999999</v>
      </c>
      <c r="W214" s="7">
        <f t="shared" si="30"/>
        <v>2.8765853658536584</v>
      </c>
      <c r="X214" s="5">
        <f t="shared" si="31"/>
        <v>8.3890961505850417</v>
      </c>
    </row>
    <row r="215" spans="1:24" x14ac:dyDescent="0.35">
      <c r="A215" s="3">
        <v>46055</v>
      </c>
      <c r="B215" t="s">
        <v>329</v>
      </c>
      <c r="C215" t="s">
        <v>330</v>
      </c>
      <c r="D215" t="s">
        <v>40</v>
      </c>
      <c r="E215" t="s">
        <v>25</v>
      </c>
      <c r="F215" t="s">
        <v>26</v>
      </c>
      <c r="G215" t="s">
        <v>36</v>
      </c>
      <c r="H215" t="s">
        <v>28</v>
      </c>
      <c r="I215">
        <v>1385</v>
      </c>
      <c r="J215">
        <v>1064</v>
      </c>
      <c r="K215">
        <v>992</v>
      </c>
      <c r="L215">
        <v>41</v>
      </c>
      <c r="M215">
        <v>25</v>
      </c>
      <c r="N215">
        <v>1</v>
      </c>
      <c r="O215">
        <v>159.22999999999999</v>
      </c>
      <c r="P215">
        <v>1362.91</v>
      </c>
      <c r="Q215" s="5">
        <f t="shared" si="24"/>
        <v>0.93233082706766912</v>
      </c>
      <c r="R215" s="5">
        <f t="shared" si="25"/>
        <v>4.1330645161290321E-2</v>
      </c>
      <c r="S215" s="5">
        <f t="shared" si="26"/>
        <v>0.6097560975609756</v>
      </c>
      <c r="T215" s="5">
        <f t="shared" si="27"/>
        <v>0.04</v>
      </c>
      <c r="U215" s="5">
        <f t="shared" si="28"/>
        <v>1.0080645161290322E-3</v>
      </c>
      <c r="V215" s="6">
        <f t="shared" si="29"/>
        <v>6.3691999999999993</v>
      </c>
      <c r="W215" s="7">
        <f t="shared" si="30"/>
        <v>3.8836585365853655</v>
      </c>
      <c r="X215" s="5">
        <f t="shared" si="31"/>
        <v>7.5593795139106961</v>
      </c>
    </row>
    <row r="216" spans="1:24" x14ac:dyDescent="0.35">
      <c r="A216" s="3">
        <v>46055</v>
      </c>
      <c r="B216" t="s">
        <v>331</v>
      </c>
      <c r="C216" t="s">
        <v>332</v>
      </c>
      <c r="D216" t="s">
        <v>18</v>
      </c>
      <c r="E216" t="s">
        <v>25</v>
      </c>
      <c r="F216" t="s">
        <v>20</v>
      </c>
      <c r="G216" t="s">
        <v>27</v>
      </c>
      <c r="H216" t="s">
        <v>28</v>
      </c>
      <c r="I216">
        <v>1039</v>
      </c>
      <c r="J216">
        <v>903</v>
      </c>
      <c r="K216">
        <v>810</v>
      </c>
      <c r="L216">
        <v>30</v>
      </c>
      <c r="M216">
        <v>15</v>
      </c>
      <c r="N216">
        <v>0</v>
      </c>
      <c r="O216">
        <v>92.89</v>
      </c>
      <c r="P216">
        <v>0</v>
      </c>
      <c r="Q216" s="5">
        <f t="shared" si="24"/>
        <v>0.89700996677740863</v>
      </c>
      <c r="R216" s="5">
        <f t="shared" si="25"/>
        <v>3.7037037037037035E-2</v>
      </c>
      <c r="S216" s="5">
        <f t="shared" si="26"/>
        <v>0.5</v>
      </c>
      <c r="T216" s="5">
        <f t="shared" si="27"/>
        <v>0</v>
      </c>
      <c r="U216" s="5">
        <f t="shared" si="28"/>
        <v>0</v>
      </c>
      <c r="V216" s="6">
        <f t="shared" si="29"/>
        <v>6.1926666666666668</v>
      </c>
      <c r="W216" s="7">
        <f t="shared" si="30"/>
        <v>3.0963333333333334</v>
      </c>
      <c r="X216" s="5">
        <f t="shared" si="31"/>
        <v>-1</v>
      </c>
    </row>
    <row r="217" spans="1:24" x14ac:dyDescent="0.35">
      <c r="A217" s="3">
        <v>46055</v>
      </c>
      <c r="B217" t="s">
        <v>333</v>
      </c>
      <c r="C217" t="s">
        <v>334</v>
      </c>
      <c r="D217" t="s">
        <v>40</v>
      </c>
      <c r="E217" t="s">
        <v>19</v>
      </c>
      <c r="F217" t="s">
        <v>26</v>
      </c>
      <c r="G217" t="s">
        <v>36</v>
      </c>
      <c r="H217" t="s">
        <v>51</v>
      </c>
      <c r="I217">
        <v>3336</v>
      </c>
      <c r="J217">
        <v>2935</v>
      </c>
      <c r="K217">
        <v>2729</v>
      </c>
      <c r="L217">
        <v>58</v>
      </c>
      <c r="M217">
        <v>33</v>
      </c>
      <c r="N217">
        <v>0</v>
      </c>
      <c r="O217">
        <v>493.75</v>
      </c>
      <c r="P217">
        <v>0</v>
      </c>
      <c r="Q217" s="5">
        <f t="shared" si="24"/>
        <v>0.92981260647359454</v>
      </c>
      <c r="R217" s="5">
        <f t="shared" si="25"/>
        <v>2.1253206302674972E-2</v>
      </c>
      <c r="S217" s="5">
        <f t="shared" si="26"/>
        <v>0.56896551724137934</v>
      </c>
      <c r="T217" s="5">
        <f t="shared" si="27"/>
        <v>0</v>
      </c>
      <c r="U217" s="5">
        <f t="shared" si="28"/>
        <v>0</v>
      </c>
      <c r="V217" s="6">
        <f t="shared" si="29"/>
        <v>14.962121212121213</v>
      </c>
      <c r="W217" s="7">
        <f t="shared" si="30"/>
        <v>8.512931034482758</v>
      </c>
      <c r="X217" s="5">
        <f t="shared" si="31"/>
        <v>-1</v>
      </c>
    </row>
    <row r="218" spans="1:24" x14ac:dyDescent="0.35">
      <c r="A218" s="3">
        <v>46055</v>
      </c>
      <c r="B218" t="s">
        <v>335</v>
      </c>
      <c r="C218" t="s">
        <v>336</v>
      </c>
      <c r="D218" t="s">
        <v>40</v>
      </c>
      <c r="E218" t="s">
        <v>25</v>
      </c>
      <c r="F218" t="s">
        <v>20</v>
      </c>
      <c r="G218" t="s">
        <v>41</v>
      </c>
      <c r="H218" t="s">
        <v>51</v>
      </c>
      <c r="I218">
        <v>762</v>
      </c>
      <c r="J218">
        <v>600</v>
      </c>
      <c r="K218">
        <v>550</v>
      </c>
      <c r="L218">
        <v>23</v>
      </c>
      <c r="M218">
        <v>12</v>
      </c>
      <c r="N218">
        <v>0</v>
      </c>
      <c r="O218">
        <v>76.66</v>
      </c>
      <c r="P218">
        <v>0</v>
      </c>
      <c r="Q218" s="5">
        <f t="shared" si="24"/>
        <v>0.91666666666666663</v>
      </c>
      <c r="R218" s="5">
        <f t="shared" si="25"/>
        <v>4.1818181818181817E-2</v>
      </c>
      <c r="S218" s="5">
        <f t="shared" si="26"/>
        <v>0.52173913043478259</v>
      </c>
      <c r="T218" s="5">
        <f t="shared" si="27"/>
        <v>0</v>
      </c>
      <c r="U218" s="5">
        <f t="shared" si="28"/>
        <v>0</v>
      </c>
      <c r="V218" s="6">
        <f t="shared" si="29"/>
        <v>6.3883333333333328</v>
      </c>
      <c r="W218" s="7">
        <f t="shared" si="30"/>
        <v>3.3330434782608696</v>
      </c>
      <c r="X218" s="5">
        <f t="shared" si="31"/>
        <v>-1</v>
      </c>
    </row>
    <row r="219" spans="1:24" x14ac:dyDescent="0.35">
      <c r="A219" s="3">
        <v>46055</v>
      </c>
      <c r="B219" t="s">
        <v>337</v>
      </c>
      <c r="C219" t="s">
        <v>338</v>
      </c>
      <c r="D219" t="s">
        <v>18</v>
      </c>
      <c r="E219" t="s">
        <v>25</v>
      </c>
      <c r="F219" t="s">
        <v>20</v>
      </c>
      <c r="G219" t="s">
        <v>21</v>
      </c>
      <c r="H219" t="s">
        <v>28</v>
      </c>
      <c r="I219">
        <v>3651</v>
      </c>
      <c r="J219">
        <v>3012</v>
      </c>
      <c r="K219">
        <v>2744</v>
      </c>
      <c r="L219">
        <v>159</v>
      </c>
      <c r="M219">
        <v>83</v>
      </c>
      <c r="N219">
        <v>4</v>
      </c>
      <c r="O219">
        <v>327.84</v>
      </c>
      <c r="P219">
        <v>2825.82</v>
      </c>
      <c r="Q219" s="5">
        <f t="shared" si="24"/>
        <v>0.91102257636122175</v>
      </c>
      <c r="R219" s="5">
        <f t="shared" si="25"/>
        <v>5.7944606413994168E-2</v>
      </c>
      <c r="S219" s="5">
        <f t="shared" si="26"/>
        <v>0.5220125786163522</v>
      </c>
      <c r="T219" s="5">
        <f t="shared" si="27"/>
        <v>4.8192771084337352E-2</v>
      </c>
      <c r="U219" s="5">
        <f t="shared" si="28"/>
        <v>1.4577259475218659E-3</v>
      </c>
      <c r="V219" s="6">
        <f t="shared" si="29"/>
        <v>3.9498795180722888</v>
      </c>
      <c r="W219" s="7">
        <f t="shared" si="30"/>
        <v>2.0618867924528299</v>
      </c>
      <c r="X219" s="5">
        <f t="shared" si="31"/>
        <v>7.619509516837482</v>
      </c>
    </row>
    <row r="220" spans="1:24" x14ac:dyDescent="0.35">
      <c r="A220" s="3">
        <v>46056</v>
      </c>
      <c r="B220" t="s">
        <v>339</v>
      </c>
      <c r="C220" t="s">
        <v>340</v>
      </c>
      <c r="D220" t="s">
        <v>34</v>
      </c>
      <c r="E220" t="s">
        <v>19</v>
      </c>
      <c r="F220" t="s">
        <v>20</v>
      </c>
      <c r="G220" t="s">
        <v>21</v>
      </c>
      <c r="H220" t="s">
        <v>48</v>
      </c>
      <c r="I220">
        <v>3494</v>
      </c>
      <c r="J220">
        <v>2805</v>
      </c>
      <c r="K220">
        <v>2709</v>
      </c>
      <c r="L220">
        <v>55</v>
      </c>
      <c r="M220">
        <v>27</v>
      </c>
      <c r="N220">
        <v>1</v>
      </c>
      <c r="O220">
        <v>259.13</v>
      </c>
      <c r="P220">
        <v>1184.55</v>
      </c>
      <c r="Q220" s="5">
        <f t="shared" si="24"/>
        <v>0.96577540106951876</v>
      </c>
      <c r="R220" s="5">
        <f t="shared" si="25"/>
        <v>2.0302694721299374E-2</v>
      </c>
      <c r="S220" s="5">
        <f t="shared" si="26"/>
        <v>0.49090909090909091</v>
      </c>
      <c r="T220" s="5">
        <f t="shared" si="27"/>
        <v>3.7037037037037035E-2</v>
      </c>
      <c r="U220" s="5">
        <f t="shared" si="28"/>
        <v>3.6913990402362494E-4</v>
      </c>
      <c r="V220" s="6">
        <f t="shared" si="29"/>
        <v>9.5974074074074078</v>
      </c>
      <c r="W220" s="7">
        <f t="shared" si="30"/>
        <v>4.7114545454545453</v>
      </c>
      <c r="X220" s="5">
        <f t="shared" si="31"/>
        <v>3.5712576698954193</v>
      </c>
    </row>
    <row r="221" spans="1:24" x14ac:dyDescent="0.35">
      <c r="A221" s="3">
        <v>46056</v>
      </c>
      <c r="B221" t="s">
        <v>341</v>
      </c>
      <c r="C221" t="s">
        <v>342</v>
      </c>
      <c r="D221" t="s">
        <v>18</v>
      </c>
      <c r="E221" t="s">
        <v>35</v>
      </c>
      <c r="F221" t="s">
        <v>26</v>
      </c>
      <c r="G221" t="s">
        <v>27</v>
      </c>
      <c r="H221" t="s">
        <v>48</v>
      </c>
      <c r="I221">
        <v>1998</v>
      </c>
      <c r="J221">
        <v>1892</v>
      </c>
      <c r="K221">
        <v>1727</v>
      </c>
      <c r="L221">
        <v>165</v>
      </c>
      <c r="M221">
        <v>100</v>
      </c>
      <c r="N221">
        <v>8</v>
      </c>
      <c r="O221">
        <v>241.53</v>
      </c>
      <c r="P221">
        <v>6606.03</v>
      </c>
      <c r="Q221" s="5">
        <f t="shared" si="24"/>
        <v>0.91279069767441856</v>
      </c>
      <c r="R221" s="5">
        <f t="shared" si="25"/>
        <v>9.5541401273885357E-2</v>
      </c>
      <c r="S221" s="5">
        <f t="shared" si="26"/>
        <v>0.60606060606060608</v>
      </c>
      <c r="T221" s="5">
        <f t="shared" si="27"/>
        <v>0.08</v>
      </c>
      <c r="U221" s="5">
        <f t="shared" si="28"/>
        <v>4.6323103647944409E-3</v>
      </c>
      <c r="V221" s="6">
        <f t="shared" si="29"/>
        <v>2.4153000000000002</v>
      </c>
      <c r="W221" s="7">
        <f t="shared" si="30"/>
        <v>1.4638181818181819</v>
      </c>
      <c r="X221" s="5">
        <f t="shared" si="31"/>
        <v>26.350763880263322</v>
      </c>
    </row>
    <row r="222" spans="1:24" x14ac:dyDescent="0.35">
      <c r="A222" s="3">
        <v>46056</v>
      </c>
      <c r="B222" t="s">
        <v>343</v>
      </c>
      <c r="C222" t="s">
        <v>344</v>
      </c>
      <c r="D222" t="s">
        <v>18</v>
      </c>
      <c r="E222" t="s">
        <v>35</v>
      </c>
      <c r="F222" t="s">
        <v>26</v>
      </c>
      <c r="G222" t="s">
        <v>59</v>
      </c>
      <c r="H222" t="s">
        <v>51</v>
      </c>
      <c r="I222">
        <v>4235</v>
      </c>
      <c r="J222">
        <v>3193</v>
      </c>
      <c r="K222">
        <v>2980</v>
      </c>
      <c r="L222">
        <v>341</v>
      </c>
      <c r="M222">
        <v>193</v>
      </c>
      <c r="N222">
        <v>17</v>
      </c>
      <c r="O222">
        <v>443.35</v>
      </c>
      <c r="P222">
        <v>25587.34</v>
      </c>
      <c r="Q222" s="5">
        <f t="shared" si="24"/>
        <v>0.9332915753210147</v>
      </c>
      <c r="R222" s="5">
        <f t="shared" si="25"/>
        <v>0.11442953020134228</v>
      </c>
      <c r="S222" s="5">
        <f t="shared" si="26"/>
        <v>0.56598240469208216</v>
      </c>
      <c r="T222" s="5">
        <f t="shared" si="27"/>
        <v>8.8082901554404139E-2</v>
      </c>
      <c r="U222" s="5">
        <f t="shared" si="28"/>
        <v>5.704697986577181E-3</v>
      </c>
      <c r="V222" s="6">
        <f t="shared" si="29"/>
        <v>2.2971502590673576</v>
      </c>
      <c r="W222" s="7">
        <f t="shared" si="30"/>
        <v>1.3001466275659825</v>
      </c>
      <c r="X222" s="5">
        <f t="shared" si="31"/>
        <v>56.713634825758433</v>
      </c>
    </row>
    <row r="223" spans="1:24" x14ac:dyDescent="0.35">
      <c r="A223" s="3">
        <v>46056</v>
      </c>
      <c r="B223" t="s">
        <v>323</v>
      </c>
      <c r="C223" t="s">
        <v>345</v>
      </c>
      <c r="D223" t="s">
        <v>31</v>
      </c>
      <c r="E223" t="s">
        <v>19</v>
      </c>
      <c r="F223" t="s">
        <v>20</v>
      </c>
      <c r="G223" t="s">
        <v>59</v>
      </c>
      <c r="H223" t="s">
        <v>22</v>
      </c>
      <c r="I223">
        <v>2021</v>
      </c>
      <c r="J223">
        <v>1922</v>
      </c>
      <c r="K223">
        <v>1846</v>
      </c>
      <c r="L223">
        <v>26</v>
      </c>
      <c r="M223">
        <v>9</v>
      </c>
      <c r="N223">
        <v>0</v>
      </c>
      <c r="O223">
        <v>314.67</v>
      </c>
      <c r="P223">
        <v>0</v>
      </c>
      <c r="Q223" s="5">
        <f t="shared" si="24"/>
        <v>0.96045785639958381</v>
      </c>
      <c r="R223" s="5">
        <f t="shared" si="25"/>
        <v>1.4084507042253521E-2</v>
      </c>
      <c r="S223" s="5">
        <f t="shared" si="26"/>
        <v>0.34615384615384615</v>
      </c>
      <c r="T223" s="5">
        <f t="shared" si="27"/>
        <v>0</v>
      </c>
      <c r="U223" s="5">
        <f t="shared" si="28"/>
        <v>0</v>
      </c>
      <c r="V223" s="6">
        <f t="shared" si="29"/>
        <v>34.963333333333338</v>
      </c>
      <c r="W223" s="7">
        <f t="shared" si="30"/>
        <v>12.102692307692308</v>
      </c>
      <c r="X223" s="5">
        <f t="shared" si="31"/>
        <v>-1</v>
      </c>
    </row>
    <row r="224" spans="1:24" x14ac:dyDescent="0.35">
      <c r="A224" s="3">
        <v>46056</v>
      </c>
      <c r="B224" t="s">
        <v>327</v>
      </c>
      <c r="C224" t="s">
        <v>346</v>
      </c>
      <c r="D224" t="s">
        <v>18</v>
      </c>
      <c r="E224" t="s">
        <v>19</v>
      </c>
      <c r="F224" t="s">
        <v>20</v>
      </c>
      <c r="G224" t="s">
        <v>59</v>
      </c>
      <c r="H224" t="s">
        <v>37</v>
      </c>
      <c r="I224">
        <v>1189</v>
      </c>
      <c r="J224">
        <v>987</v>
      </c>
      <c r="K224">
        <v>888</v>
      </c>
      <c r="L224">
        <v>23</v>
      </c>
      <c r="M224">
        <v>13</v>
      </c>
      <c r="N224">
        <v>0</v>
      </c>
      <c r="O224">
        <v>102.4</v>
      </c>
      <c r="P224">
        <v>0</v>
      </c>
      <c r="Q224" s="5">
        <f t="shared" si="24"/>
        <v>0.89969604863221886</v>
      </c>
      <c r="R224" s="5">
        <f t="shared" si="25"/>
        <v>2.59009009009009E-2</v>
      </c>
      <c r="S224" s="5">
        <f t="shared" si="26"/>
        <v>0.56521739130434778</v>
      </c>
      <c r="T224" s="5">
        <f t="shared" si="27"/>
        <v>0</v>
      </c>
      <c r="U224" s="5">
        <f t="shared" si="28"/>
        <v>0</v>
      </c>
      <c r="V224" s="6">
        <f t="shared" si="29"/>
        <v>7.8769230769230774</v>
      </c>
      <c r="W224" s="7">
        <f t="shared" si="30"/>
        <v>4.4521739130434783</v>
      </c>
      <c r="X224" s="5">
        <f t="shared" si="31"/>
        <v>-1</v>
      </c>
    </row>
    <row r="225" spans="1:24" x14ac:dyDescent="0.35">
      <c r="A225" s="3">
        <v>46056</v>
      </c>
      <c r="B225" t="s">
        <v>327</v>
      </c>
      <c r="C225" t="s">
        <v>347</v>
      </c>
      <c r="D225" t="s">
        <v>31</v>
      </c>
      <c r="E225" t="s">
        <v>19</v>
      </c>
      <c r="F225" t="s">
        <v>20</v>
      </c>
      <c r="G225" t="s">
        <v>27</v>
      </c>
      <c r="H225" t="s">
        <v>37</v>
      </c>
      <c r="I225">
        <v>4828</v>
      </c>
      <c r="J225">
        <v>3905</v>
      </c>
      <c r="K225">
        <v>3643</v>
      </c>
      <c r="L225">
        <v>34</v>
      </c>
      <c r="M225">
        <v>13</v>
      </c>
      <c r="N225">
        <v>0</v>
      </c>
      <c r="O225">
        <v>621.59</v>
      </c>
      <c r="P225">
        <v>0</v>
      </c>
      <c r="Q225" s="5">
        <f t="shared" si="24"/>
        <v>0.93290653008962865</v>
      </c>
      <c r="R225" s="5">
        <f t="shared" si="25"/>
        <v>9.3329673346143286E-3</v>
      </c>
      <c r="S225" s="5">
        <f t="shared" si="26"/>
        <v>0.38235294117647056</v>
      </c>
      <c r="T225" s="5">
        <f t="shared" si="27"/>
        <v>0</v>
      </c>
      <c r="U225" s="5">
        <f t="shared" si="28"/>
        <v>0</v>
      </c>
      <c r="V225" s="6">
        <f t="shared" si="29"/>
        <v>47.814615384615387</v>
      </c>
      <c r="W225" s="7">
        <f t="shared" si="30"/>
        <v>18.282058823529411</v>
      </c>
      <c r="X225" s="5">
        <f t="shared" si="31"/>
        <v>-1</v>
      </c>
    </row>
    <row r="226" spans="1:24" x14ac:dyDescent="0.35">
      <c r="A226" s="3">
        <v>46056</v>
      </c>
      <c r="B226" t="s">
        <v>348</v>
      </c>
      <c r="C226" t="s">
        <v>349</v>
      </c>
      <c r="D226" t="s">
        <v>34</v>
      </c>
      <c r="E226" t="s">
        <v>35</v>
      </c>
      <c r="F226" t="s">
        <v>20</v>
      </c>
      <c r="G226" t="s">
        <v>27</v>
      </c>
      <c r="H226" t="s">
        <v>37</v>
      </c>
      <c r="I226">
        <v>3481</v>
      </c>
      <c r="J226">
        <v>2679</v>
      </c>
      <c r="K226">
        <v>2492</v>
      </c>
      <c r="L226">
        <v>161</v>
      </c>
      <c r="M226">
        <v>81</v>
      </c>
      <c r="N226">
        <v>5</v>
      </c>
      <c r="O226">
        <v>200.88</v>
      </c>
      <c r="P226">
        <v>6852.7</v>
      </c>
      <c r="Q226" s="5">
        <f t="shared" si="24"/>
        <v>0.93019783501306452</v>
      </c>
      <c r="R226" s="5">
        <f t="shared" si="25"/>
        <v>6.4606741573033713E-2</v>
      </c>
      <c r="S226" s="5">
        <f t="shared" si="26"/>
        <v>0.50310559006211175</v>
      </c>
      <c r="T226" s="5">
        <f t="shared" si="27"/>
        <v>6.1728395061728392E-2</v>
      </c>
      <c r="U226" s="5">
        <f t="shared" si="28"/>
        <v>2.0064205457463883E-3</v>
      </c>
      <c r="V226" s="6">
        <f t="shared" si="29"/>
        <v>2.48</v>
      </c>
      <c r="W226" s="7">
        <f t="shared" si="30"/>
        <v>1.2477018633540373</v>
      </c>
      <c r="X226" s="5">
        <f t="shared" si="31"/>
        <v>33.113401035444042</v>
      </c>
    </row>
    <row r="227" spans="1:24" x14ac:dyDescent="0.35">
      <c r="A227" s="3">
        <v>46057</v>
      </c>
      <c r="B227" t="s">
        <v>350</v>
      </c>
      <c r="C227" t="s">
        <v>351</v>
      </c>
      <c r="D227" t="s">
        <v>40</v>
      </c>
      <c r="E227" t="s">
        <v>35</v>
      </c>
      <c r="F227" t="s">
        <v>20</v>
      </c>
      <c r="G227" t="s">
        <v>27</v>
      </c>
      <c r="H227" t="s">
        <v>37</v>
      </c>
      <c r="I227">
        <v>1900</v>
      </c>
      <c r="J227">
        <v>1884</v>
      </c>
      <c r="K227">
        <v>1758</v>
      </c>
      <c r="L227">
        <v>141</v>
      </c>
      <c r="M227">
        <v>59</v>
      </c>
      <c r="N227">
        <v>3</v>
      </c>
      <c r="O227">
        <v>267.05</v>
      </c>
      <c r="P227">
        <v>4411.6499999999996</v>
      </c>
      <c r="Q227" s="5">
        <f t="shared" si="24"/>
        <v>0.93312101910828027</v>
      </c>
      <c r="R227" s="5">
        <f t="shared" si="25"/>
        <v>8.0204778156996587E-2</v>
      </c>
      <c r="S227" s="5">
        <f t="shared" si="26"/>
        <v>0.41843971631205673</v>
      </c>
      <c r="T227" s="5">
        <f t="shared" si="27"/>
        <v>5.0847457627118647E-2</v>
      </c>
      <c r="U227" s="5">
        <f t="shared" si="28"/>
        <v>1.7064846416382253E-3</v>
      </c>
      <c r="V227" s="6">
        <f t="shared" si="29"/>
        <v>4.5262711864406784</v>
      </c>
      <c r="W227" s="7">
        <f t="shared" si="30"/>
        <v>1.8939716312056738</v>
      </c>
      <c r="X227" s="5">
        <f t="shared" si="31"/>
        <v>15.519940086126191</v>
      </c>
    </row>
    <row r="228" spans="1:24" x14ac:dyDescent="0.35">
      <c r="A228" s="3">
        <v>46057</v>
      </c>
      <c r="B228" t="s">
        <v>352</v>
      </c>
      <c r="C228" t="s">
        <v>353</v>
      </c>
      <c r="D228" t="s">
        <v>34</v>
      </c>
      <c r="E228" t="s">
        <v>25</v>
      </c>
      <c r="F228" t="s">
        <v>20</v>
      </c>
      <c r="G228" t="s">
        <v>41</v>
      </c>
      <c r="H228" t="s">
        <v>37</v>
      </c>
      <c r="I228">
        <v>1423</v>
      </c>
      <c r="J228">
        <v>1366</v>
      </c>
      <c r="K228">
        <v>1292</v>
      </c>
      <c r="L228">
        <v>40</v>
      </c>
      <c r="M228">
        <v>18</v>
      </c>
      <c r="N228">
        <v>0</v>
      </c>
      <c r="O228">
        <v>97.78</v>
      </c>
      <c r="P228">
        <v>0</v>
      </c>
      <c r="Q228" s="5">
        <f t="shared" si="24"/>
        <v>0.94582723279648606</v>
      </c>
      <c r="R228" s="5">
        <f t="shared" si="25"/>
        <v>3.0959752321981424E-2</v>
      </c>
      <c r="S228" s="5">
        <f t="shared" si="26"/>
        <v>0.45</v>
      </c>
      <c r="T228" s="5">
        <f t="shared" si="27"/>
        <v>0</v>
      </c>
      <c r="U228" s="5">
        <f t="shared" si="28"/>
        <v>0</v>
      </c>
      <c r="V228" s="6">
        <f t="shared" si="29"/>
        <v>5.4322222222222223</v>
      </c>
      <c r="W228" s="7">
        <f t="shared" si="30"/>
        <v>2.4445000000000001</v>
      </c>
      <c r="X228" s="5">
        <f t="shared" si="31"/>
        <v>-1</v>
      </c>
    </row>
    <row r="229" spans="1:24" x14ac:dyDescent="0.35">
      <c r="A229" s="3">
        <v>46057</v>
      </c>
      <c r="B229" t="s">
        <v>354</v>
      </c>
      <c r="C229" t="s">
        <v>355</v>
      </c>
      <c r="D229" t="s">
        <v>34</v>
      </c>
      <c r="E229" t="s">
        <v>19</v>
      </c>
      <c r="F229" t="s">
        <v>26</v>
      </c>
      <c r="G229" t="s">
        <v>21</v>
      </c>
      <c r="H229" t="s">
        <v>22</v>
      </c>
      <c r="I229">
        <v>1404</v>
      </c>
      <c r="J229">
        <v>1099</v>
      </c>
      <c r="K229">
        <v>1051</v>
      </c>
      <c r="L229">
        <v>15</v>
      </c>
      <c r="M229">
        <v>9</v>
      </c>
      <c r="N229">
        <v>0</v>
      </c>
      <c r="O229">
        <v>92.88</v>
      </c>
      <c r="P229">
        <v>0</v>
      </c>
      <c r="Q229" s="5">
        <f t="shared" si="24"/>
        <v>0.9563239308462238</v>
      </c>
      <c r="R229" s="5">
        <f t="shared" si="25"/>
        <v>1.4272121788772598E-2</v>
      </c>
      <c r="S229" s="5">
        <f t="shared" si="26"/>
        <v>0.6</v>
      </c>
      <c r="T229" s="5">
        <f t="shared" si="27"/>
        <v>0</v>
      </c>
      <c r="U229" s="5">
        <f t="shared" si="28"/>
        <v>0</v>
      </c>
      <c r="V229" s="6">
        <f t="shared" si="29"/>
        <v>10.32</v>
      </c>
      <c r="W229" s="7">
        <f t="shared" si="30"/>
        <v>6.1919999999999993</v>
      </c>
      <c r="X229" s="5">
        <f t="shared" si="31"/>
        <v>-1</v>
      </c>
    </row>
    <row r="230" spans="1:24" x14ac:dyDescent="0.35">
      <c r="A230" s="3">
        <v>46057</v>
      </c>
      <c r="B230" t="s">
        <v>323</v>
      </c>
      <c r="C230" t="s">
        <v>356</v>
      </c>
      <c r="D230" t="s">
        <v>34</v>
      </c>
      <c r="E230" t="s">
        <v>25</v>
      </c>
      <c r="F230" t="s">
        <v>26</v>
      </c>
      <c r="G230" t="s">
        <v>21</v>
      </c>
      <c r="H230" t="s">
        <v>48</v>
      </c>
      <c r="I230">
        <v>922</v>
      </c>
      <c r="J230">
        <v>904</v>
      </c>
      <c r="K230">
        <v>846</v>
      </c>
      <c r="L230">
        <v>47</v>
      </c>
      <c r="M230">
        <v>26</v>
      </c>
      <c r="N230">
        <v>1</v>
      </c>
      <c r="O230">
        <v>79.510000000000005</v>
      </c>
      <c r="P230">
        <v>1542.55</v>
      </c>
      <c r="Q230" s="5">
        <f t="shared" si="24"/>
        <v>0.93584070796460173</v>
      </c>
      <c r="R230" s="5">
        <f t="shared" si="25"/>
        <v>5.5555555555555552E-2</v>
      </c>
      <c r="S230" s="5">
        <f t="shared" si="26"/>
        <v>0.55319148936170215</v>
      </c>
      <c r="T230" s="5">
        <f t="shared" si="27"/>
        <v>3.8461538461538464E-2</v>
      </c>
      <c r="U230" s="5">
        <f t="shared" si="28"/>
        <v>1.1820330969267139E-3</v>
      </c>
      <c r="V230" s="6">
        <f t="shared" si="29"/>
        <v>3.0580769230769231</v>
      </c>
      <c r="W230" s="7">
        <f t="shared" si="30"/>
        <v>1.6917021276595745</v>
      </c>
      <c r="X230" s="5">
        <f t="shared" si="31"/>
        <v>18.400704313922777</v>
      </c>
    </row>
    <row r="231" spans="1:24" x14ac:dyDescent="0.35">
      <c r="A231" s="3">
        <v>46057</v>
      </c>
      <c r="B231" t="s">
        <v>333</v>
      </c>
      <c r="C231" t="s">
        <v>357</v>
      </c>
      <c r="D231" t="s">
        <v>18</v>
      </c>
      <c r="E231" t="s">
        <v>19</v>
      </c>
      <c r="F231" t="s">
        <v>20</v>
      </c>
      <c r="G231" t="s">
        <v>21</v>
      </c>
      <c r="H231" t="s">
        <v>28</v>
      </c>
      <c r="I231">
        <v>675</v>
      </c>
      <c r="J231">
        <v>672</v>
      </c>
      <c r="K231">
        <v>613</v>
      </c>
      <c r="L231">
        <v>14</v>
      </c>
      <c r="M231">
        <v>7</v>
      </c>
      <c r="N231">
        <v>0</v>
      </c>
      <c r="O231">
        <v>83.1</v>
      </c>
      <c r="P231">
        <v>0</v>
      </c>
      <c r="Q231" s="5">
        <f t="shared" si="24"/>
        <v>0.91220238095238093</v>
      </c>
      <c r="R231" s="5">
        <f t="shared" si="25"/>
        <v>2.2838499184339316E-2</v>
      </c>
      <c r="S231" s="5">
        <f t="shared" si="26"/>
        <v>0.5</v>
      </c>
      <c r="T231" s="5">
        <f t="shared" si="27"/>
        <v>0</v>
      </c>
      <c r="U231" s="5">
        <f t="shared" si="28"/>
        <v>0</v>
      </c>
      <c r="V231" s="6">
        <f t="shared" si="29"/>
        <v>11.87142857142857</v>
      </c>
      <c r="W231" s="7">
        <f t="shared" si="30"/>
        <v>5.9357142857142851</v>
      </c>
      <c r="X231" s="5">
        <f t="shared" si="31"/>
        <v>-1</v>
      </c>
    </row>
    <row r="232" spans="1:24" x14ac:dyDescent="0.35">
      <c r="A232" s="3">
        <v>46058</v>
      </c>
      <c r="B232" t="s">
        <v>341</v>
      </c>
      <c r="C232" t="s">
        <v>358</v>
      </c>
      <c r="D232" t="s">
        <v>18</v>
      </c>
      <c r="E232" t="s">
        <v>35</v>
      </c>
      <c r="F232" t="s">
        <v>26</v>
      </c>
      <c r="G232" t="s">
        <v>21</v>
      </c>
      <c r="H232" t="s">
        <v>51</v>
      </c>
      <c r="I232">
        <v>4123</v>
      </c>
      <c r="J232">
        <v>4096</v>
      </c>
      <c r="K232">
        <v>3684</v>
      </c>
      <c r="L232">
        <v>397</v>
      </c>
      <c r="M232">
        <v>258</v>
      </c>
      <c r="N232">
        <v>25</v>
      </c>
      <c r="O232">
        <v>538.08000000000004</v>
      </c>
      <c r="P232">
        <v>32361.05</v>
      </c>
      <c r="Q232" s="5">
        <f t="shared" si="24"/>
        <v>0.8994140625</v>
      </c>
      <c r="R232" s="5">
        <f t="shared" si="25"/>
        <v>0.10776330076004344</v>
      </c>
      <c r="S232" s="5">
        <f t="shared" si="26"/>
        <v>0.64987405541561716</v>
      </c>
      <c r="T232" s="5">
        <f t="shared" si="27"/>
        <v>9.6899224806201556E-2</v>
      </c>
      <c r="U232" s="5">
        <f t="shared" si="28"/>
        <v>6.7861020629750276E-3</v>
      </c>
      <c r="V232" s="6">
        <f t="shared" si="29"/>
        <v>2.0855813953488376</v>
      </c>
      <c r="W232" s="7">
        <f t="shared" si="30"/>
        <v>1.3553652392947104</v>
      </c>
      <c r="X232" s="5">
        <f t="shared" si="31"/>
        <v>59.141707552780247</v>
      </c>
    </row>
    <row r="233" spans="1:24" x14ac:dyDescent="0.35">
      <c r="A233" s="3">
        <v>46058</v>
      </c>
      <c r="B233" t="s">
        <v>359</v>
      </c>
      <c r="C233" t="s">
        <v>360</v>
      </c>
      <c r="D233" t="s">
        <v>40</v>
      </c>
      <c r="E233" t="s">
        <v>25</v>
      </c>
      <c r="F233" t="s">
        <v>26</v>
      </c>
      <c r="G233" t="s">
        <v>27</v>
      </c>
      <c r="H233" t="s">
        <v>28</v>
      </c>
      <c r="I233">
        <v>1997</v>
      </c>
      <c r="J233">
        <v>1792</v>
      </c>
      <c r="K233">
        <v>1673</v>
      </c>
      <c r="L233">
        <v>90</v>
      </c>
      <c r="M233">
        <v>60</v>
      </c>
      <c r="N233">
        <v>3</v>
      </c>
      <c r="O233">
        <v>312.77999999999997</v>
      </c>
      <c r="P233">
        <v>2930.27</v>
      </c>
      <c r="Q233" s="5">
        <f t="shared" si="24"/>
        <v>0.93359375</v>
      </c>
      <c r="R233" s="5">
        <f t="shared" si="25"/>
        <v>5.379557680812911E-2</v>
      </c>
      <c r="S233" s="5">
        <f t="shared" si="26"/>
        <v>0.66666666666666663</v>
      </c>
      <c r="T233" s="5">
        <f t="shared" si="27"/>
        <v>0.05</v>
      </c>
      <c r="U233" s="5">
        <f t="shared" si="28"/>
        <v>1.7931858936043037E-3</v>
      </c>
      <c r="V233" s="6">
        <f t="shared" si="29"/>
        <v>5.2129999999999992</v>
      </c>
      <c r="W233" s="7">
        <f t="shared" si="30"/>
        <v>3.4753333333333329</v>
      </c>
      <c r="X233" s="5">
        <f t="shared" si="31"/>
        <v>8.3684698510134918</v>
      </c>
    </row>
    <row r="234" spans="1:24" x14ac:dyDescent="0.35">
      <c r="A234" s="3">
        <v>46058</v>
      </c>
      <c r="B234" t="s">
        <v>361</v>
      </c>
      <c r="C234" t="s">
        <v>362</v>
      </c>
      <c r="D234" t="s">
        <v>34</v>
      </c>
      <c r="E234" t="s">
        <v>25</v>
      </c>
      <c r="F234" t="s">
        <v>20</v>
      </c>
      <c r="G234" t="s">
        <v>21</v>
      </c>
      <c r="H234" t="s">
        <v>48</v>
      </c>
      <c r="I234">
        <v>4791</v>
      </c>
      <c r="J234">
        <v>3759</v>
      </c>
      <c r="K234">
        <v>3545</v>
      </c>
      <c r="L234">
        <v>142</v>
      </c>
      <c r="M234">
        <v>70</v>
      </c>
      <c r="N234">
        <v>2</v>
      </c>
      <c r="O234">
        <v>318.42</v>
      </c>
      <c r="P234">
        <v>2102.52</v>
      </c>
      <c r="Q234" s="5">
        <f t="shared" si="24"/>
        <v>0.94306996541633414</v>
      </c>
      <c r="R234" s="5">
        <f t="shared" si="25"/>
        <v>4.0056417489421722E-2</v>
      </c>
      <c r="S234" s="5">
        <f t="shared" si="26"/>
        <v>0.49295774647887325</v>
      </c>
      <c r="T234" s="5">
        <f t="shared" si="27"/>
        <v>2.8571428571428571E-2</v>
      </c>
      <c r="U234" s="5">
        <f t="shared" si="28"/>
        <v>5.641748942172073E-4</v>
      </c>
      <c r="V234" s="6">
        <f t="shared" si="29"/>
        <v>4.5488571428571429</v>
      </c>
      <c r="W234" s="7">
        <f t="shared" si="30"/>
        <v>2.2423943661971832</v>
      </c>
      <c r="X234" s="5">
        <f t="shared" si="31"/>
        <v>5.6029771999246272</v>
      </c>
    </row>
    <row r="235" spans="1:24" x14ac:dyDescent="0.35">
      <c r="A235" s="3">
        <v>46058</v>
      </c>
      <c r="B235" t="s">
        <v>363</v>
      </c>
      <c r="C235" t="s">
        <v>364</v>
      </c>
      <c r="D235" t="s">
        <v>18</v>
      </c>
      <c r="E235" t="s">
        <v>25</v>
      </c>
      <c r="F235" t="s">
        <v>26</v>
      </c>
      <c r="G235" t="s">
        <v>36</v>
      </c>
      <c r="H235" t="s">
        <v>22</v>
      </c>
      <c r="I235">
        <v>2048</v>
      </c>
      <c r="J235">
        <v>1686</v>
      </c>
      <c r="K235">
        <v>1511</v>
      </c>
      <c r="L235">
        <v>101</v>
      </c>
      <c r="M235">
        <v>70</v>
      </c>
      <c r="N235">
        <v>3</v>
      </c>
      <c r="O235">
        <v>179.14</v>
      </c>
      <c r="P235">
        <v>3857.91</v>
      </c>
      <c r="Q235" s="5">
        <f t="shared" si="24"/>
        <v>0.89620403321470932</v>
      </c>
      <c r="R235" s="5">
        <f t="shared" si="25"/>
        <v>6.6843150231634674E-2</v>
      </c>
      <c r="S235" s="5">
        <f t="shared" si="26"/>
        <v>0.69306930693069302</v>
      </c>
      <c r="T235" s="5">
        <f t="shared" si="27"/>
        <v>4.2857142857142858E-2</v>
      </c>
      <c r="U235" s="5">
        <f t="shared" si="28"/>
        <v>1.9854401058901389E-3</v>
      </c>
      <c r="V235" s="6">
        <f t="shared" si="29"/>
        <v>2.5591428571428572</v>
      </c>
      <c r="W235" s="7">
        <f t="shared" si="30"/>
        <v>1.7736633663366335</v>
      </c>
      <c r="X235" s="5">
        <f t="shared" si="31"/>
        <v>20.535726247627554</v>
      </c>
    </row>
    <row r="236" spans="1:24" x14ac:dyDescent="0.35">
      <c r="A236" s="3">
        <v>46059</v>
      </c>
      <c r="B236" t="s">
        <v>365</v>
      </c>
      <c r="C236" t="s">
        <v>366</v>
      </c>
      <c r="D236" t="s">
        <v>40</v>
      </c>
      <c r="E236" t="s">
        <v>35</v>
      </c>
      <c r="F236" t="s">
        <v>20</v>
      </c>
      <c r="G236" t="s">
        <v>41</v>
      </c>
      <c r="H236" t="s">
        <v>37</v>
      </c>
      <c r="I236">
        <v>3591</v>
      </c>
      <c r="J236">
        <v>3478</v>
      </c>
      <c r="K236">
        <v>3269</v>
      </c>
      <c r="L236">
        <v>267</v>
      </c>
      <c r="M236">
        <v>100</v>
      </c>
      <c r="N236">
        <v>8</v>
      </c>
      <c r="O236">
        <v>615.11</v>
      </c>
      <c r="P236">
        <v>12803.22</v>
      </c>
      <c r="Q236" s="5">
        <f t="shared" si="24"/>
        <v>0.93990799309948247</v>
      </c>
      <c r="R236" s="5">
        <f t="shared" si="25"/>
        <v>8.1676353624961756E-2</v>
      </c>
      <c r="S236" s="5">
        <f t="shared" si="26"/>
        <v>0.37453183520599254</v>
      </c>
      <c r="T236" s="5">
        <f t="shared" si="27"/>
        <v>0.08</v>
      </c>
      <c r="U236" s="5">
        <f t="shared" si="28"/>
        <v>2.4472315692872439E-3</v>
      </c>
      <c r="V236" s="6">
        <f t="shared" si="29"/>
        <v>6.1511000000000005</v>
      </c>
      <c r="W236" s="7">
        <f t="shared" si="30"/>
        <v>2.3037827715355808</v>
      </c>
      <c r="X236" s="5">
        <f t="shared" si="31"/>
        <v>19.814520979987318</v>
      </c>
    </row>
    <row r="237" spans="1:24" x14ac:dyDescent="0.35">
      <c r="A237" s="3">
        <v>46059</v>
      </c>
      <c r="B237" t="s">
        <v>359</v>
      </c>
      <c r="C237" t="s">
        <v>367</v>
      </c>
      <c r="D237" t="s">
        <v>31</v>
      </c>
      <c r="E237" t="s">
        <v>35</v>
      </c>
      <c r="F237" t="s">
        <v>20</v>
      </c>
      <c r="G237" t="s">
        <v>21</v>
      </c>
      <c r="H237" t="s">
        <v>28</v>
      </c>
      <c r="I237">
        <v>3407</v>
      </c>
      <c r="J237">
        <v>3273</v>
      </c>
      <c r="K237">
        <v>3204</v>
      </c>
      <c r="L237">
        <v>168</v>
      </c>
      <c r="M237">
        <v>55</v>
      </c>
      <c r="N237">
        <v>5</v>
      </c>
      <c r="O237">
        <v>626.86</v>
      </c>
      <c r="P237">
        <v>6758.22</v>
      </c>
      <c r="Q237" s="5">
        <f t="shared" si="24"/>
        <v>0.97891842346471125</v>
      </c>
      <c r="R237" s="5">
        <f t="shared" si="25"/>
        <v>5.2434456928838954E-2</v>
      </c>
      <c r="S237" s="5">
        <f t="shared" si="26"/>
        <v>0.32738095238095238</v>
      </c>
      <c r="T237" s="5">
        <f t="shared" si="27"/>
        <v>9.0909090909090912E-2</v>
      </c>
      <c r="U237" s="5">
        <f t="shared" si="28"/>
        <v>1.560549313358302E-3</v>
      </c>
      <c r="V237" s="6">
        <f t="shared" si="29"/>
        <v>11.397454545454545</v>
      </c>
      <c r="W237" s="7">
        <f t="shared" si="30"/>
        <v>3.7313095238095237</v>
      </c>
      <c r="X237" s="5">
        <f t="shared" si="31"/>
        <v>9.7810675429920568</v>
      </c>
    </row>
    <row r="238" spans="1:24" x14ac:dyDescent="0.35">
      <c r="A238" s="3">
        <v>46059</v>
      </c>
      <c r="B238" t="s">
        <v>368</v>
      </c>
      <c r="C238" t="s">
        <v>369</v>
      </c>
      <c r="D238" t="s">
        <v>34</v>
      </c>
      <c r="E238" t="s">
        <v>19</v>
      </c>
      <c r="F238" t="s">
        <v>20</v>
      </c>
      <c r="G238" t="s">
        <v>36</v>
      </c>
      <c r="H238" t="s">
        <v>48</v>
      </c>
      <c r="I238">
        <v>4724</v>
      </c>
      <c r="J238">
        <v>4461</v>
      </c>
      <c r="K238">
        <v>4146</v>
      </c>
      <c r="L238">
        <v>100</v>
      </c>
      <c r="M238">
        <v>52</v>
      </c>
      <c r="N238">
        <v>2</v>
      </c>
      <c r="O238">
        <v>428.01</v>
      </c>
      <c r="P238">
        <v>1339.34</v>
      </c>
      <c r="Q238" s="5">
        <f t="shared" si="24"/>
        <v>0.92938802958977806</v>
      </c>
      <c r="R238" s="5">
        <f t="shared" si="25"/>
        <v>2.4119633381572601E-2</v>
      </c>
      <c r="S238" s="5">
        <f t="shared" si="26"/>
        <v>0.52</v>
      </c>
      <c r="T238" s="5">
        <f t="shared" si="27"/>
        <v>3.8461538461538464E-2</v>
      </c>
      <c r="U238" s="5">
        <f t="shared" si="28"/>
        <v>4.8239266763145202E-4</v>
      </c>
      <c r="V238" s="6">
        <f t="shared" si="29"/>
        <v>8.2309615384615391</v>
      </c>
      <c r="W238" s="7">
        <f t="shared" si="30"/>
        <v>4.2801</v>
      </c>
      <c r="X238" s="5">
        <f t="shared" si="31"/>
        <v>2.1292259526646573</v>
      </c>
    </row>
    <row r="239" spans="1:24" x14ac:dyDescent="0.35">
      <c r="A239" s="3">
        <v>46059</v>
      </c>
      <c r="B239" t="s">
        <v>331</v>
      </c>
      <c r="C239" t="s">
        <v>370</v>
      </c>
      <c r="D239" t="s">
        <v>34</v>
      </c>
      <c r="E239" t="s">
        <v>35</v>
      </c>
      <c r="F239" t="s">
        <v>20</v>
      </c>
      <c r="G239" t="s">
        <v>41</v>
      </c>
      <c r="H239" t="s">
        <v>37</v>
      </c>
      <c r="I239">
        <v>2344</v>
      </c>
      <c r="J239">
        <v>1848</v>
      </c>
      <c r="K239">
        <v>1746</v>
      </c>
      <c r="L239">
        <v>115</v>
      </c>
      <c r="M239">
        <v>64</v>
      </c>
      <c r="N239">
        <v>4</v>
      </c>
      <c r="O239">
        <v>140.19999999999999</v>
      </c>
      <c r="P239">
        <v>4786.2700000000004</v>
      </c>
      <c r="Q239" s="5">
        <f t="shared" si="24"/>
        <v>0.94480519480519476</v>
      </c>
      <c r="R239" s="5">
        <f t="shared" si="25"/>
        <v>6.5864833906071021E-2</v>
      </c>
      <c r="S239" s="5">
        <f t="shared" si="26"/>
        <v>0.55652173913043479</v>
      </c>
      <c r="T239" s="5">
        <f t="shared" si="27"/>
        <v>6.25E-2</v>
      </c>
      <c r="U239" s="5">
        <f t="shared" si="28"/>
        <v>2.2909507445589921E-3</v>
      </c>
      <c r="V239" s="6">
        <f t="shared" si="29"/>
        <v>2.1906249999999998</v>
      </c>
      <c r="W239" s="7">
        <f t="shared" si="30"/>
        <v>1.2191304347826086</v>
      </c>
      <c r="X239" s="5">
        <f t="shared" si="31"/>
        <v>33.138873038516415</v>
      </c>
    </row>
    <row r="240" spans="1:24" x14ac:dyDescent="0.35">
      <c r="A240" s="3">
        <v>46059</v>
      </c>
      <c r="B240" t="s">
        <v>371</v>
      </c>
      <c r="C240" t="s">
        <v>372</v>
      </c>
      <c r="D240" t="s">
        <v>40</v>
      </c>
      <c r="E240" t="s">
        <v>56</v>
      </c>
      <c r="F240" t="s">
        <v>20</v>
      </c>
      <c r="G240" t="s">
        <v>59</v>
      </c>
      <c r="H240" t="s">
        <v>37</v>
      </c>
      <c r="I240">
        <v>2174</v>
      </c>
      <c r="J240">
        <v>1605</v>
      </c>
      <c r="K240">
        <v>1509</v>
      </c>
      <c r="L240">
        <v>102</v>
      </c>
      <c r="M240">
        <v>53</v>
      </c>
      <c r="N240">
        <v>3</v>
      </c>
      <c r="O240">
        <v>239.19</v>
      </c>
      <c r="P240">
        <v>3106.79</v>
      </c>
      <c r="Q240" s="5">
        <f t="shared" si="24"/>
        <v>0.94018691588785042</v>
      </c>
      <c r="R240" s="5">
        <f t="shared" si="25"/>
        <v>6.7594433399602388E-2</v>
      </c>
      <c r="S240" s="5">
        <f t="shared" si="26"/>
        <v>0.51960784313725494</v>
      </c>
      <c r="T240" s="5">
        <f t="shared" si="27"/>
        <v>5.6603773584905662E-2</v>
      </c>
      <c r="U240" s="5">
        <f t="shared" si="28"/>
        <v>1.9880715705765406E-3</v>
      </c>
      <c r="V240" s="6">
        <f t="shared" si="29"/>
        <v>4.5130188679245284</v>
      </c>
      <c r="W240" s="7">
        <f t="shared" si="30"/>
        <v>2.3450000000000002</v>
      </c>
      <c r="X240" s="5">
        <f t="shared" si="31"/>
        <v>11.988795518207283</v>
      </c>
    </row>
    <row r="241" spans="1:24" x14ac:dyDescent="0.35">
      <c r="A241" s="3">
        <v>46059</v>
      </c>
      <c r="B241" t="s">
        <v>327</v>
      </c>
      <c r="C241" t="s">
        <v>373</v>
      </c>
      <c r="D241" t="s">
        <v>34</v>
      </c>
      <c r="E241" t="s">
        <v>35</v>
      </c>
      <c r="F241" t="s">
        <v>20</v>
      </c>
      <c r="G241" t="s">
        <v>27</v>
      </c>
      <c r="H241" t="s">
        <v>37</v>
      </c>
      <c r="I241">
        <v>4453</v>
      </c>
      <c r="J241">
        <v>3932</v>
      </c>
      <c r="K241">
        <v>3683</v>
      </c>
      <c r="L241">
        <v>272</v>
      </c>
      <c r="M241">
        <v>125</v>
      </c>
      <c r="N241">
        <v>9</v>
      </c>
      <c r="O241">
        <v>367.86</v>
      </c>
      <c r="P241">
        <v>13273.12</v>
      </c>
      <c r="Q241" s="5">
        <f t="shared" si="24"/>
        <v>0.93667344862665314</v>
      </c>
      <c r="R241" s="5">
        <f t="shared" si="25"/>
        <v>7.3852837360847134E-2</v>
      </c>
      <c r="S241" s="5">
        <f t="shared" si="26"/>
        <v>0.45955882352941174</v>
      </c>
      <c r="T241" s="5">
        <f t="shared" si="27"/>
        <v>7.1999999999999995E-2</v>
      </c>
      <c r="U241" s="5">
        <f t="shared" si="28"/>
        <v>2.4436600597339125E-3</v>
      </c>
      <c r="V241" s="6">
        <f t="shared" si="29"/>
        <v>2.9428800000000002</v>
      </c>
      <c r="W241" s="7">
        <f t="shared" si="30"/>
        <v>1.3524264705882354</v>
      </c>
      <c r="X241" s="5">
        <f t="shared" si="31"/>
        <v>35.081987712716796</v>
      </c>
    </row>
    <row r="242" spans="1:24" x14ac:dyDescent="0.35">
      <c r="A242" s="3">
        <v>46059</v>
      </c>
      <c r="B242" t="s">
        <v>327</v>
      </c>
      <c r="C242" t="s">
        <v>374</v>
      </c>
      <c r="D242" t="s">
        <v>40</v>
      </c>
      <c r="E242" t="s">
        <v>56</v>
      </c>
      <c r="F242" t="s">
        <v>20</v>
      </c>
      <c r="G242" t="s">
        <v>27</v>
      </c>
      <c r="H242" t="s">
        <v>48</v>
      </c>
      <c r="I242">
        <v>2751</v>
      </c>
      <c r="J242">
        <v>2419</v>
      </c>
      <c r="K242">
        <v>2274</v>
      </c>
      <c r="L242">
        <v>133</v>
      </c>
      <c r="M242">
        <v>64</v>
      </c>
      <c r="N242">
        <v>2</v>
      </c>
      <c r="O242">
        <v>430.4</v>
      </c>
      <c r="P242">
        <v>1443.42</v>
      </c>
      <c r="Q242" s="5">
        <f t="shared" si="24"/>
        <v>0.9400578751550227</v>
      </c>
      <c r="R242" s="5">
        <f t="shared" si="25"/>
        <v>5.8487247141600703E-2</v>
      </c>
      <c r="S242" s="5">
        <f t="shared" si="26"/>
        <v>0.48120300751879697</v>
      </c>
      <c r="T242" s="5">
        <f t="shared" si="27"/>
        <v>3.125E-2</v>
      </c>
      <c r="U242" s="5">
        <f t="shared" si="28"/>
        <v>8.7950747581354446E-4</v>
      </c>
      <c r="V242" s="6">
        <f t="shared" si="29"/>
        <v>6.7249999999999996</v>
      </c>
      <c r="W242" s="7">
        <f t="shared" si="30"/>
        <v>3.2360902255639097</v>
      </c>
      <c r="X242" s="5">
        <f t="shared" si="31"/>
        <v>2.3536710037174724</v>
      </c>
    </row>
    <row r="243" spans="1:24" x14ac:dyDescent="0.35">
      <c r="A243" s="3">
        <v>46059</v>
      </c>
      <c r="B243" t="s">
        <v>375</v>
      </c>
      <c r="C243" t="s">
        <v>376</v>
      </c>
      <c r="D243" t="s">
        <v>40</v>
      </c>
      <c r="E243" t="s">
        <v>56</v>
      </c>
      <c r="F243" t="s">
        <v>20</v>
      </c>
      <c r="G243" t="s">
        <v>21</v>
      </c>
      <c r="H243" t="s">
        <v>37</v>
      </c>
      <c r="I243">
        <v>418</v>
      </c>
      <c r="J243">
        <v>356</v>
      </c>
      <c r="K243">
        <v>328</v>
      </c>
      <c r="L243">
        <v>16</v>
      </c>
      <c r="M243">
        <v>8</v>
      </c>
      <c r="N243">
        <v>0</v>
      </c>
      <c r="O243">
        <v>51.8</v>
      </c>
      <c r="P243">
        <v>0</v>
      </c>
      <c r="Q243" s="5">
        <f t="shared" si="24"/>
        <v>0.9213483146067416</v>
      </c>
      <c r="R243" s="5">
        <f t="shared" si="25"/>
        <v>4.878048780487805E-2</v>
      </c>
      <c r="S243" s="5">
        <f t="shared" si="26"/>
        <v>0.5</v>
      </c>
      <c r="T243" s="5">
        <f t="shared" si="27"/>
        <v>0</v>
      </c>
      <c r="U243" s="5">
        <f t="shared" si="28"/>
        <v>0</v>
      </c>
      <c r="V243" s="6">
        <f t="shared" si="29"/>
        <v>6.4749999999999996</v>
      </c>
      <c r="W243" s="7">
        <f t="shared" si="30"/>
        <v>3.2374999999999998</v>
      </c>
      <c r="X243" s="5">
        <f t="shared" si="31"/>
        <v>-1</v>
      </c>
    </row>
    <row r="244" spans="1:24" x14ac:dyDescent="0.35">
      <c r="A244" s="3">
        <v>46060</v>
      </c>
      <c r="B244" t="s">
        <v>377</v>
      </c>
      <c r="C244" t="s">
        <v>378</v>
      </c>
      <c r="D244" t="s">
        <v>18</v>
      </c>
      <c r="E244" t="s">
        <v>56</v>
      </c>
      <c r="F244" t="s">
        <v>20</v>
      </c>
      <c r="G244" t="s">
        <v>41</v>
      </c>
      <c r="H244" t="s">
        <v>48</v>
      </c>
      <c r="I244">
        <v>3077</v>
      </c>
      <c r="J244">
        <v>2531</v>
      </c>
      <c r="K244">
        <v>2271</v>
      </c>
      <c r="L244">
        <v>160</v>
      </c>
      <c r="M244">
        <v>84</v>
      </c>
      <c r="N244">
        <v>4</v>
      </c>
      <c r="O244">
        <v>284.51</v>
      </c>
      <c r="P244">
        <v>3386.97</v>
      </c>
      <c r="Q244" s="5">
        <f t="shared" si="24"/>
        <v>0.89727380482022912</v>
      </c>
      <c r="R244" s="5">
        <f t="shared" si="25"/>
        <v>7.0453544693967418E-2</v>
      </c>
      <c r="S244" s="5">
        <f t="shared" si="26"/>
        <v>0.52500000000000002</v>
      </c>
      <c r="T244" s="5">
        <f t="shared" si="27"/>
        <v>4.7619047619047616E-2</v>
      </c>
      <c r="U244" s="5">
        <f t="shared" si="28"/>
        <v>1.7613386173491853E-3</v>
      </c>
      <c r="V244" s="6">
        <f t="shared" si="29"/>
        <v>3.3870238095238094</v>
      </c>
      <c r="W244" s="7">
        <f t="shared" si="30"/>
        <v>1.7781875</v>
      </c>
      <c r="X244" s="5">
        <f t="shared" si="31"/>
        <v>10.904572774243437</v>
      </c>
    </row>
    <row r="245" spans="1:24" x14ac:dyDescent="0.35">
      <c r="A245" s="3">
        <v>46060</v>
      </c>
      <c r="B245" t="s">
        <v>323</v>
      </c>
      <c r="C245" t="s">
        <v>379</v>
      </c>
      <c r="D245" t="s">
        <v>18</v>
      </c>
      <c r="E245" t="s">
        <v>19</v>
      </c>
      <c r="F245" t="s">
        <v>20</v>
      </c>
      <c r="G245" t="s">
        <v>21</v>
      </c>
      <c r="H245" t="s">
        <v>37</v>
      </c>
      <c r="I245">
        <v>2385</v>
      </c>
      <c r="J245">
        <v>2027</v>
      </c>
      <c r="K245">
        <v>1879</v>
      </c>
      <c r="L245">
        <v>47</v>
      </c>
      <c r="M245">
        <v>23</v>
      </c>
      <c r="N245">
        <v>0</v>
      </c>
      <c r="O245">
        <v>215.17</v>
      </c>
      <c r="P245">
        <v>0</v>
      </c>
      <c r="Q245" s="5">
        <f t="shared" si="24"/>
        <v>0.92698569314257528</v>
      </c>
      <c r="R245" s="5">
        <f t="shared" si="25"/>
        <v>2.5013304949441192E-2</v>
      </c>
      <c r="S245" s="5">
        <f t="shared" si="26"/>
        <v>0.48936170212765956</v>
      </c>
      <c r="T245" s="5">
        <f t="shared" si="27"/>
        <v>0</v>
      </c>
      <c r="U245" s="5">
        <f t="shared" si="28"/>
        <v>0</v>
      </c>
      <c r="V245" s="6">
        <f t="shared" si="29"/>
        <v>9.3552173913043468</v>
      </c>
      <c r="W245" s="7">
        <f t="shared" si="30"/>
        <v>4.5780851063829786</v>
      </c>
      <c r="X245" s="5">
        <f t="shared" si="31"/>
        <v>-1</v>
      </c>
    </row>
    <row r="246" spans="1:24" x14ac:dyDescent="0.35">
      <c r="A246" s="3">
        <v>46060</v>
      </c>
      <c r="B246" t="s">
        <v>380</v>
      </c>
      <c r="C246" t="s">
        <v>381</v>
      </c>
      <c r="D246" t="s">
        <v>34</v>
      </c>
      <c r="E246" t="s">
        <v>19</v>
      </c>
      <c r="F246" t="s">
        <v>20</v>
      </c>
      <c r="G246" t="s">
        <v>36</v>
      </c>
      <c r="H246" t="s">
        <v>37</v>
      </c>
      <c r="I246">
        <v>2591</v>
      </c>
      <c r="J246">
        <v>2531</v>
      </c>
      <c r="K246">
        <v>2352</v>
      </c>
      <c r="L246">
        <v>53</v>
      </c>
      <c r="M246">
        <v>23</v>
      </c>
      <c r="N246">
        <v>1</v>
      </c>
      <c r="O246">
        <v>218.3</v>
      </c>
      <c r="P246">
        <v>1094.97</v>
      </c>
      <c r="Q246" s="5">
        <f t="shared" si="24"/>
        <v>0.92927696562623474</v>
      </c>
      <c r="R246" s="5">
        <f t="shared" si="25"/>
        <v>2.2534013605442178E-2</v>
      </c>
      <c r="S246" s="5">
        <f t="shared" si="26"/>
        <v>0.43396226415094341</v>
      </c>
      <c r="T246" s="5">
        <f t="shared" si="27"/>
        <v>4.3478260869565216E-2</v>
      </c>
      <c r="U246" s="5">
        <f t="shared" si="28"/>
        <v>4.2517006802721087E-4</v>
      </c>
      <c r="V246" s="6">
        <f t="shared" si="29"/>
        <v>9.4913043478260875</v>
      </c>
      <c r="W246" s="7">
        <f t="shared" si="30"/>
        <v>4.1188679245283017</v>
      </c>
      <c r="X246" s="5">
        <f t="shared" si="31"/>
        <v>4.0158955565735228</v>
      </c>
    </row>
    <row r="247" spans="1:24" x14ac:dyDescent="0.35">
      <c r="A247" s="3">
        <v>46061</v>
      </c>
      <c r="B247" t="s">
        <v>382</v>
      </c>
      <c r="C247" t="s">
        <v>383</v>
      </c>
      <c r="D247" t="s">
        <v>34</v>
      </c>
      <c r="E247" t="s">
        <v>35</v>
      </c>
      <c r="F247" t="s">
        <v>20</v>
      </c>
      <c r="G247" t="s">
        <v>41</v>
      </c>
      <c r="H247" t="s">
        <v>51</v>
      </c>
      <c r="I247">
        <v>500</v>
      </c>
      <c r="J247">
        <v>386</v>
      </c>
      <c r="K247">
        <v>363</v>
      </c>
      <c r="L247">
        <v>24</v>
      </c>
      <c r="M247">
        <v>10</v>
      </c>
      <c r="N247">
        <v>1</v>
      </c>
      <c r="O247">
        <v>27.67</v>
      </c>
      <c r="P247">
        <v>1522.79</v>
      </c>
      <c r="Q247" s="5">
        <f t="shared" si="24"/>
        <v>0.94041450777202074</v>
      </c>
      <c r="R247" s="5">
        <f t="shared" si="25"/>
        <v>6.6115702479338845E-2</v>
      </c>
      <c r="S247" s="5">
        <f t="shared" si="26"/>
        <v>0.41666666666666669</v>
      </c>
      <c r="T247" s="5">
        <f t="shared" si="27"/>
        <v>0.1</v>
      </c>
      <c r="U247" s="5">
        <f t="shared" si="28"/>
        <v>2.7548209366391185E-3</v>
      </c>
      <c r="V247" s="6">
        <f t="shared" si="29"/>
        <v>2.7670000000000003</v>
      </c>
      <c r="W247" s="7">
        <f t="shared" si="30"/>
        <v>1.1529166666666668</v>
      </c>
      <c r="X247" s="5">
        <f t="shared" si="31"/>
        <v>54.033971810625218</v>
      </c>
    </row>
    <row r="248" spans="1:24" x14ac:dyDescent="0.35">
      <c r="A248" s="3">
        <v>46062</v>
      </c>
      <c r="B248" t="s">
        <v>384</v>
      </c>
      <c r="C248" t="s">
        <v>385</v>
      </c>
      <c r="D248" t="s">
        <v>40</v>
      </c>
      <c r="E248" t="s">
        <v>19</v>
      </c>
      <c r="F248" t="s">
        <v>20</v>
      </c>
      <c r="G248" t="s">
        <v>36</v>
      </c>
      <c r="H248" t="s">
        <v>37</v>
      </c>
      <c r="I248">
        <v>2490</v>
      </c>
      <c r="J248">
        <v>1943</v>
      </c>
      <c r="K248">
        <v>1771</v>
      </c>
      <c r="L248">
        <v>40</v>
      </c>
      <c r="M248">
        <v>20</v>
      </c>
      <c r="N248">
        <v>0</v>
      </c>
      <c r="O248">
        <v>339.62</v>
      </c>
      <c r="P248">
        <v>0</v>
      </c>
      <c r="Q248" s="5">
        <f t="shared" si="24"/>
        <v>0.91147709727225934</v>
      </c>
      <c r="R248" s="5">
        <f t="shared" si="25"/>
        <v>2.258610954263128E-2</v>
      </c>
      <c r="S248" s="5">
        <f t="shared" si="26"/>
        <v>0.5</v>
      </c>
      <c r="T248" s="5">
        <f t="shared" si="27"/>
        <v>0</v>
      </c>
      <c r="U248" s="5">
        <f t="shared" si="28"/>
        <v>0</v>
      </c>
      <c r="V248" s="6">
        <f t="shared" si="29"/>
        <v>16.981000000000002</v>
      </c>
      <c r="W248" s="7">
        <f t="shared" si="30"/>
        <v>8.4905000000000008</v>
      </c>
      <c r="X248" s="5">
        <f t="shared" si="31"/>
        <v>-1</v>
      </c>
    </row>
    <row r="249" spans="1:24" x14ac:dyDescent="0.35">
      <c r="A249" s="3">
        <v>46062</v>
      </c>
      <c r="B249" t="s">
        <v>365</v>
      </c>
      <c r="C249" t="s">
        <v>386</v>
      </c>
      <c r="D249" t="s">
        <v>40</v>
      </c>
      <c r="E249" t="s">
        <v>35</v>
      </c>
      <c r="F249" t="s">
        <v>26</v>
      </c>
      <c r="G249" t="s">
        <v>41</v>
      </c>
      <c r="H249" t="s">
        <v>37</v>
      </c>
      <c r="I249">
        <v>4638</v>
      </c>
      <c r="J249">
        <v>3504</v>
      </c>
      <c r="K249">
        <v>3322</v>
      </c>
      <c r="L249">
        <v>333</v>
      </c>
      <c r="M249">
        <v>194</v>
      </c>
      <c r="N249">
        <v>19</v>
      </c>
      <c r="O249">
        <v>577.6</v>
      </c>
      <c r="P249">
        <v>16776.88</v>
      </c>
      <c r="Q249" s="5">
        <f t="shared" si="24"/>
        <v>0.9480593607305936</v>
      </c>
      <c r="R249" s="5">
        <f t="shared" si="25"/>
        <v>0.10024081878386513</v>
      </c>
      <c r="S249" s="5">
        <f t="shared" si="26"/>
        <v>0.58258258258258255</v>
      </c>
      <c r="T249" s="5">
        <f t="shared" si="27"/>
        <v>9.7938144329896906E-2</v>
      </c>
      <c r="U249" s="5">
        <f t="shared" si="28"/>
        <v>5.7194461167971106E-3</v>
      </c>
      <c r="V249" s="6">
        <f t="shared" si="29"/>
        <v>2.9773195876288661</v>
      </c>
      <c r="W249" s="7">
        <f t="shared" si="30"/>
        <v>1.7345345345345347</v>
      </c>
      <c r="X249" s="5">
        <f t="shared" si="31"/>
        <v>28.045844875346262</v>
      </c>
    </row>
    <row r="250" spans="1:24" x14ac:dyDescent="0.35">
      <c r="A250" s="3">
        <v>46062</v>
      </c>
      <c r="B250" t="s">
        <v>387</v>
      </c>
      <c r="C250" t="s">
        <v>388</v>
      </c>
      <c r="D250" t="s">
        <v>18</v>
      </c>
      <c r="E250" t="s">
        <v>35</v>
      </c>
      <c r="F250" t="s">
        <v>26</v>
      </c>
      <c r="G250" t="s">
        <v>27</v>
      </c>
      <c r="H250" t="s">
        <v>22</v>
      </c>
      <c r="I250">
        <v>2699</v>
      </c>
      <c r="J250">
        <v>2187</v>
      </c>
      <c r="K250">
        <v>2013</v>
      </c>
      <c r="L250">
        <v>187</v>
      </c>
      <c r="M250">
        <v>117</v>
      </c>
      <c r="N250">
        <v>12</v>
      </c>
      <c r="O250">
        <v>228.69</v>
      </c>
      <c r="P250">
        <v>13782.7</v>
      </c>
      <c r="Q250" s="5">
        <f t="shared" si="24"/>
        <v>0.92043895747599447</v>
      </c>
      <c r="R250" s="5">
        <f t="shared" si="25"/>
        <v>9.2896174863387984E-2</v>
      </c>
      <c r="S250" s="5">
        <f t="shared" si="26"/>
        <v>0.62566844919786091</v>
      </c>
      <c r="T250" s="5">
        <f t="shared" si="27"/>
        <v>0.10256410256410256</v>
      </c>
      <c r="U250" s="5">
        <f t="shared" si="28"/>
        <v>5.9612518628912071E-3</v>
      </c>
      <c r="V250" s="6">
        <f t="shared" si="29"/>
        <v>1.9546153846153846</v>
      </c>
      <c r="W250" s="7">
        <f t="shared" si="30"/>
        <v>1.2229411764705882</v>
      </c>
      <c r="X250" s="5">
        <f t="shared" si="31"/>
        <v>59.268048449866633</v>
      </c>
    </row>
    <row r="251" spans="1:24" x14ac:dyDescent="0.35">
      <c r="A251" s="3">
        <v>46062</v>
      </c>
      <c r="B251" t="s">
        <v>389</v>
      </c>
      <c r="C251" t="s">
        <v>390</v>
      </c>
      <c r="D251" t="s">
        <v>31</v>
      </c>
      <c r="E251" t="s">
        <v>19</v>
      </c>
      <c r="F251" t="s">
        <v>20</v>
      </c>
      <c r="G251" t="s">
        <v>21</v>
      </c>
      <c r="H251" t="s">
        <v>48</v>
      </c>
      <c r="I251">
        <v>637</v>
      </c>
      <c r="J251">
        <v>471</v>
      </c>
      <c r="K251">
        <v>459</v>
      </c>
      <c r="L251">
        <v>3</v>
      </c>
      <c r="M251">
        <v>1</v>
      </c>
      <c r="N251">
        <v>0</v>
      </c>
      <c r="O251">
        <v>86.11</v>
      </c>
      <c r="P251">
        <v>0</v>
      </c>
      <c r="Q251" s="5">
        <f t="shared" si="24"/>
        <v>0.97452229299363058</v>
      </c>
      <c r="R251" s="5">
        <f t="shared" si="25"/>
        <v>6.5359477124183009E-3</v>
      </c>
      <c r="S251" s="5">
        <f t="shared" si="26"/>
        <v>0.33333333333333331</v>
      </c>
      <c r="T251" s="5">
        <f t="shared" si="27"/>
        <v>0</v>
      </c>
      <c r="U251" s="5">
        <f t="shared" si="28"/>
        <v>0</v>
      </c>
      <c r="V251" s="6">
        <f t="shared" si="29"/>
        <v>86.11</v>
      </c>
      <c r="W251" s="7">
        <f t="shared" si="30"/>
        <v>28.703333333333333</v>
      </c>
      <c r="X251" s="5">
        <f t="shared" si="31"/>
        <v>-1</v>
      </c>
    </row>
    <row r="252" spans="1:24" x14ac:dyDescent="0.35">
      <c r="A252" s="3">
        <v>46062</v>
      </c>
      <c r="B252" t="s">
        <v>391</v>
      </c>
      <c r="C252" t="s">
        <v>392</v>
      </c>
      <c r="D252" t="s">
        <v>34</v>
      </c>
      <c r="E252" t="s">
        <v>19</v>
      </c>
      <c r="F252" t="s">
        <v>26</v>
      </c>
      <c r="G252" t="s">
        <v>41</v>
      </c>
      <c r="H252" t="s">
        <v>22</v>
      </c>
      <c r="I252">
        <v>1728</v>
      </c>
      <c r="J252">
        <v>1490</v>
      </c>
      <c r="K252">
        <v>1415</v>
      </c>
      <c r="L252">
        <v>28</v>
      </c>
      <c r="M252">
        <v>18</v>
      </c>
      <c r="N252">
        <v>0</v>
      </c>
      <c r="O252">
        <v>111.63</v>
      </c>
      <c r="P252">
        <v>0</v>
      </c>
      <c r="Q252" s="5">
        <f t="shared" si="24"/>
        <v>0.94966442953020136</v>
      </c>
      <c r="R252" s="5">
        <f t="shared" si="25"/>
        <v>1.9787985865724382E-2</v>
      </c>
      <c r="S252" s="5">
        <f t="shared" si="26"/>
        <v>0.6428571428571429</v>
      </c>
      <c r="T252" s="5">
        <f t="shared" si="27"/>
        <v>0</v>
      </c>
      <c r="U252" s="5">
        <f t="shared" si="28"/>
        <v>0</v>
      </c>
      <c r="V252" s="6">
        <f t="shared" si="29"/>
        <v>6.2016666666666662</v>
      </c>
      <c r="W252" s="7">
        <f t="shared" si="30"/>
        <v>3.9867857142857139</v>
      </c>
      <c r="X252" s="5">
        <f t="shared" si="31"/>
        <v>-1</v>
      </c>
    </row>
    <row r="253" spans="1:24" x14ac:dyDescent="0.35">
      <c r="A253" s="3">
        <v>46063</v>
      </c>
      <c r="B253" t="s">
        <v>350</v>
      </c>
      <c r="C253" t="s">
        <v>393</v>
      </c>
      <c r="D253" t="s">
        <v>34</v>
      </c>
      <c r="E253" t="s">
        <v>19</v>
      </c>
      <c r="F253" t="s">
        <v>20</v>
      </c>
      <c r="G253" t="s">
        <v>36</v>
      </c>
      <c r="H253" t="s">
        <v>22</v>
      </c>
      <c r="I253">
        <v>4328</v>
      </c>
      <c r="J253">
        <v>4291</v>
      </c>
      <c r="K253">
        <v>4086</v>
      </c>
      <c r="L253">
        <v>25</v>
      </c>
      <c r="M253">
        <v>13</v>
      </c>
      <c r="N253">
        <v>0</v>
      </c>
      <c r="O253">
        <v>307.51</v>
      </c>
      <c r="P253">
        <v>0</v>
      </c>
      <c r="Q253" s="5">
        <f t="shared" si="24"/>
        <v>0.95222558844092287</v>
      </c>
      <c r="R253" s="5">
        <f t="shared" si="25"/>
        <v>6.1184532550171318E-3</v>
      </c>
      <c r="S253" s="5">
        <f t="shared" si="26"/>
        <v>0.52</v>
      </c>
      <c r="T253" s="5">
        <f t="shared" si="27"/>
        <v>0</v>
      </c>
      <c r="U253" s="5">
        <f t="shared" si="28"/>
        <v>0</v>
      </c>
      <c r="V253" s="6">
        <f t="shared" si="29"/>
        <v>23.654615384615383</v>
      </c>
      <c r="W253" s="7">
        <f t="shared" si="30"/>
        <v>12.3004</v>
      </c>
      <c r="X253" s="5">
        <f t="shared" si="31"/>
        <v>-1</v>
      </c>
    </row>
    <row r="254" spans="1:24" x14ac:dyDescent="0.35">
      <c r="A254" s="3">
        <v>46063</v>
      </c>
      <c r="B254" t="s">
        <v>394</v>
      </c>
      <c r="C254" t="s">
        <v>395</v>
      </c>
      <c r="D254" t="s">
        <v>31</v>
      </c>
      <c r="E254" t="s">
        <v>19</v>
      </c>
      <c r="F254" t="s">
        <v>26</v>
      </c>
      <c r="G254" t="s">
        <v>41</v>
      </c>
      <c r="H254" t="s">
        <v>28</v>
      </c>
      <c r="I254">
        <v>2287</v>
      </c>
      <c r="J254">
        <v>1773</v>
      </c>
      <c r="K254">
        <v>1740</v>
      </c>
      <c r="L254">
        <v>12</v>
      </c>
      <c r="M254">
        <v>6</v>
      </c>
      <c r="N254">
        <v>0</v>
      </c>
      <c r="O254">
        <v>366.68</v>
      </c>
      <c r="P254">
        <v>0</v>
      </c>
      <c r="Q254" s="5">
        <f t="shared" si="24"/>
        <v>0.9813874788494078</v>
      </c>
      <c r="R254" s="5">
        <f t="shared" si="25"/>
        <v>6.8965517241379309E-3</v>
      </c>
      <c r="S254" s="5">
        <f t="shared" si="26"/>
        <v>0.5</v>
      </c>
      <c r="T254" s="5">
        <f t="shared" si="27"/>
        <v>0</v>
      </c>
      <c r="U254" s="5">
        <f t="shared" si="28"/>
        <v>0</v>
      </c>
      <c r="V254" s="6">
        <f t="shared" si="29"/>
        <v>61.113333333333337</v>
      </c>
      <c r="W254" s="7">
        <f t="shared" si="30"/>
        <v>30.556666666666668</v>
      </c>
      <c r="X254" s="5">
        <f t="shared" si="31"/>
        <v>-1</v>
      </c>
    </row>
    <row r="255" spans="1:24" x14ac:dyDescent="0.35">
      <c r="A255" s="3">
        <v>46063</v>
      </c>
      <c r="B255" t="s">
        <v>368</v>
      </c>
      <c r="C255" t="s">
        <v>396</v>
      </c>
      <c r="D255" t="s">
        <v>34</v>
      </c>
      <c r="E255" t="s">
        <v>19</v>
      </c>
      <c r="F255" t="s">
        <v>20</v>
      </c>
      <c r="G255" t="s">
        <v>27</v>
      </c>
      <c r="H255" t="s">
        <v>28</v>
      </c>
      <c r="I255">
        <v>4590</v>
      </c>
      <c r="J255">
        <v>4112</v>
      </c>
      <c r="K255">
        <v>3879</v>
      </c>
      <c r="L255">
        <v>93</v>
      </c>
      <c r="M255">
        <v>44</v>
      </c>
      <c r="N255">
        <v>0</v>
      </c>
      <c r="O255">
        <v>289.56</v>
      </c>
      <c r="P255">
        <v>0</v>
      </c>
      <c r="Q255" s="5">
        <f t="shared" si="24"/>
        <v>0.94333657587548636</v>
      </c>
      <c r="R255" s="5">
        <f t="shared" si="25"/>
        <v>2.3975251353441609E-2</v>
      </c>
      <c r="S255" s="5">
        <f t="shared" si="26"/>
        <v>0.4731182795698925</v>
      </c>
      <c r="T255" s="5">
        <f t="shared" si="27"/>
        <v>0</v>
      </c>
      <c r="U255" s="5">
        <f t="shared" si="28"/>
        <v>0</v>
      </c>
      <c r="V255" s="6">
        <f t="shared" si="29"/>
        <v>6.580909090909091</v>
      </c>
      <c r="W255" s="7">
        <f t="shared" si="30"/>
        <v>3.1135483870967744</v>
      </c>
      <c r="X255" s="5">
        <f t="shared" si="31"/>
        <v>-1</v>
      </c>
    </row>
    <row r="256" spans="1:24" x14ac:dyDescent="0.35">
      <c r="A256" s="3">
        <v>46063</v>
      </c>
      <c r="B256" t="s">
        <v>331</v>
      </c>
      <c r="C256" t="s">
        <v>397</v>
      </c>
      <c r="D256" t="s">
        <v>40</v>
      </c>
      <c r="E256" t="s">
        <v>19</v>
      </c>
      <c r="F256" t="s">
        <v>20</v>
      </c>
      <c r="G256" t="s">
        <v>59</v>
      </c>
      <c r="H256" t="s">
        <v>22</v>
      </c>
      <c r="I256">
        <v>3131</v>
      </c>
      <c r="J256">
        <v>2813</v>
      </c>
      <c r="K256">
        <v>2613</v>
      </c>
      <c r="L256">
        <v>67</v>
      </c>
      <c r="M256">
        <v>33</v>
      </c>
      <c r="N256">
        <v>0</v>
      </c>
      <c r="O256">
        <v>471.01</v>
      </c>
      <c r="P256">
        <v>0</v>
      </c>
      <c r="Q256" s="5">
        <f t="shared" si="24"/>
        <v>0.92890152861713471</v>
      </c>
      <c r="R256" s="5">
        <f t="shared" si="25"/>
        <v>2.564102564102564E-2</v>
      </c>
      <c r="S256" s="5">
        <f t="shared" si="26"/>
        <v>0.4925373134328358</v>
      </c>
      <c r="T256" s="5">
        <f t="shared" si="27"/>
        <v>0</v>
      </c>
      <c r="U256" s="5">
        <f t="shared" si="28"/>
        <v>0</v>
      </c>
      <c r="V256" s="6">
        <f t="shared" si="29"/>
        <v>14.273030303030303</v>
      </c>
      <c r="W256" s="7">
        <f t="shared" si="30"/>
        <v>7.03</v>
      </c>
      <c r="X256" s="5">
        <f t="shared" si="31"/>
        <v>-1</v>
      </c>
    </row>
    <row r="257" spans="1:24" x14ac:dyDescent="0.35">
      <c r="A257" s="3">
        <v>46063</v>
      </c>
      <c r="B257" t="s">
        <v>398</v>
      </c>
      <c r="C257" t="s">
        <v>399</v>
      </c>
      <c r="D257" t="s">
        <v>18</v>
      </c>
      <c r="E257" t="s">
        <v>25</v>
      </c>
      <c r="F257" t="s">
        <v>20</v>
      </c>
      <c r="G257" t="s">
        <v>36</v>
      </c>
      <c r="H257" t="s">
        <v>28</v>
      </c>
      <c r="I257">
        <v>1965</v>
      </c>
      <c r="J257">
        <v>1684</v>
      </c>
      <c r="K257">
        <v>1527</v>
      </c>
      <c r="L257">
        <v>50</v>
      </c>
      <c r="M257">
        <v>28</v>
      </c>
      <c r="N257">
        <v>1</v>
      </c>
      <c r="O257">
        <v>177.15</v>
      </c>
      <c r="P257">
        <v>928.8</v>
      </c>
      <c r="Q257" s="5">
        <f t="shared" si="24"/>
        <v>0.90676959619952491</v>
      </c>
      <c r="R257" s="5">
        <f t="shared" si="25"/>
        <v>3.274394237066143E-2</v>
      </c>
      <c r="S257" s="5">
        <f t="shared" si="26"/>
        <v>0.56000000000000005</v>
      </c>
      <c r="T257" s="5">
        <f t="shared" si="27"/>
        <v>3.5714285714285712E-2</v>
      </c>
      <c r="U257" s="5">
        <f t="shared" si="28"/>
        <v>6.5487884741322858E-4</v>
      </c>
      <c r="V257" s="6">
        <f t="shared" si="29"/>
        <v>6.3267857142857142</v>
      </c>
      <c r="W257" s="7">
        <f t="shared" si="30"/>
        <v>3.5430000000000001</v>
      </c>
      <c r="X257" s="5">
        <f t="shared" si="31"/>
        <v>4.2430143945808636</v>
      </c>
    </row>
    <row r="258" spans="1:24" x14ac:dyDescent="0.35">
      <c r="A258" s="3">
        <v>46063</v>
      </c>
      <c r="B258" t="s">
        <v>375</v>
      </c>
      <c r="C258" t="s">
        <v>400</v>
      </c>
      <c r="D258" t="s">
        <v>40</v>
      </c>
      <c r="E258" t="s">
        <v>35</v>
      </c>
      <c r="F258" t="s">
        <v>26</v>
      </c>
      <c r="G258" t="s">
        <v>21</v>
      </c>
      <c r="H258" t="s">
        <v>22</v>
      </c>
      <c r="I258">
        <v>2132</v>
      </c>
      <c r="J258">
        <v>1712</v>
      </c>
      <c r="K258">
        <v>1610</v>
      </c>
      <c r="L258">
        <v>159</v>
      </c>
      <c r="M258">
        <v>102</v>
      </c>
      <c r="N258">
        <v>11</v>
      </c>
      <c r="O258">
        <v>290.07</v>
      </c>
      <c r="P258">
        <v>11385.49</v>
      </c>
      <c r="Q258" s="5">
        <f t="shared" si="24"/>
        <v>0.94042056074766356</v>
      </c>
      <c r="R258" s="5">
        <f t="shared" si="25"/>
        <v>9.8757763975155274E-2</v>
      </c>
      <c r="S258" s="5">
        <f t="shared" si="26"/>
        <v>0.64150943396226412</v>
      </c>
      <c r="T258" s="5">
        <f t="shared" si="27"/>
        <v>0.10784313725490197</v>
      </c>
      <c r="U258" s="5">
        <f t="shared" si="28"/>
        <v>6.8322981366459624E-3</v>
      </c>
      <c r="V258" s="6">
        <f t="shared" si="29"/>
        <v>2.8438235294117646</v>
      </c>
      <c r="W258" s="7">
        <f t="shared" si="30"/>
        <v>1.8243396226415094</v>
      </c>
      <c r="X258" s="5">
        <f t="shared" si="31"/>
        <v>38.250836005102215</v>
      </c>
    </row>
    <row r="259" spans="1:24" x14ac:dyDescent="0.35">
      <c r="A259" s="3">
        <v>46064</v>
      </c>
      <c r="B259" t="s">
        <v>339</v>
      </c>
      <c r="C259" t="s">
        <v>401</v>
      </c>
      <c r="D259" t="s">
        <v>40</v>
      </c>
      <c r="E259" t="s">
        <v>56</v>
      </c>
      <c r="F259" t="s">
        <v>20</v>
      </c>
      <c r="G259" t="s">
        <v>36</v>
      </c>
      <c r="H259" t="s">
        <v>37</v>
      </c>
      <c r="I259">
        <v>692</v>
      </c>
      <c r="J259">
        <v>692</v>
      </c>
      <c r="K259">
        <v>631</v>
      </c>
      <c r="L259">
        <v>35</v>
      </c>
      <c r="M259">
        <v>18</v>
      </c>
      <c r="N259">
        <v>1</v>
      </c>
      <c r="O259">
        <v>93.23</v>
      </c>
      <c r="P259">
        <v>679.82</v>
      </c>
      <c r="Q259" s="5">
        <f t="shared" ref="Q259:Q322" si="32">K259/J259</f>
        <v>0.91184971098265899</v>
      </c>
      <c r="R259" s="5">
        <f t="shared" ref="R259:R322" si="33">L259/K259</f>
        <v>5.5467511885895403E-2</v>
      </c>
      <c r="S259" s="5">
        <f t="shared" ref="S259:S322" si="34">M259/L259</f>
        <v>0.51428571428571423</v>
      </c>
      <c r="T259" s="5">
        <f t="shared" ref="T259:T322" si="35">N259/M259</f>
        <v>5.5555555555555552E-2</v>
      </c>
      <c r="U259" s="5">
        <f t="shared" ref="U259:U322" si="36">N259/K259</f>
        <v>1.5847860538827259E-3</v>
      </c>
      <c r="V259" s="6">
        <f t="shared" ref="V259:V322" si="37">O259/M259</f>
        <v>5.179444444444445</v>
      </c>
      <c r="W259" s="7">
        <f t="shared" ref="W259:W322" si="38">O259/L259</f>
        <v>2.6637142857142857</v>
      </c>
      <c r="X259" s="5">
        <f t="shared" ref="X259:X322" si="39">(P259-O259)/O259</f>
        <v>6.2918588437198331</v>
      </c>
    </row>
    <row r="260" spans="1:24" x14ac:dyDescent="0.35">
      <c r="A260" s="3">
        <v>46064</v>
      </c>
      <c r="B260" t="s">
        <v>384</v>
      </c>
      <c r="C260" t="s">
        <v>402</v>
      </c>
      <c r="D260" t="s">
        <v>18</v>
      </c>
      <c r="E260" t="s">
        <v>35</v>
      </c>
      <c r="F260" t="s">
        <v>20</v>
      </c>
      <c r="G260" t="s">
        <v>41</v>
      </c>
      <c r="H260" t="s">
        <v>37</v>
      </c>
      <c r="I260">
        <v>3138</v>
      </c>
      <c r="J260">
        <v>2718</v>
      </c>
      <c r="K260">
        <v>2526</v>
      </c>
      <c r="L260">
        <v>209</v>
      </c>
      <c r="M260">
        <v>112</v>
      </c>
      <c r="N260">
        <v>7</v>
      </c>
      <c r="O260">
        <v>329.41</v>
      </c>
      <c r="P260">
        <v>6916.48</v>
      </c>
      <c r="Q260" s="5">
        <f t="shared" si="32"/>
        <v>0.92935982339955847</v>
      </c>
      <c r="R260" s="5">
        <f t="shared" si="33"/>
        <v>8.2739509105304823E-2</v>
      </c>
      <c r="S260" s="5">
        <f t="shared" si="34"/>
        <v>0.53588516746411485</v>
      </c>
      <c r="T260" s="5">
        <f t="shared" si="35"/>
        <v>6.25E-2</v>
      </c>
      <c r="U260" s="5">
        <f t="shared" si="36"/>
        <v>2.7711797307996833E-3</v>
      </c>
      <c r="V260" s="6">
        <f t="shared" si="37"/>
        <v>2.9411607142857146</v>
      </c>
      <c r="W260" s="7">
        <f t="shared" si="38"/>
        <v>1.5761244019138758</v>
      </c>
      <c r="X260" s="5">
        <f t="shared" si="39"/>
        <v>19.996569624480127</v>
      </c>
    </row>
    <row r="261" spans="1:24" x14ac:dyDescent="0.35">
      <c r="A261" s="3">
        <v>46064</v>
      </c>
      <c r="B261" t="s">
        <v>403</v>
      </c>
      <c r="C261" t="s">
        <v>404</v>
      </c>
      <c r="D261" t="s">
        <v>40</v>
      </c>
      <c r="E261" t="s">
        <v>56</v>
      </c>
      <c r="F261" t="s">
        <v>20</v>
      </c>
      <c r="G261" t="s">
        <v>41</v>
      </c>
      <c r="H261" t="s">
        <v>28</v>
      </c>
      <c r="I261">
        <v>4135</v>
      </c>
      <c r="J261">
        <v>2985</v>
      </c>
      <c r="K261">
        <v>2819</v>
      </c>
      <c r="L261">
        <v>163</v>
      </c>
      <c r="M261">
        <v>75</v>
      </c>
      <c r="N261">
        <v>4</v>
      </c>
      <c r="O261">
        <v>504.4</v>
      </c>
      <c r="P261">
        <v>4572.13</v>
      </c>
      <c r="Q261" s="5">
        <f t="shared" si="32"/>
        <v>0.94438860971524285</v>
      </c>
      <c r="R261" s="5">
        <f t="shared" si="33"/>
        <v>5.782192266761263E-2</v>
      </c>
      <c r="S261" s="5">
        <f t="shared" si="34"/>
        <v>0.46012269938650308</v>
      </c>
      <c r="T261" s="5">
        <f t="shared" si="35"/>
        <v>5.3333333333333337E-2</v>
      </c>
      <c r="U261" s="5">
        <f t="shared" si="36"/>
        <v>1.4189428875487761E-3</v>
      </c>
      <c r="V261" s="6">
        <f t="shared" si="37"/>
        <v>6.7253333333333334</v>
      </c>
      <c r="W261" s="7">
        <f t="shared" si="38"/>
        <v>3.0944785276073619</v>
      </c>
      <c r="X261" s="5">
        <f t="shared" si="39"/>
        <v>8.0644924662965902</v>
      </c>
    </row>
    <row r="262" spans="1:24" x14ac:dyDescent="0.35">
      <c r="A262" s="3">
        <v>46064</v>
      </c>
      <c r="B262" t="s">
        <v>405</v>
      </c>
      <c r="C262" t="s">
        <v>406</v>
      </c>
      <c r="D262" t="s">
        <v>40</v>
      </c>
      <c r="E262" t="s">
        <v>56</v>
      </c>
      <c r="F262" t="s">
        <v>20</v>
      </c>
      <c r="G262" t="s">
        <v>21</v>
      </c>
      <c r="H262" t="s">
        <v>51</v>
      </c>
      <c r="I262">
        <v>598</v>
      </c>
      <c r="J262">
        <v>483</v>
      </c>
      <c r="K262">
        <v>439</v>
      </c>
      <c r="L262">
        <v>22</v>
      </c>
      <c r="M262">
        <v>10</v>
      </c>
      <c r="N262">
        <v>1</v>
      </c>
      <c r="O262">
        <v>85.28</v>
      </c>
      <c r="P262">
        <v>892.71</v>
      </c>
      <c r="Q262" s="5">
        <f t="shared" si="32"/>
        <v>0.90890269151138714</v>
      </c>
      <c r="R262" s="5">
        <f t="shared" si="33"/>
        <v>5.011389521640091E-2</v>
      </c>
      <c r="S262" s="5">
        <f t="shared" si="34"/>
        <v>0.45454545454545453</v>
      </c>
      <c r="T262" s="5">
        <f t="shared" si="35"/>
        <v>0.1</v>
      </c>
      <c r="U262" s="5">
        <f t="shared" si="36"/>
        <v>2.2779043280182231E-3</v>
      </c>
      <c r="V262" s="6">
        <f t="shared" si="37"/>
        <v>8.5280000000000005</v>
      </c>
      <c r="W262" s="7">
        <f t="shared" si="38"/>
        <v>3.8763636363636365</v>
      </c>
      <c r="X262" s="5">
        <f t="shared" si="39"/>
        <v>9.4679878048780495</v>
      </c>
    </row>
    <row r="263" spans="1:24" x14ac:dyDescent="0.35">
      <c r="A263" s="3">
        <v>46065</v>
      </c>
      <c r="B263" t="s">
        <v>407</v>
      </c>
      <c r="C263" t="s">
        <v>408</v>
      </c>
      <c r="D263" t="s">
        <v>31</v>
      </c>
      <c r="E263" t="s">
        <v>35</v>
      </c>
      <c r="F263" t="s">
        <v>20</v>
      </c>
      <c r="G263" t="s">
        <v>59</v>
      </c>
      <c r="H263" t="s">
        <v>28</v>
      </c>
      <c r="I263">
        <v>3251</v>
      </c>
      <c r="J263">
        <v>2750</v>
      </c>
      <c r="K263">
        <v>2675</v>
      </c>
      <c r="L263">
        <v>122</v>
      </c>
      <c r="M263">
        <v>29</v>
      </c>
      <c r="N263">
        <v>2</v>
      </c>
      <c r="O263">
        <v>478.69</v>
      </c>
      <c r="P263">
        <v>2163.0700000000002</v>
      </c>
      <c r="Q263" s="5">
        <f t="shared" si="32"/>
        <v>0.97272727272727277</v>
      </c>
      <c r="R263" s="5">
        <f t="shared" si="33"/>
        <v>4.5607476635514017E-2</v>
      </c>
      <c r="S263" s="5">
        <f t="shared" si="34"/>
        <v>0.23770491803278687</v>
      </c>
      <c r="T263" s="5">
        <f t="shared" si="35"/>
        <v>6.8965517241379309E-2</v>
      </c>
      <c r="U263" s="5">
        <f t="shared" si="36"/>
        <v>7.4766355140186912E-4</v>
      </c>
      <c r="V263" s="6">
        <f t="shared" si="37"/>
        <v>16.506551724137932</v>
      </c>
      <c r="W263" s="7">
        <f t="shared" si="38"/>
        <v>3.923688524590164</v>
      </c>
      <c r="X263" s="5">
        <f t="shared" si="39"/>
        <v>3.518728195700767</v>
      </c>
    </row>
    <row r="264" spans="1:24" x14ac:dyDescent="0.35">
      <c r="A264" s="3">
        <v>46065</v>
      </c>
      <c r="B264" t="s">
        <v>343</v>
      </c>
      <c r="C264" t="s">
        <v>409</v>
      </c>
      <c r="D264" t="s">
        <v>31</v>
      </c>
      <c r="E264" t="s">
        <v>19</v>
      </c>
      <c r="F264" t="s">
        <v>20</v>
      </c>
      <c r="G264" t="s">
        <v>59</v>
      </c>
      <c r="H264" t="s">
        <v>37</v>
      </c>
      <c r="I264">
        <v>4727</v>
      </c>
      <c r="J264">
        <v>3871</v>
      </c>
      <c r="K264">
        <v>3659</v>
      </c>
      <c r="L264">
        <v>11</v>
      </c>
      <c r="M264">
        <v>5</v>
      </c>
      <c r="N264">
        <v>0</v>
      </c>
      <c r="O264">
        <v>637.42999999999995</v>
      </c>
      <c r="P264">
        <v>0</v>
      </c>
      <c r="Q264" s="5">
        <f t="shared" si="32"/>
        <v>0.94523378971841898</v>
      </c>
      <c r="R264" s="5">
        <f t="shared" si="33"/>
        <v>3.0062858704564088E-3</v>
      </c>
      <c r="S264" s="5">
        <f t="shared" si="34"/>
        <v>0.45454545454545453</v>
      </c>
      <c r="T264" s="5">
        <f t="shared" si="35"/>
        <v>0</v>
      </c>
      <c r="U264" s="5">
        <f t="shared" si="36"/>
        <v>0</v>
      </c>
      <c r="V264" s="6">
        <f t="shared" si="37"/>
        <v>127.48599999999999</v>
      </c>
      <c r="W264" s="7">
        <f t="shared" si="38"/>
        <v>57.948181818181816</v>
      </c>
      <c r="X264" s="5">
        <f t="shared" si="39"/>
        <v>-1</v>
      </c>
    </row>
    <row r="265" spans="1:24" x14ac:dyDescent="0.35">
      <c r="A265" s="3">
        <v>46065</v>
      </c>
      <c r="B265" t="s">
        <v>361</v>
      </c>
      <c r="C265" t="s">
        <v>410</v>
      </c>
      <c r="D265" t="s">
        <v>31</v>
      </c>
      <c r="E265" t="s">
        <v>19</v>
      </c>
      <c r="F265" t="s">
        <v>26</v>
      </c>
      <c r="G265" t="s">
        <v>59</v>
      </c>
      <c r="H265" t="s">
        <v>48</v>
      </c>
      <c r="I265">
        <v>806</v>
      </c>
      <c r="J265">
        <v>678</v>
      </c>
      <c r="K265">
        <v>652</v>
      </c>
      <c r="L265">
        <v>13</v>
      </c>
      <c r="M265">
        <v>6</v>
      </c>
      <c r="N265">
        <v>0</v>
      </c>
      <c r="O265">
        <v>124.2</v>
      </c>
      <c r="P265">
        <v>0</v>
      </c>
      <c r="Q265" s="5">
        <f t="shared" si="32"/>
        <v>0.96165191740412981</v>
      </c>
      <c r="R265" s="5">
        <f t="shared" si="33"/>
        <v>1.9938650306748466E-2</v>
      </c>
      <c r="S265" s="5">
        <f t="shared" si="34"/>
        <v>0.46153846153846156</v>
      </c>
      <c r="T265" s="5">
        <f t="shared" si="35"/>
        <v>0</v>
      </c>
      <c r="U265" s="5">
        <f t="shared" si="36"/>
        <v>0</v>
      </c>
      <c r="V265" s="6">
        <f t="shared" si="37"/>
        <v>20.7</v>
      </c>
      <c r="W265" s="7">
        <f t="shared" si="38"/>
        <v>9.5538461538461537</v>
      </c>
      <c r="X265" s="5">
        <f t="shared" si="39"/>
        <v>-1</v>
      </c>
    </row>
    <row r="266" spans="1:24" x14ac:dyDescent="0.35">
      <c r="A266" s="3">
        <v>46066</v>
      </c>
      <c r="B266" t="s">
        <v>384</v>
      </c>
      <c r="C266" t="s">
        <v>411</v>
      </c>
      <c r="D266" t="s">
        <v>18</v>
      </c>
      <c r="E266" t="s">
        <v>25</v>
      </c>
      <c r="F266" t="s">
        <v>20</v>
      </c>
      <c r="G266" t="s">
        <v>21</v>
      </c>
      <c r="H266" t="s">
        <v>28</v>
      </c>
      <c r="I266">
        <v>1204</v>
      </c>
      <c r="J266">
        <v>1019</v>
      </c>
      <c r="K266">
        <v>899</v>
      </c>
      <c r="L266">
        <v>18</v>
      </c>
      <c r="M266">
        <v>9</v>
      </c>
      <c r="N266">
        <v>0</v>
      </c>
      <c r="O266">
        <v>130.88</v>
      </c>
      <c r="P266">
        <v>0</v>
      </c>
      <c r="Q266" s="5">
        <f t="shared" si="32"/>
        <v>0.88223748773307165</v>
      </c>
      <c r="R266" s="5">
        <f t="shared" si="33"/>
        <v>2.0022246941045607E-2</v>
      </c>
      <c r="S266" s="5">
        <f t="shared" si="34"/>
        <v>0.5</v>
      </c>
      <c r="T266" s="5">
        <f t="shared" si="35"/>
        <v>0</v>
      </c>
      <c r="U266" s="5">
        <f t="shared" si="36"/>
        <v>0</v>
      </c>
      <c r="V266" s="6">
        <f t="shared" si="37"/>
        <v>14.542222222222222</v>
      </c>
      <c r="W266" s="7">
        <f t="shared" si="38"/>
        <v>7.2711111111111109</v>
      </c>
      <c r="X266" s="5">
        <f t="shared" si="39"/>
        <v>-1</v>
      </c>
    </row>
    <row r="267" spans="1:24" x14ac:dyDescent="0.35">
      <c r="A267" s="3">
        <v>46066</v>
      </c>
      <c r="B267" t="s">
        <v>412</v>
      </c>
      <c r="C267" t="s">
        <v>413</v>
      </c>
      <c r="D267" t="s">
        <v>34</v>
      </c>
      <c r="E267" t="s">
        <v>56</v>
      </c>
      <c r="F267" t="s">
        <v>20</v>
      </c>
      <c r="G267" t="s">
        <v>59</v>
      </c>
      <c r="H267" t="s">
        <v>28</v>
      </c>
      <c r="I267">
        <v>3121</v>
      </c>
      <c r="J267">
        <v>3111</v>
      </c>
      <c r="K267">
        <v>2891</v>
      </c>
      <c r="L267">
        <v>141</v>
      </c>
      <c r="M267">
        <v>65</v>
      </c>
      <c r="N267">
        <v>3</v>
      </c>
      <c r="O267">
        <v>241.65</v>
      </c>
      <c r="P267">
        <v>2843.09</v>
      </c>
      <c r="Q267" s="5">
        <f t="shared" si="32"/>
        <v>0.92928318868531024</v>
      </c>
      <c r="R267" s="5">
        <f t="shared" si="33"/>
        <v>4.8772051193358701E-2</v>
      </c>
      <c r="S267" s="5">
        <f t="shared" si="34"/>
        <v>0.46099290780141844</v>
      </c>
      <c r="T267" s="5">
        <f t="shared" si="35"/>
        <v>4.6153846153846156E-2</v>
      </c>
      <c r="U267" s="5">
        <f t="shared" si="36"/>
        <v>1.0377032168799724E-3</v>
      </c>
      <c r="V267" s="6">
        <f t="shared" si="37"/>
        <v>3.7176923076923076</v>
      </c>
      <c r="W267" s="7">
        <f t="shared" si="38"/>
        <v>1.7138297872340427</v>
      </c>
      <c r="X267" s="5">
        <f t="shared" si="39"/>
        <v>10.765321746327333</v>
      </c>
    </row>
    <row r="268" spans="1:24" x14ac:dyDescent="0.35">
      <c r="A268" s="3">
        <v>46066</v>
      </c>
      <c r="B268" t="s">
        <v>414</v>
      </c>
      <c r="C268" t="s">
        <v>415</v>
      </c>
      <c r="D268" t="s">
        <v>34</v>
      </c>
      <c r="E268" t="s">
        <v>35</v>
      </c>
      <c r="F268" t="s">
        <v>20</v>
      </c>
      <c r="G268" t="s">
        <v>36</v>
      </c>
      <c r="H268" t="s">
        <v>28</v>
      </c>
      <c r="I268">
        <v>1175</v>
      </c>
      <c r="J268">
        <v>973</v>
      </c>
      <c r="K268">
        <v>898</v>
      </c>
      <c r="L268">
        <v>70</v>
      </c>
      <c r="M268">
        <v>31</v>
      </c>
      <c r="N268">
        <v>1</v>
      </c>
      <c r="O268">
        <v>85.04</v>
      </c>
      <c r="P268">
        <v>1040.1099999999999</v>
      </c>
      <c r="Q268" s="5">
        <f t="shared" si="32"/>
        <v>0.92291880781089419</v>
      </c>
      <c r="R268" s="5">
        <f t="shared" si="33"/>
        <v>7.7951002227171495E-2</v>
      </c>
      <c r="S268" s="5">
        <f t="shared" si="34"/>
        <v>0.44285714285714284</v>
      </c>
      <c r="T268" s="5">
        <f t="shared" si="35"/>
        <v>3.2258064516129031E-2</v>
      </c>
      <c r="U268" s="5">
        <f t="shared" si="36"/>
        <v>1.1135857461024498E-3</v>
      </c>
      <c r="V268" s="6">
        <f t="shared" si="37"/>
        <v>2.7432258064516133</v>
      </c>
      <c r="W268" s="7">
        <f t="shared" si="38"/>
        <v>1.2148571428571429</v>
      </c>
      <c r="X268" s="5">
        <f t="shared" si="39"/>
        <v>11.230832549388522</v>
      </c>
    </row>
    <row r="269" spans="1:24" x14ac:dyDescent="0.35">
      <c r="A269" s="3">
        <v>46066</v>
      </c>
      <c r="B269" t="s">
        <v>416</v>
      </c>
      <c r="C269" t="s">
        <v>417</v>
      </c>
      <c r="D269" t="s">
        <v>34</v>
      </c>
      <c r="E269" t="s">
        <v>25</v>
      </c>
      <c r="F269" t="s">
        <v>20</v>
      </c>
      <c r="G269" t="s">
        <v>59</v>
      </c>
      <c r="H269" t="s">
        <v>28</v>
      </c>
      <c r="I269">
        <v>1247</v>
      </c>
      <c r="J269">
        <v>1125</v>
      </c>
      <c r="K269">
        <v>1040</v>
      </c>
      <c r="L269">
        <v>22</v>
      </c>
      <c r="M269">
        <v>9</v>
      </c>
      <c r="N269">
        <v>0</v>
      </c>
      <c r="O269">
        <v>89.44</v>
      </c>
      <c r="P269">
        <v>0</v>
      </c>
      <c r="Q269" s="5">
        <f t="shared" si="32"/>
        <v>0.9244444444444444</v>
      </c>
      <c r="R269" s="5">
        <f t="shared" si="33"/>
        <v>2.1153846153846155E-2</v>
      </c>
      <c r="S269" s="5">
        <f t="shared" si="34"/>
        <v>0.40909090909090912</v>
      </c>
      <c r="T269" s="5">
        <f t="shared" si="35"/>
        <v>0</v>
      </c>
      <c r="U269" s="5">
        <f t="shared" si="36"/>
        <v>0</v>
      </c>
      <c r="V269" s="6">
        <f t="shared" si="37"/>
        <v>9.9377777777777769</v>
      </c>
      <c r="W269" s="7">
        <f t="shared" si="38"/>
        <v>4.0654545454545454</v>
      </c>
      <c r="X269" s="5">
        <f t="shared" si="39"/>
        <v>-1</v>
      </c>
    </row>
    <row r="270" spans="1:24" x14ac:dyDescent="0.35">
      <c r="A270" s="3">
        <v>46067</v>
      </c>
      <c r="B270" t="s">
        <v>418</v>
      </c>
      <c r="C270" t="s">
        <v>419</v>
      </c>
      <c r="D270" t="s">
        <v>31</v>
      </c>
      <c r="E270" t="s">
        <v>56</v>
      </c>
      <c r="F270" t="s">
        <v>20</v>
      </c>
      <c r="G270" t="s">
        <v>59</v>
      </c>
      <c r="H270" t="s">
        <v>22</v>
      </c>
      <c r="I270">
        <v>2739</v>
      </c>
      <c r="J270">
        <v>2096</v>
      </c>
      <c r="K270">
        <v>2003</v>
      </c>
      <c r="L270">
        <v>63</v>
      </c>
      <c r="M270">
        <v>26</v>
      </c>
      <c r="N270">
        <v>1</v>
      </c>
      <c r="O270">
        <v>360.19</v>
      </c>
      <c r="P270">
        <v>894.31</v>
      </c>
      <c r="Q270" s="5">
        <f t="shared" si="32"/>
        <v>0.95562977099236646</v>
      </c>
      <c r="R270" s="5">
        <f t="shared" si="33"/>
        <v>3.1452820768846729E-2</v>
      </c>
      <c r="S270" s="5">
        <f t="shared" si="34"/>
        <v>0.41269841269841268</v>
      </c>
      <c r="T270" s="5">
        <f t="shared" si="35"/>
        <v>3.8461538461538464E-2</v>
      </c>
      <c r="U270" s="5">
        <f t="shared" si="36"/>
        <v>4.992511233150275E-4</v>
      </c>
      <c r="V270" s="6">
        <f t="shared" si="37"/>
        <v>13.853461538461538</v>
      </c>
      <c r="W270" s="7">
        <f t="shared" si="38"/>
        <v>5.7173015873015869</v>
      </c>
      <c r="X270" s="5">
        <f t="shared" si="39"/>
        <v>1.4828840334268023</v>
      </c>
    </row>
    <row r="271" spans="1:24" x14ac:dyDescent="0.35">
      <c r="A271" s="3">
        <v>46067</v>
      </c>
      <c r="B271" t="s">
        <v>394</v>
      </c>
      <c r="C271" t="s">
        <v>420</v>
      </c>
      <c r="D271" t="s">
        <v>40</v>
      </c>
      <c r="E271" t="s">
        <v>35</v>
      </c>
      <c r="F271" t="s">
        <v>26</v>
      </c>
      <c r="G271" t="s">
        <v>36</v>
      </c>
      <c r="H271" t="s">
        <v>51</v>
      </c>
      <c r="I271">
        <v>1820</v>
      </c>
      <c r="J271">
        <v>1564</v>
      </c>
      <c r="K271">
        <v>1481</v>
      </c>
      <c r="L271">
        <v>154</v>
      </c>
      <c r="M271">
        <v>91</v>
      </c>
      <c r="N271">
        <v>8</v>
      </c>
      <c r="O271">
        <v>266.39</v>
      </c>
      <c r="P271">
        <v>12591.1</v>
      </c>
      <c r="Q271" s="5">
        <f t="shared" si="32"/>
        <v>0.94693094629156005</v>
      </c>
      <c r="R271" s="5">
        <f t="shared" si="33"/>
        <v>0.10398379473328832</v>
      </c>
      <c r="S271" s="5">
        <f t="shared" si="34"/>
        <v>0.59090909090909094</v>
      </c>
      <c r="T271" s="5">
        <f t="shared" si="35"/>
        <v>8.7912087912087919E-2</v>
      </c>
      <c r="U271" s="5">
        <f t="shared" si="36"/>
        <v>5.4017555705604325E-3</v>
      </c>
      <c r="V271" s="6">
        <f t="shared" si="37"/>
        <v>2.9273626373626374</v>
      </c>
      <c r="W271" s="7">
        <f t="shared" si="38"/>
        <v>1.7298051948051947</v>
      </c>
      <c r="X271" s="5">
        <f t="shared" si="39"/>
        <v>46.265663125492708</v>
      </c>
    </row>
    <row r="272" spans="1:24" x14ac:dyDescent="0.35">
      <c r="A272" s="3">
        <v>46067</v>
      </c>
      <c r="B272" t="s">
        <v>421</v>
      </c>
      <c r="C272" t="s">
        <v>422</v>
      </c>
      <c r="D272" t="s">
        <v>18</v>
      </c>
      <c r="E272" t="s">
        <v>19</v>
      </c>
      <c r="F272" t="s">
        <v>20</v>
      </c>
      <c r="G272" t="s">
        <v>21</v>
      </c>
      <c r="H272" t="s">
        <v>37</v>
      </c>
      <c r="I272">
        <v>1331</v>
      </c>
      <c r="J272">
        <v>1004</v>
      </c>
      <c r="K272">
        <v>918</v>
      </c>
      <c r="L272">
        <v>11</v>
      </c>
      <c r="M272">
        <v>6</v>
      </c>
      <c r="N272">
        <v>0</v>
      </c>
      <c r="O272">
        <v>108.36</v>
      </c>
      <c r="P272">
        <v>0</v>
      </c>
      <c r="Q272" s="5">
        <f t="shared" si="32"/>
        <v>0.91434262948207168</v>
      </c>
      <c r="R272" s="5">
        <f t="shared" si="33"/>
        <v>1.1982570806100218E-2</v>
      </c>
      <c r="S272" s="5">
        <f t="shared" si="34"/>
        <v>0.54545454545454541</v>
      </c>
      <c r="T272" s="5">
        <f t="shared" si="35"/>
        <v>0</v>
      </c>
      <c r="U272" s="5">
        <f t="shared" si="36"/>
        <v>0</v>
      </c>
      <c r="V272" s="6">
        <f t="shared" si="37"/>
        <v>18.059999999999999</v>
      </c>
      <c r="W272" s="7">
        <f t="shared" si="38"/>
        <v>9.8509090909090915</v>
      </c>
      <c r="X272" s="5">
        <f t="shared" si="39"/>
        <v>-1</v>
      </c>
    </row>
    <row r="273" spans="1:24" x14ac:dyDescent="0.35">
      <c r="A273" s="3">
        <v>46067</v>
      </c>
      <c r="B273" t="s">
        <v>423</v>
      </c>
      <c r="C273" t="s">
        <v>424</v>
      </c>
      <c r="D273" t="s">
        <v>18</v>
      </c>
      <c r="E273" t="s">
        <v>56</v>
      </c>
      <c r="F273" t="s">
        <v>20</v>
      </c>
      <c r="G273" t="s">
        <v>27</v>
      </c>
      <c r="H273" t="s">
        <v>28</v>
      </c>
      <c r="I273">
        <v>3676</v>
      </c>
      <c r="J273">
        <v>3416</v>
      </c>
      <c r="K273">
        <v>3073</v>
      </c>
      <c r="L273">
        <v>174</v>
      </c>
      <c r="M273">
        <v>92</v>
      </c>
      <c r="N273">
        <v>5</v>
      </c>
      <c r="O273">
        <v>359.28</v>
      </c>
      <c r="P273">
        <v>4712.72</v>
      </c>
      <c r="Q273" s="5">
        <f t="shared" si="32"/>
        <v>0.89959016393442626</v>
      </c>
      <c r="R273" s="5">
        <f t="shared" si="33"/>
        <v>5.6622193296452974E-2</v>
      </c>
      <c r="S273" s="5">
        <f t="shared" si="34"/>
        <v>0.52873563218390807</v>
      </c>
      <c r="T273" s="5">
        <f t="shared" si="35"/>
        <v>5.434782608695652E-2</v>
      </c>
      <c r="U273" s="5">
        <f t="shared" si="36"/>
        <v>1.6270745200130166E-3</v>
      </c>
      <c r="V273" s="6">
        <f t="shared" si="37"/>
        <v>3.9052173913043475</v>
      </c>
      <c r="W273" s="7">
        <f t="shared" si="38"/>
        <v>2.0648275862068965</v>
      </c>
      <c r="X273" s="5">
        <f t="shared" si="39"/>
        <v>12.117123135159209</v>
      </c>
    </row>
    <row r="274" spans="1:24" x14ac:dyDescent="0.35">
      <c r="A274" s="3">
        <v>46067</v>
      </c>
      <c r="B274" t="s">
        <v>425</v>
      </c>
      <c r="C274" t="s">
        <v>426</v>
      </c>
      <c r="D274" t="s">
        <v>40</v>
      </c>
      <c r="E274" t="s">
        <v>19</v>
      </c>
      <c r="F274" t="s">
        <v>20</v>
      </c>
      <c r="G274" t="s">
        <v>59</v>
      </c>
      <c r="H274" t="s">
        <v>51</v>
      </c>
      <c r="I274">
        <v>1897</v>
      </c>
      <c r="J274">
        <v>1531</v>
      </c>
      <c r="K274">
        <v>1374</v>
      </c>
      <c r="L274">
        <v>14</v>
      </c>
      <c r="M274">
        <v>7</v>
      </c>
      <c r="N274">
        <v>0</v>
      </c>
      <c r="O274">
        <v>202.33</v>
      </c>
      <c r="P274">
        <v>0</v>
      </c>
      <c r="Q274" s="5">
        <f t="shared" si="32"/>
        <v>0.89745264532984981</v>
      </c>
      <c r="R274" s="5">
        <f t="shared" si="33"/>
        <v>1.0189228529839884E-2</v>
      </c>
      <c r="S274" s="5">
        <f t="shared" si="34"/>
        <v>0.5</v>
      </c>
      <c r="T274" s="5">
        <f t="shared" si="35"/>
        <v>0</v>
      </c>
      <c r="U274" s="5">
        <f t="shared" si="36"/>
        <v>0</v>
      </c>
      <c r="V274" s="6">
        <f t="shared" si="37"/>
        <v>28.904285714285717</v>
      </c>
      <c r="W274" s="7">
        <f t="shared" si="38"/>
        <v>14.452142857142858</v>
      </c>
      <c r="X274" s="5">
        <f t="shared" si="39"/>
        <v>-1</v>
      </c>
    </row>
    <row r="275" spans="1:24" x14ac:dyDescent="0.35">
      <c r="A275" s="3">
        <v>46068</v>
      </c>
      <c r="B275" t="s">
        <v>427</v>
      </c>
      <c r="C275" t="s">
        <v>428</v>
      </c>
      <c r="D275" t="s">
        <v>34</v>
      </c>
      <c r="E275" t="s">
        <v>25</v>
      </c>
      <c r="F275" t="s">
        <v>20</v>
      </c>
      <c r="G275" t="s">
        <v>41</v>
      </c>
      <c r="H275" t="s">
        <v>48</v>
      </c>
      <c r="I275">
        <v>2676</v>
      </c>
      <c r="J275">
        <v>2273</v>
      </c>
      <c r="K275">
        <v>2173</v>
      </c>
      <c r="L275">
        <v>83</v>
      </c>
      <c r="M275">
        <v>36</v>
      </c>
      <c r="N275">
        <v>1</v>
      </c>
      <c r="O275">
        <v>199.68</v>
      </c>
      <c r="P275">
        <v>1414.93</v>
      </c>
      <c r="Q275" s="5">
        <f t="shared" si="32"/>
        <v>0.95600527936647606</v>
      </c>
      <c r="R275" s="5">
        <f t="shared" si="33"/>
        <v>3.8196042337781871E-2</v>
      </c>
      <c r="S275" s="5">
        <f t="shared" si="34"/>
        <v>0.43373493975903615</v>
      </c>
      <c r="T275" s="5">
        <f t="shared" si="35"/>
        <v>2.7777777777777776E-2</v>
      </c>
      <c r="U275" s="5">
        <f t="shared" si="36"/>
        <v>4.6019328117809482E-4</v>
      </c>
      <c r="V275" s="6">
        <f t="shared" si="37"/>
        <v>5.5466666666666669</v>
      </c>
      <c r="W275" s="7">
        <f t="shared" si="38"/>
        <v>2.4057831325301207</v>
      </c>
      <c r="X275" s="5">
        <f t="shared" si="39"/>
        <v>6.0859875801282053</v>
      </c>
    </row>
    <row r="276" spans="1:24" x14ac:dyDescent="0.35">
      <c r="A276" s="3">
        <v>46068</v>
      </c>
      <c r="B276" t="s">
        <v>359</v>
      </c>
      <c r="C276" t="s">
        <v>429</v>
      </c>
      <c r="D276" t="s">
        <v>31</v>
      </c>
      <c r="E276" t="s">
        <v>19</v>
      </c>
      <c r="F276" t="s">
        <v>20</v>
      </c>
      <c r="G276" t="s">
        <v>59</v>
      </c>
      <c r="H276" t="s">
        <v>48</v>
      </c>
      <c r="I276">
        <v>2337</v>
      </c>
      <c r="J276">
        <v>2283</v>
      </c>
      <c r="K276">
        <v>2205</v>
      </c>
      <c r="L276">
        <v>11</v>
      </c>
      <c r="M276">
        <v>4</v>
      </c>
      <c r="N276">
        <v>0</v>
      </c>
      <c r="O276">
        <v>380.12</v>
      </c>
      <c r="P276">
        <v>0</v>
      </c>
      <c r="Q276" s="5">
        <f t="shared" si="32"/>
        <v>0.9658344283837057</v>
      </c>
      <c r="R276" s="5">
        <f t="shared" si="33"/>
        <v>4.9886621315192742E-3</v>
      </c>
      <c r="S276" s="5">
        <f t="shared" si="34"/>
        <v>0.36363636363636365</v>
      </c>
      <c r="T276" s="5">
        <f t="shared" si="35"/>
        <v>0</v>
      </c>
      <c r="U276" s="5">
        <f t="shared" si="36"/>
        <v>0</v>
      </c>
      <c r="V276" s="6">
        <f t="shared" si="37"/>
        <v>95.03</v>
      </c>
      <c r="W276" s="7">
        <f t="shared" si="38"/>
        <v>34.556363636363635</v>
      </c>
      <c r="X276" s="5">
        <f t="shared" si="39"/>
        <v>-1</v>
      </c>
    </row>
    <row r="277" spans="1:24" x14ac:dyDescent="0.35">
      <c r="A277" s="3">
        <v>46068</v>
      </c>
      <c r="B277" t="s">
        <v>333</v>
      </c>
      <c r="C277" t="s">
        <v>430</v>
      </c>
      <c r="D277" t="s">
        <v>34</v>
      </c>
      <c r="E277" t="s">
        <v>35</v>
      </c>
      <c r="F277" t="s">
        <v>26</v>
      </c>
      <c r="G277" t="s">
        <v>59</v>
      </c>
      <c r="H277" t="s">
        <v>37</v>
      </c>
      <c r="I277">
        <v>4524</v>
      </c>
      <c r="J277">
        <v>3750</v>
      </c>
      <c r="K277">
        <v>3473</v>
      </c>
      <c r="L277">
        <v>288</v>
      </c>
      <c r="M277">
        <v>152</v>
      </c>
      <c r="N277">
        <v>16</v>
      </c>
      <c r="O277">
        <v>314.47000000000003</v>
      </c>
      <c r="P277">
        <v>19950.47</v>
      </c>
      <c r="Q277" s="5">
        <f t="shared" si="32"/>
        <v>0.92613333333333336</v>
      </c>
      <c r="R277" s="5">
        <f t="shared" si="33"/>
        <v>8.2925424704866108E-2</v>
      </c>
      <c r="S277" s="5">
        <f t="shared" si="34"/>
        <v>0.52777777777777779</v>
      </c>
      <c r="T277" s="5">
        <f t="shared" si="35"/>
        <v>0.10526315789473684</v>
      </c>
      <c r="U277" s="5">
        <f t="shared" si="36"/>
        <v>4.6069680391592283E-3</v>
      </c>
      <c r="V277" s="6">
        <f t="shared" si="37"/>
        <v>2.0688815789473685</v>
      </c>
      <c r="W277" s="7">
        <f t="shared" si="38"/>
        <v>1.0919097222222223</v>
      </c>
      <c r="X277" s="5">
        <f t="shared" si="39"/>
        <v>62.441568353102042</v>
      </c>
    </row>
    <row r="278" spans="1:24" x14ac:dyDescent="0.35">
      <c r="A278" s="3">
        <v>46068</v>
      </c>
      <c r="B278" t="s">
        <v>382</v>
      </c>
      <c r="C278" t="s">
        <v>431</v>
      </c>
      <c r="D278" t="s">
        <v>31</v>
      </c>
      <c r="E278" t="s">
        <v>35</v>
      </c>
      <c r="F278" t="s">
        <v>20</v>
      </c>
      <c r="G278" t="s">
        <v>21</v>
      </c>
      <c r="H278" t="s">
        <v>37</v>
      </c>
      <c r="I278">
        <v>2343</v>
      </c>
      <c r="J278">
        <v>2150</v>
      </c>
      <c r="K278">
        <v>2035</v>
      </c>
      <c r="L278">
        <v>92</v>
      </c>
      <c r="M278">
        <v>35</v>
      </c>
      <c r="N278">
        <v>2</v>
      </c>
      <c r="O278">
        <v>335.12</v>
      </c>
      <c r="P278">
        <v>3072.66</v>
      </c>
      <c r="Q278" s="5">
        <f t="shared" si="32"/>
        <v>0.94651162790697674</v>
      </c>
      <c r="R278" s="5">
        <f t="shared" si="33"/>
        <v>4.5208845208845209E-2</v>
      </c>
      <c r="S278" s="5">
        <f t="shared" si="34"/>
        <v>0.38043478260869568</v>
      </c>
      <c r="T278" s="5">
        <f t="shared" si="35"/>
        <v>5.7142857142857141E-2</v>
      </c>
      <c r="U278" s="5">
        <f t="shared" si="36"/>
        <v>9.8280098280098278E-4</v>
      </c>
      <c r="V278" s="6">
        <f t="shared" si="37"/>
        <v>9.5748571428571427</v>
      </c>
      <c r="W278" s="7">
        <f t="shared" si="38"/>
        <v>3.6426086956521742</v>
      </c>
      <c r="X278" s="5">
        <f t="shared" si="39"/>
        <v>8.1688350441632842</v>
      </c>
    </row>
    <row r="279" spans="1:24" x14ac:dyDescent="0.35">
      <c r="A279" s="3">
        <v>46068</v>
      </c>
      <c r="B279" t="s">
        <v>337</v>
      </c>
      <c r="C279" t="s">
        <v>432</v>
      </c>
      <c r="D279" t="s">
        <v>34</v>
      </c>
      <c r="E279" t="s">
        <v>19</v>
      </c>
      <c r="F279" t="s">
        <v>20</v>
      </c>
      <c r="G279" t="s">
        <v>36</v>
      </c>
      <c r="H279" t="s">
        <v>28</v>
      </c>
      <c r="I279">
        <v>409</v>
      </c>
      <c r="J279">
        <v>401</v>
      </c>
      <c r="K279">
        <v>376</v>
      </c>
      <c r="L279">
        <v>5</v>
      </c>
      <c r="M279">
        <v>2</v>
      </c>
      <c r="N279">
        <v>0</v>
      </c>
      <c r="O279">
        <v>31.54</v>
      </c>
      <c r="P279">
        <v>0</v>
      </c>
      <c r="Q279" s="5">
        <f t="shared" si="32"/>
        <v>0.93765586034912718</v>
      </c>
      <c r="R279" s="5">
        <f t="shared" si="33"/>
        <v>1.3297872340425532E-2</v>
      </c>
      <c r="S279" s="5">
        <f t="shared" si="34"/>
        <v>0.4</v>
      </c>
      <c r="T279" s="5">
        <f t="shared" si="35"/>
        <v>0</v>
      </c>
      <c r="U279" s="5">
        <f t="shared" si="36"/>
        <v>0</v>
      </c>
      <c r="V279" s="6">
        <f t="shared" si="37"/>
        <v>15.77</v>
      </c>
      <c r="W279" s="7">
        <f t="shared" si="38"/>
        <v>6.3079999999999998</v>
      </c>
      <c r="X279" s="5">
        <f t="shared" si="39"/>
        <v>-1</v>
      </c>
    </row>
    <row r="280" spans="1:24" x14ac:dyDescent="0.35">
      <c r="A280" s="3">
        <v>46068</v>
      </c>
      <c r="B280" t="s">
        <v>433</v>
      </c>
      <c r="C280" t="s">
        <v>434</v>
      </c>
      <c r="D280" t="s">
        <v>18</v>
      </c>
      <c r="E280" t="s">
        <v>35</v>
      </c>
      <c r="F280" t="s">
        <v>26</v>
      </c>
      <c r="G280" t="s">
        <v>27</v>
      </c>
      <c r="H280" t="s">
        <v>48</v>
      </c>
      <c r="I280">
        <v>3976</v>
      </c>
      <c r="J280">
        <v>3161</v>
      </c>
      <c r="K280">
        <v>2845</v>
      </c>
      <c r="L280">
        <v>304</v>
      </c>
      <c r="M280">
        <v>196</v>
      </c>
      <c r="N280">
        <v>20</v>
      </c>
      <c r="O280">
        <v>400.5</v>
      </c>
      <c r="P280">
        <v>22910.52</v>
      </c>
      <c r="Q280" s="5">
        <f t="shared" si="32"/>
        <v>0.90003163555836763</v>
      </c>
      <c r="R280" s="5">
        <f t="shared" si="33"/>
        <v>0.10685413005272408</v>
      </c>
      <c r="S280" s="5">
        <f t="shared" si="34"/>
        <v>0.64473684210526316</v>
      </c>
      <c r="T280" s="5">
        <f t="shared" si="35"/>
        <v>0.10204081632653061</v>
      </c>
      <c r="U280" s="5">
        <f t="shared" si="36"/>
        <v>7.0298769771528994E-3</v>
      </c>
      <c r="V280" s="6">
        <f t="shared" si="37"/>
        <v>2.0433673469387754</v>
      </c>
      <c r="W280" s="7">
        <f t="shared" si="38"/>
        <v>1.3174342105263157</v>
      </c>
      <c r="X280" s="5">
        <f t="shared" si="39"/>
        <v>56.204794007490641</v>
      </c>
    </row>
    <row r="281" spans="1:24" x14ac:dyDescent="0.35">
      <c r="A281" s="3">
        <v>46069</v>
      </c>
      <c r="B281" t="s">
        <v>421</v>
      </c>
      <c r="C281" t="s">
        <v>435</v>
      </c>
      <c r="D281" t="s">
        <v>31</v>
      </c>
      <c r="E281" t="s">
        <v>35</v>
      </c>
      <c r="F281" t="s">
        <v>26</v>
      </c>
      <c r="G281" t="s">
        <v>59</v>
      </c>
      <c r="H281" t="s">
        <v>51</v>
      </c>
      <c r="I281">
        <v>1069</v>
      </c>
      <c r="J281">
        <v>1010</v>
      </c>
      <c r="K281">
        <v>969</v>
      </c>
      <c r="L281">
        <v>56</v>
      </c>
      <c r="M281">
        <v>23</v>
      </c>
      <c r="N281">
        <v>2</v>
      </c>
      <c r="O281">
        <v>207.94</v>
      </c>
      <c r="P281">
        <v>3048.04</v>
      </c>
      <c r="Q281" s="5">
        <f t="shared" si="32"/>
        <v>0.95940594059405937</v>
      </c>
      <c r="R281" s="5">
        <f t="shared" si="33"/>
        <v>5.7791537667698657E-2</v>
      </c>
      <c r="S281" s="5">
        <f t="shared" si="34"/>
        <v>0.4107142857142857</v>
      </c>
      <c r="T281" s="5">
        <f t="shared" si="35"/>
        <v>8.6956521739130432E-2</v>
      </c>
      <c r="U281" s="5">
        <f t="shared" si="36"/>
        <v>2.0639834881320948E-3</v>
      </c>
      <c r="V281" s="6">
        <f t="shared" si="37"/>
        <v>9.0408695652173918</v>
      </c>
      <c r="W281" s="7">
        <f t="shared" si="38"/>
        <v>3.7132142857142858</v>
      </c>
      <c r="X281" s="5">
        <f t="shared" si="39"/>
        <v>13.658266807733</v>
      </c>
    </row>
    <row r="282" spans="1:24" x14ac:dyDescent="0.35">
      <c r="A282" s="3">
        <v>46069</v>
      </c>
      <c r="B282" t="s">
        <v>423</v>
      </c>
      <c r="C282" t="s">
        <v>436</v>
      </c>
      <c r="D282" t="s">
        <v>40</v>
      </c>
      <c r="E282" t="s">
        <v>19</v>
      </c>
      <c r="F282" t="s">
        <v>26</v>
      </c>
      <c r="G282" t="s">
        <v>41</v>
      </c>
      <c r="H282" t="s">
        <v>51</v>
      </c>
      <c r="I282">
        <v>4370</v>
      </c>
      <c r="J282">
        <v>3481</v>
      </c>
      <c r="K282">
        <v>3286</v>
      </c>
      <c r="L282">
        <v>46</v>
      </c>
      <c r="M282">
        <v>30</v>
      </c>
      <c r="N282">
        <v>0</v>
      </c>
      <c r="O282">
        <v>599.45000000000005</v>
      </c>
      <c r="P282">
        <v>0</v>
      </c>
      <c r="Q282" s="5">
        <f t="shared" si="32"/>
        <v>0.94398161447859807</v>
      </c>
      <c r="R282" s="5">
        <f t="shared" si="33"/>
        <v>1.399878271454656E-2</v>
      </c>
      <c r="S282" s="5">
        <f t="shared" si="34"/>
        <v>0.65217391304347827</v>
      </c>
      <c r="T282" s="5">
        <f t="shared" si="35"/>
        <v>0</v>
      </c>
      <c r="U282" s="5">
        <f t="shared" si="36"/>
        <v>0</v>
      </c>
      <c r="V282" s="6">
        <f t="shared" si="37"/>
        <v>19.981666666666669</v>
      </c>
      <c r="W282" s="7">
        <f t="shared" si="38"/>
        <v>13.031521739130437</v>
      </c>
      <c r="X282" s="5">
        <f t="shared" si="39"/>
        <v>-1</v>
      </c>
    </row>
    <row r="283" spans="1:24" x14ac:dyDescent="0.35">
      <c r="A283" s="3">
        <v>46069</v>
      </c>
      <c r="B283" t="s">
        <v>425</v>
      </c>
      <c r="C283" t="s">
        <v>437</v>
      </c>
      <c r="D283" t="s">
        <v>40</v>
      </c>
      <c r="E283" t="s">
        <v>25</v>
      </c>
      <c r="F283" t="s">
        <v>26</v>
      </c>
      <c r="G283" t="s">
        <v>21</v>
      </c>
      <c r="H283" t="s">
        <v>48</v>
      </c>
      <c r="I283">
        <v>4870</v>
      </c>
      <c r="J283">
        <v>3913</v>
      </c>
      <c r="K283">
        <v>3653</v>
      </c>
      <c r="L283">
        <v>135</v>
      </c>
      <c r="M283">
        <v>79</v>
      </c>
      <c r="N283">
        <v>7</v>
      </c>
      <c r="O283">
        <v>583.11</v>
      </c>
      <c r="P283">
        <v>6439.86</v>
      </c>
      <c r="Q283" s="5">
        <f t="shared" si="32"/>
        <v>0.93355481727574752</v>
      </c>
      <c r="R283" s="5">
        <f t="shared" si="33"/>
        <v>3.6955926635641935E-2</v>
      </c>
      <c r="S283" s="5">
        <f t="shared" si="34"/>
        <v>0.58518518518518514</v>
      </c>
      <c r="T283" s="5">
        <f t="shared" si="35"/>
        <v>8.8607594936708861E-2</v>
      </c>
      <c r="U283" s="5">
        <f t="shared" si="36"/>
        <v>1.9162332329592116E-3</v>
      </c>
      <c r="V283" s="6">
        <f t="shared" si="37"/>
        <v>7.3811392405063296</v>
      </c>
      <c r="W283" s="7">
        <f t="shared" si="38"/>
        <v>4.3193333333333337</v>
      </c>
      <c r="X283" s="5">
        <f t="shared" si="39"/>
        <v>10.04398826979472</v>
      </c>
    </row>
    <row r="284" spans="1:24" x14ac:dyDescent="0.35">
      <c r="A284" s="3">
        <v>46069</v>
      </c>
      <c r="B284" t="s">
        <v>405</v>
      </c>
      <c r="C284" t="s">
        <v>438</v>
      </c>
      <c r="D284" t="s">
        <v>34</v>
      </c>
      <c r="E284" t="s">
        <v>19</v>
      </c>
      <c r="F284" t="s">
        <v>20</v>
      </c>
      <c r="G284" t="s">
        <v>59</v>
      </c>
      <c r="H284" t="s">
        <v>28</v>
      </c>
      <c r="I284">
        <v>3291</v>
      </c>
      <c r="J284">
        <v>3133</v>
      </c>
      <c r="K284">
        <v>2872</v>
      </c>
      <c r="L284">
        <v>37</v>
      </c>
      <c r="M284">
        <v>19</v>
      </c>
      <c r="N284">
        <v>1</v>
      </c>
      <c r="O284">
        <v>227.7</v>
      </c>
      <c r="P284">
        <v>690</v>
      </c>
      <c r="Q284" s="5">
        <f t="shared" si="32"/>
        <v>0.91669326524098305</v>
      </c>
      <c r="R284" s="5">
        <f t="shared" si="33"/>
        <v>1.2883008356545961E-2</v>
      </c>
      <c r="S284" s="5">
        <f t="shared" si="34"/>
        <v>0.51351351351351349</v>
      </c>
      <c r="T284" s="5">
        <f t="shared" si="35"/>
        <v>5.2631578947368418E-2</v>
      </c>
      <c r="U284" s="5">
        <f t="shared" si="36"/>
        <v>3.4818941504178273E-4</v>
      </c>
      <c r="V284" s="6">
        <f t="shared" si="37"/>
        <v>11.984210526315788</v>
      </c>
      <c r="W284" s="7">
        <f t="shared" si="38"/>
        <v>6.154054054054054</v>
      </c>
      <c r="X284" s="5">
        <f t="shared" si="39"/>
        <v>2.0303030303030303</v>
      </c>
    </row>
    <row r="285" spans="1:24" x14ac:dyDescent="0.35">
      <c r="A285" s="3">
        <v>46069</v>
      </c>
      <c r="B285" t="s">
        <v>439</v>
      </c>
      <c r="C285" t="s">
        <v>440</v>
      </c>
      <c r="D285" t="s">
        <v>34</v>
      </c>
      <c r="E285" t="s">
        <v>56</v>
      </c>
      <c r="F285" t="s">
        <v>26</v>
      </c>
      <c r="G285" t="s">
        <v>36</v>
      </c>
      <c r="H285" t="s">
        <v>28</v>
      </c>
      <c r="I285">
        <v>3871</v>
      </c>
      <c r="J285">
        <v>3007</v>
      </c>
      <c r="K285">
        <v>2843</v>
      </c>
      <c r="L285">
        <v>197</v>
      </c>
      <c r="M285">
        <v>118</v>
      </c>
      <c r="N285">
        <v>7</v>
      </c>
      <c r="O285">
        <v>253.8</v>
      </c>
      <c r="P285">
        <v>8461.0300000000007</v>
      </c>
      <c r="Q285" s="5">
        <f t="shared" si="32"/>
        <v>0.94546059195211174</v>
      </c>
      <c r="R285" s="5">
        <f t="shared" si="33"/>
        <v>6.9293000351741116E-2</v>
      </c>
      <c r="S285" s="5">
        <f t="shared" si="34"/>
        <v>0.59898477157360408</v>
      </c>
      <c r="T285" s="5">
        <f t="shared" si="35"/>
        <v>5.9322033898305086E-2</v>
      </c>
      <c r="U285" s="5">
        <f t="shared" si="36"/>
        <v>2.4621878297572987E-3</v>
      </c>
      <c r="V285" s="6">
        <f t="shared" si="37"/>
        <v>2.1508474576271186</v>
      </c>
      <c r="W285" s="7">
        <f t="shared" si="38"/>
        <v>1.2883248730964467</v>
      </c>
      <c r="X285" s="5">
        <f t="shared" si="39"/>
        <v>32.337391646966118</v>
      </c>
    </row>
    <row r="286" spans="1:24" x14ac:dyDescent="0.35">
      <c r="A286" s="3">
        <v>46070</v>
      </c>
      <c r="B286" t="s">
        <v>343</v>
      </c>
      <c r="C286" t="s">
        <v>441</v>
      </c>
      <c r="D286" t="s">
        <v>34</v>
      </c>
      <c r="E286" t="s">
        <v>35</v>
      </c>
      <c r="F286" t="s">
        <v>20</v>
      </c>
      <c r="G286" t="s">
        <v>21</v>
      </c>
      <c r="H286" t="s">
        <v>37</v>
      </c>
      <c r="I286">
        <v>2605</v>
      </c>
      <c r="J286">
        <v>2571</v>
      </c>
      <c r="K286">
        <v>2408</v>
      </c>
      <c r="L286">
        <v>176</v>
      </c>
      <c r="M286">
        <v>83</v>
      </c>
      <c r="N286">
        <v>6</v>
      </c>
      <c r="O286">
        <v>244.2</v>
      </c>
      <c r="P286">
        <v>8953.7800000000007</v>
      </c>
      <c r="Q286" s="5">
        <f t="shared" si="32"/>
        <v>0.93660054453520036</v>
      </c>
      <c r="R286" s="5">
        <f t="shared" si="33"/>
        <v>7.3089700996677748E-2</v>
      </c>
      <c r="S286" s="5">
        <f t="shared" si="34"/>
        <v>0.47159090909090912</v>
      </c>
      <c r="T286" s="5">
        <f t="shared" si="35"/>
        <v>7.2289156626506021E-2</v>
      </c>
      <c r="U286" s="5">
        <f t="shared" si="36"/>
        <v>2.4916943521594683E-3</v>
      </c>
      <c r="V286" s="6">
        <f t="shared" si="37"/>
        <v>2.9421686746987952</v>
      </c>
      <c r="W286" s="7">
        <f t="shared" si="38"/>
        <v>1.3875</v>
      </c>
      <c r="X286" s="5">
        <f t="shared" si="39"/>
        <v>35.665765765765769</v>
      </c>
    </row>
    <row r="287" spans="1:24" x14ac:dyDescent="0.35">
      <c r="A287" s="3">
        <v>46070</v>
      </c>
      <c r="B287" t="s">
        <v>389</v>
      </c>
      <c r="C287" t="s">
        <v>442</v>
      </c>
      <c r="D287" t="s">
        <v>34</v>
      </c>
      <c r="E287" t="s">
        <v>25</v>
      </c>
      <c r="F287" t="s">
        <v>20</v>
      </c>
      <c r="G287" t="s">
        <v>21</v>
      </c>
      <c r="H287" t="s">
        <v>22</v>
      </c>
      <c r="I287">
        <v>1789</v>
      </c>
      <c r="J287">
        <v>1680</v>
      </c>
      <c r="K287">
        <v>1563</v>
      </c>
      <c r="L287">
        <v>21</v>
      </c>
      <c r="M287">
        <v>8</v>
      </c>
      <c r="N287">
        <v>0</v>
      </c>
      <c r="O287">
        <v>116.7</v>
      </c>
      <c r="P287">
        <v>0</v>
      </c>
      <c r="Q287" s="5">
        <f t="shared" si="32"/>
        <v>0.93035714285714288</v>
      </c>
      <c r="R287" s="5">
        <f t="shared" si="33"/>
        <v>1.3435700575815739E-2</v>
      </c>
      <c r="S287" s="5">
        <f t="shared" si="34"/>
        <v>0.38095238095238093</v>
      </c>
      <c r="T287" s="5">
        <f t="shared" si="35"/>
        <v>0</v>
      </c>
      <c r="U287" s="5">
        <f t="shared" si="36"/>
        <v>0</v>
      </c>
      <c r="V287" s="6">
        <f t="shared" si="37"/>
        <v>14.5875</v>
      </c>
      <c r="W287" s="7">
        <f t="shared" si="38"/>
        <v>5.5571428571428569</v>
      </c>
      <c r="X287" s="5">
        <f t="shared" si="39"/>
        <v>-1</v>
      </c>
    </row>
    <row r="288" spans="1:24" x14ac:dyDescent="0.35">
      <c r="A288" s="3">
        <v>46070</v>
      </c>
      <c r="B288" t="s">
        <v>361</v>
      </c>
      <c r="C288" t="s">
        <v>443</v>
      </c>
      <c r="D288" t="s">
        <v>40</v>
      </c>
      <c r="E288" t="s">
        <v>25</v>
      </c>
      <c r="F288" t="s">
        <v>26</v>
      </c>
      <c r="G288" t="s">
        <v>36</v>
      </c>
      <c r="H288" t="s">
        <v>48</v>
      </c>
      <c r="I288">
        <v>2923</v>
      </c>
      <c r="J288">
        <v>2590</v>
      </c>
      <c r="K288">
        <v>2511</v>
      </c>
      <c r="L288">
        <v>130</v>
      </c>
      <c r="M288">
        <v>87</v>
      </c>
      <c r="N288">
        <v>5</v>
      </c>
      <c r="O288">
        <v>419.46</v>
      </c>
      <c r="P288">
        <v>7175.85</v>
      </c>
      <c r="Q288" s="5">
        <f t="shared" si="32"/>
        <v>0.96949806949806949</v>
      </c>
      <c r="R288" s="5">
        <f t="shared" si="33"/>
        <v>5.1772202309836715E-2</v>
      </c>
      <c r="S288" s="5">
        <f t="shared" si="34"/>
        <v>0.66923076923076918</v>
      </c>
      <c r="T288" s="5">
        <f t="shared" si="35"/>
        <v>5.7471264367816091E-2</v>
      </c>
      <c r="U288" s="5">
        <f t="shared" si="36"/>
        <v>1.9912385503783351E-3</v>
      </c>
      <c r="V288" s="6">
        <f t="shared" si="37"/>
        <v>4.8213793103448275</v>
      </c>
      <c r="W288" s="7">
        <f t="shared" si="38"/>
        <v>3.2266153846153847</v>
      </c>
      <c r="X288" s="5">
        <f t="shared" si="39"/>
        <v>16.107352310113004</v>
      </c>
    </row>
    <row r="289" spans="1:24" x14ac:dyDescent="0.35">
      <c r="A289" s="3">
        <v>46070</v>
      </c>
      <c r="B289" t="s">
        <v>323</v>
      </c>
      <c r="C289" t="s">
        <v>444</v>
      </c>
      <c r="D289" t="s">
        <v>40</v>
      </c>
      <c r="E289" t="s">
        <v>56</v>
      </c>
      <c r="F289" t="s">
        <v>20</v>
      </c>
      <c r="G289" t="s">
        <v>41</v>
      </c>
      <c r="H289" t="s">
        <v>22</v>
      </c>
      <c r="I289">
        <v>3475</v>
      </c>
      <c r="J289">
        <v>3390</v>
      </c>
      <c r="K289">
        <v>3156</v>
      </c>
      <c r="L289">
        <v>174</v>
      </c>
      <c r="M289">
        <v>82</v>
      </c>
      <c r="N289">
        <v>4</v>
      </c>
      <c r="O289">
        <v>511</v>
      </c>
      <c r="P289">
        <v>4365.08</v>
      </c>
      <c r="Q289" s="5">
        <f t="shared" si="32"/>
        <v>0.93097345132743359</v>
      </c>
      <c r="R289" s="5">
        <f t="shared" si="33"/>
        <v>5.5133079847908745E-2</v>
      </c>
      <c r="S289" s="5">
        <f t="shared" si="34"/>
        <v>0.47126436781609193</v>
      </c>
      <c r="T289" s="5">
        <f t="shared" si="35"/>
        <v>4.878048780487805E-2</v>
      </c>
      <c r="U289" s="5">
        <f t="shared" si="36"/>
        <v>1.2674271229404308E-3</v>
      </c>
      <c r="V289" s="6">
        <f t="shared" si="37"/>
        <v>6.2317073170731705</v>
      </c>
      <c r="W289" s="7">
        <f t="shared" si="38"/>
        <v>2.9367816091954024</v>
      </c>
      <c r="X289" s="5">
        <f t="shared" si="39"/>
        <v>7.5422309197651662</v>
      </c>
    </row>
    <row r="290" spans="1:24" x14ac:dyDescent="0.35">
      <c r="A290" s="3">
        <v>46070</v>
      </c>
      <c r="B290" t="s">
        <v>445</v>
      </c>
      <c r="C290" t="s">
        <v>446</v>
      </c>
      <c r="D290" t="s">
        <v>34</v>
      </c>
      <c r="E290" t="s">
        <v>35</v>
      </c>
      <c r="F290" t="s">
        <v>20</v>
      </c>
      <c r="G290" t="s">
        <v>21</v>
      </c>
      <c r="H290" t="s">
        <v>37</v>
      </c>
      <c r="I290">
        <v>3272</v>
      </c>
      <c r="J290">
        <v>3255</v>
      </c>
      <c r="K290">
        <v>3098</v>
      </c>
      <c r="L290">
        <v>137</v>
      </c>
      <c r="M290">
        <v>57</v>
      </c>
      <c r="N290">
        <v>4</v>
      </c>
      <c r="O290">
        <v>287.8</v>
      </c>
      <c r="P290">
        <v>5092.54</v>
      </c>
      <c r="Q290" s="5">
        <f t="shared" si="32"/>
        <v>0.95176651305683568</v>
      </c>
      <c r="R290" s="5">
        <f t="shared" si="33"/>
        <v>4.4222078760490641E-2</v>
      </c>
      <c r="S290" s="5">
        <f t="shared" si="34"/>
        <v>0.41605839416058393</v>
      </c>
      <c r="T290" s="5">
        <f t="shared" si="35"/>
        <v>7.0175438596491224E-2</v>
      </c>
      <c r="U290" s="5">
        <f t="shared" si="36"/>
        <v>1.2911555842479018E-3</v>
      </c>
      <c r="V290" s="6">
        <f t="shared" si="37"/>
        <v>5.049122807017544</v>
      </c>
      <c r="W290" s="7">
        <f t="shared" si="38"/>
        <v>2.1007299270072992</v>
      </c>
      <c r="X290" s="5">
        <f t="shared" si="39"/>
        <v>16.69471855455177</v>
      </c>
    </row>
    <row r="291" spans="1:24" x14ac:dyDescent="0.35">
      <c r="A291" s="3">
        <v>46070</v>
      </c>
      <c r="B291" t="s">
        <v>375</v>
      </c>
      <c r="C291" t="s">
        <v>447</v>
      </c>
      <c r="D291" t="s">
        <v>18</v>
      </c>
      <c r="E291" t="s">
        <v>56</v>
      </c>
      <c r="F291" t="s">
        <v>20</v>
      </c>
      <c r="G291" t="s">
        <v>59</v>
      </c>
      <c r="H291" t="s">
        <v>48</v>
      </c>
      <c r="I291">
        <v>1248</v>
      </c>
      <c r="J291">
        <v>1184</v>
      </c>
      <c r="K291">
        <v>1108</v>
      </c>
      <c r="L291">
        <v>64</v>
      </c>
      <c r="M291">
        <v>36</v>
      </c>
      <c r="N291">
        <v>2</v>
      </c>
      <c r="O291">
        <v>140.80000000000001</v>
      </c>
      <c r="P291">
        <v>2852.38</v>
      </c>
      <c r="Q291" s="5">
        <f t="shared" si="32"/>
        <v>0.93581081081081086</v>
      </c>
      <c r="R291" s="5">
        <f t="shared" si="33"/>
        <v>5.7761732851985562E-2</v>
      </c>
      <c r="S291" s="5">
        <f t="shared" si="34"/>
        <v>0.5625</v>
      </c>
      <c r="T291" s="5">
        <f t="shared" si="35"/>
        <v>5.5555555555555552E-2</v>
      </c>
      <c r="U291" s="5">
        <f t="shared" si="36"/>
        <v>1.8050541516245488E-3</v>
      </c>
      <c r="V291" s="6">
        <f t="shared" si="37"/>
        <v>3.9111111111111114</v>
      </c>
      <c r="W291" s="7">
        <f t="shared" si="38"/>
        <v>2.2000000000000002</v>
      </c>
      <c r="X291" s="5">
        <f t="shared" si="39"/>
        <v>19.258380681818181</v>
      </c>
    </row>
    <row r="292" spans="1:24" x14ac:dyDescent="0.35">
      <c r="A292" s="3">
        <v>46070</v>
      </c>
      <c r="B292" t="s">
        <v>448</v>
      </c>
      <c r="C292" t="s">
        <v>449</v>
      </c>
      <c r="D292" t="s">
        <v>18</v>
      </c>
      <c r="E292" t="s">
        <v>35</v>
      </c>
      <c r="F292" t="s">
        <v>26</v>
      </c>
      <c r="G292" t="s">
        <v>36</v>
      </c>
      <c r="H292" t="s">
        <v>48</v>
      </c>
      <c r="I292">
        <v>2007</v>
      </c>
      <c r="J292">
        <v>1479</v>
      </c>
      <c r="K292">
        <v>1344</v>
      </c>
      <c r="L292">
        <v>146</v>
      </c>
      <c r="M292">
        <v>112</v>
      </c>
      <c r="N292">
        <v>11</v>
      </c>
      <c r="O292">
        <v>179.28</v>
      </c>
      <c r="P292">
        <v>12275.89</v>
      </c>
      <c r="Q292" s="5">
        <f t="shared" si="32"/>
        <v>0.90872210953346855</v>
      </c>
      <c r="R292" s="5">
        <f t="shared" si="33"/>
        <v>0.10863095238095238</v>
      </c>
      <c r="S292" s="5">
        <f t="shared" si="34"/>
        <v>0.76712328767123283</v>
      </c>
      <c r="T292" s="5">
        <f t="shared" si="35"/>
        <v>9.8214285714285712E-2</v>
      </c>
      <c r="U292" s="5">
        <f t="shared" si="36"/>
        <v>8.1845238095238099E-3</v>
      </c>
      <c r="V292" s="6">
        <f t="shared" si="37"/>
        <v>1.6007142857142858</v>
      </c>
      <c r="W292" s="7">
        <f t="shared" si="38"/>
        <v>1.227945205479452</v>
      </c>
      <c r="X292" s="5">
        <f t="shared" si="39"/>
        <v>67.473282016956702</v>
      </c>
    </row>
    <row r="293" spans="1:24" x14ac:dyDescent="0.35">
      <c r="A293" s="3">
        <v>46071</v>
      </c>
      <c r="B293" t="s">
        <v>414</v>
      </c>
      <c r="C293" t="s">
        <v>450</v>
      </c>
      <c r="D293" t="s">
        <v>18</v>
      </c>
      <c r="E293" t="s">
        <v>56</v>
      </c>
      <c r="F293" t="s">
        <v>20</v>
      </c>
      <c r="G293" t="s">
        <v>36</v>
      </c>
      <c r="H293" t="s">
        <v>48</v>
      </c>
      <c r="I293">
        <v>2699</v>
      </c>
      <c r="J293">
        <v>2461</v>
      </c>
      <c r="K293">
        <v>2236</v>
      </c>
      <c r="L293">
        <v>138</v>
      </c>
      <c r="M293">
        <v>68</v>
      </c>
      <c r="N293">
        <v>4</v>
      </c>
      <c r="O293">
        <v>343.93</v>
      </c>
      <c r="P293">
        <v>5075.22</v>
      </c>
      <c r="Q293" s="5">
        <f t="shared" si="32"/>
        <v>0.90857375050792366</v>
      </c>
      <c r="R293" s="5">
        <f t="shared" si="33"/>
        <v>6.1717352415026835E-2</v>
      </c>
      <c r="S293" s="5">
        <f t="shared" si="34"/>
        <v>0.49275362318840582</v>
      </c>
      <c r="T293" s="5">
        <f t="shared" si="35"/>
        <v>5.8823529411764705E-2</v>
      </c>
      <c r="U293" s="5">
        <f t="shared" si="36"/>
        <v>1.7889087656529517E-3</v>
      </c>
      <c r="V293" s="6">
        <f t="shared" si="37"/>
        <v>5.0577941176470587</v>
      </c>
      <c r="W293" s="7">
        <f t="shared" si="38"/>
        <v>2.4922463768115941</v>
      </c>
      <c r="X293" s="5">
        <f t="shared" si="39"/>
        <v>13.756549297822231</v>
      </c>
    </row>
    <row r="294" spans="1:24" x14ac:dyDescent="0.35">
      <c r="A294" s="3">
        <v>46071</v>
      </c>
      <c r="B294" t="s">
        <v>451</v>
      </c>
      <c r="C294" t="s">
        <v>452</v>
      </c>
      <c r="D294" t="s">
        <v>18</v>
      </c>
      <c r="E294" t="s">
        <v>25</v>
      </c>
      <c r="F294" t="s">
        <v>20</v>
      </c>
      <c r="G294" t="s">
        <v>59</v>
      </c>
      <c r="H294" t="s">
        <v>28</v>
      </c>
      <c r="I294">
        <v>4509</v>
      </c>
      <c r="J294">
        <v>3903</v>
      </c>
      <c r="K294">
        <v>3466</v>
      </c>
      <c r="L294">
        <v>155</v>
      </c>
      <c r="M294">
        <v>79</v>
      </c>
      <c r="N294">
        <v>1</v>
      </c>
      <c r="O294">
        <v>530.34</v>
      </c>
      <c r="P294">
        <v>689.89</v>
      </c>
      <c r="Q294" s="5">
        <f t="shared" si="32"/>
        <v>0.88803484499103258</v>
      </c>
      <c r="R294" s="5">
        <f t="shared" si="33"/>
        <v>4.4720138488170802E-2</v>
      </c>
      <c r="S294" s="5">
        <f t="shared" si="34"/>
        <v>0.50967741935483868</v>
      </c>
      <c r="T294" s="5">
        <f t="shared" si="35"/>
        <v>1.2658227848101266E-2</v>
      </c>
      <c r="U294" s="5">
        <f t="shared" si="36"/>
        <v>2.8851702250432774E-4</v>
      </c>
      <c r="V294" s="6">
        <f t="shared" si="37"/>
        <v>6.7131645569620257</v>
      </c>
      <c r="W294" s="7">
        <f t="shared" si="38"/>
        <v>3.4215483870967742</v>
      </c>
      <c r="X294" s="5">
        <f t="shared" si="39"/>
        <v>0.30084474110947684</v>
      </c>
    </row>
    <row r="295" spans="1:24" x14ac:dyDescent="0.35">
      <c r="A295" s="3">
        <v>46071</v>
      </c>
      <c r="B295" t="s">
        <v>453</v>
      </c>
      <c r="C295" t="s">
        <v>454</v>
      </c>
      <c r="D295" t="s">
        <v>31</v>
      </c>
      <c r="E295" t="s">
        <v>56</v>
      </c>
      <c r="F295" t="s">
        <v>20</v>
      </c>
      <c r="G295" t="s">
        <v>27</v>
      </c>
      <c r="H295" t="s">
        <v>37</v>
      </c>
      <c r="I295">
        <v>1146</v>
      </c>
      <c r="J295">
        <v>1136</v>
      </c>
      <c r="K295">
        <v>1080</v>
      </c>
      <c r="L295">
        <v>37</v>
      </c>
      <c r="M295">
        <v>14</v>
      </c>
      <c r="N295">
        <v>0</v>
      </c>
      <c r="O295">
        <v>185.4</v>
      </c>
      <c r="P295">
        <v>0</v>
      </c>
      <c r="Q295" s="5">
        <f t="shared" si="32"/>
        <v>0.95070422535211263</v>
      </c>
      <c r="R295" s="5">
        <f t="shared" si="33"/>
        <v>3.425925925925926E-2</v>
      </c>
      <c r="S295" s="5">
        <f t="shared" si="34"/>
        <v>0.3783783783783784</v>
      </c>
      <c r="T295" s="5">
        <f t="shared" si="35"/>
        <v>0</v>
      </c>
      <c r="U295" s="5">
        <f t="shared" si="36"/>
        <v>0</v>
      </c>
      <c r="V295" s="6">
        <f t="shared" si="37"/>
        <v>13.242857142857144</v>
      </c>
      <c r="W295" s="7">
        <f t="shared" si="38"/>
        <v>5.0108108108108107</v>
      </c>
      <c r="X295" s="5">
        <f t="shared" si="39"/>
        <v>-1</v>
      </c>
    </row>
    <row r="296" spans="1:24" x14ac:dyDescent="0.35">
      <c r="A296" s="3">
        <v>46071</v>
      </c>
      <c r="B296" t="s">
        <v>455</v>
      </c>
      <c r="C296" t="s">
        <v>456</v>
      </c>
      <c r="D296" t="s">
        <v>34</v>
      </c>
      <c r="E296" t="s">
        <v>56</v>
      </c>
      <c r="F296" t="s">
        <v>20</v>
      </c>
      <c r="G296" t="s">
        <v>27</v>
      </c>
      <c r="H296" t="s">
        <v>37</v>
      </c>
      <c r="I296">
        <v>1977</v>
      </c>
      <c r="J296">
        <v>1726</v>
      </c>
      <c r="K296">
        <v>1604</v>
      </c>
      <c r="L296">
        <v>91</v>
      </c>
      <c r="M296">
        <v>39</v>
      </c>
      <c r="N296">
        <v>2</v>
      </c>
      <c r="O296">
        <v>119.97</v>
      </c>
      <c r="P296">
        <v>2370.9699999999998</v>
      </c>
      <c r="Q296" s="5">
        <f t="shared" si="32"/>
        <v>0.92931633835457705</v>
      </c>
      <c r="R296" s="5">
        <f t="shared" si="33"/>
        <v>5.6733167082294263E-2</v>
      </c>
      <c r="S296" s="5">
        <f t="shared" si="34"/>
        <v>0.42857142857142855</v>
      </c>
      <c r="T296" s="5">
        <f t="shared" si="35"/>
        <v>5.128205128205128E-2</v>
      </c>
      <c r="U296" s="5">
        <f t="shared" si="36"/>
        <v>1.2468827930174563E-3</v>
      </c>
      <c r="V296" s="6">
        <f t="shared" si="37"/>
        <v>3.0761538461538462</v>
      </c>
      <c r="W296" s="7">
        <f t="shared" si="38"/>
        <v>1.3183516483516484</v>
      </c>
      <c r="X296" s="5">
        <f t="shared" si="39"/>
        <v>18.763024089355671</v>
      </c>
    </row>
    <row r="297" spans="1:24" x14ac:dyDescent="0.35">
      <c r="A297" s="3">
        <v>46071</v>
      </c>
      <c r="B297" t="s">
        <v>455</v>
      </c>
      <c r="C297" t="s">
        <v>457</v>
      </c>
      <c r="D297" t="s">
        <v>18</v>
      </c>
      <c r="E297" t="s">
        <v>35</v>
      </c>
      <c r="F297" t="s">
        <v>20</v>
      </c>
      <c r="G297" t="s">
        <v>36</v>
      </c>
      <c r="H297" t="s">
        <v>48</v>
      </c>
      <c r="I297">
        <v>3753</v>
      </c>
      <c r="J297">
        <v>3106</v>
      </c>
      <c r="K297">
        <v>2866</v>
      </c>
      <c r="L297">
        <v>239</v>
      </c>
      <c r="M297">
        <v>117</v>
      </c>
      <c r="N297">
        <v>8</v>
      </c>
      <c r="O297">
        <v>438.27</v>
      </c>
      <c r="P297">
        <v>10742.92</v>
      </c>
      <c r="Q297" s="5">
        <f t="shared" si="32"/>
        <v>0.92273019961365099</v>
      </c>
      <c r="R297" s="5">
        <f t="shared" si="33"/>
        <v>8.339148639218423E-2</v>
      </c>
      <c r="S297" s="5">
        <f t="shared" si="34"/>
        <v>0.4895397489539749</v>
      </c>
      <c r="T297" s="5">
        <f t="shared" si="35"/>
        <v>6.8376068376068383E-2</v>
      </c>
      <c r="U297" s="5">
        <f t="shared" si="36"/>
        <v>2.7913468248429866E-3</v>
      </c>
      <c r="V297" s="6">
        <f t="shared" si="37"/>
        <v>3.7458974358974357</v>
      </c>
      <c r="W297" s="7">
        <f t="shared" si="38"/>
        <v>1.8337656903765689</v>
      </c>
      <c r="X297" s="5">
        <f t="shared" si="39"/>
        <v>23.512104410523193</v>
      </c>
    </row>
    <row r="298" spans="1:24" x14ac:dyDescent="0.35">
      <c r="A298" s="3">
        <v>46072</v>
      </c>
      <c r="B298" t="s">
        <v>458</v>
      </c>
      <c r="C298" t="s">
        <v>459</v>
      </c>
      <c r="D298" t="s">
        <v>34</v>
      </c>
      <c r="E298" t="s">
        <v>19</v>
      </c>
      <c r="F298" t="s">
        <v>20</v>
      </c>
      <c r="G298" t="s">
        <v>36</v>
      </c>
      <c r="H298" t="s">
        <v>28</v>
      </c>
      <c r="I298">
        <v>1669</v>
      </c>
      <c r="J298">
        <v>1605</v>
      </c>
      <c r="K298">
        <v>1529</v>
      </c>
      <c r="L298">
        <v>19</v>
      </c>
      <c r="M298">
        <v>8</v>
      </c>
      <c r="N298">
        <v>0</v>
      </c>
      <c r="O298">
        <v>123.73</v>
      </c>
      <c r="P298">
        <v>0</v>
      </c>
      <c r="Q298" s="5">
        <f t="shared" si="32"/>
        <v>0.95264797507788157</v>
      </c>
      <c r="R298" s="5">
        <f t="shared" si="33"/>
        <v>1.2426422498364944E-2</v>
      </c>
      <c r="S298" s="5">
        <f t="shared" si="34"/>
        <v>0.42105263157894735</v>
      </c>
      <c r="T298" s="5">
        <f t="shared" si="35"/>
        <v>0</v>
      </c>
      <c r="U298" s="5">
        <f t="shared" si="36"/>
        <v>0</v>
      </c>
      <c r="V298" s="6">
        <f t="shared" si="37"/>
        <v>15.46625</v>
      </c>
      <c r="W298" s="7">
        <f t="shared" si="38"/>
        <v>6.5121052631578946</v>
      </c>
      <c r="X298" s="5">
        <f t="shared" si="39"/>
        <v>-1</v>
      </c>
    </row>
    <row r="299" spans="1:24" x14ac:dyDescent="0.35">
      <c r="A299" s="3">
        <v>46072</v>
      </c>
      <c r="B299" t="s">
        <v>319</v>
      </c>
      <c r="C299" t="s">
        <v>460</v>
      </c>
      <c r="D299" t="s">
        <v>31</v>
      </c>
      <c r="E299" t="s">
        <v>19</v>
      </c>
      <c r="F299" t="s">
        <v>20</v>
      </c>
      <c r="G299" t="s">
        <v>27</v>
      </c>
      <c r="H299" t="s">
        <v>37</v>
      </c>
      <c r="I299">
        <v>3582</v>
      </c>
      <c r="J299">
        <v>3248</v>
      </c>
      <c r="K299">
        <v>3192</v>
      </c>
      <c r="L299">
        <v>33</v>
      </c>
      <c r="M299">
        <v>12</v>
      </c>
      <c r="N299">
        <v>0</v>
      </c>
      <c r="O299">
        <v>516.52</v>
      </c>
      <c r="P299">
        <v>0</v>
      </c>
      <c r="Q299" s="5">
        <f t="shared" si="32"/>
        <v>0.98275862068965514</v>
      </c>
      <c r="R299" s="5">
        <f t="shared" si="33"/>
        <v>1.0338345864661654E-2</v>
      </c>
      <c r="S299" s="5">
        <f t="shared" si="34"/>
        <v>0.36363636363636365</v>
      </c>
      <c r="T299" s="5">
        <f t="shared" si="35"/>
        <v>0</v>
      </c>
      <c r="U299" s="5">
        <f t="shared" si="36"/>
        <v>0</v>
      </c>
      <c r="V299" s="6">
        <f t="shared" si="37"/>
        <v>43.043333333333329</v>
      </c>
      <c r="W299" s="7">
        <f t="shared" si="38"/>
        <v>15.652121212121212</v>
      </c>
      <c r="X299" s="5">
        <f t="shared" si="39"/>
        <v>-1</v>
      </c>
    </row>
    <row r="300" spans="1:24" x14ac:dyDescent="0.35">
      <c r="A300" s="3">
        <v>46072</v>
      </c>
      <c r="B300" t="s">
        <v>377</v>
      </c>
      <c r="C300" t="s">
        <v>461</v>
      </c>
      <c r="D300" t="s">
        <v>18</v>
      </c>
      <c r="E300" t="s">
        <v>35</v>
      </c>
      <c r="F300" t="s">
        <v>26</v>
      </c>
      <c r="G300" t="s">
        <v>27</v>
      </c>
      <c r="H300" t="s">
        <v>37</v>
      </c>
      <c r="I300">
        <v>3436</v>
      </c>
      <c r="J300">
        <v>3426</v>
      </c>
      <c r="K300">
        <v>3115</v>
      </c>
      <c r="L300">
        <v>324</v>
      </c>
      <c r="M300">
        <v>192</v>
      </c>
      <c r="N300">
        <v>17</v>
      </c>
      <c r="O300">
        <v>373.78</v>
      </c>
      <c r="P300">
        <v>19153.47</v>
      </c>
      <c r="Q300" s="5">
        <f t="shared" si="32"/>
        <v>0.90922358435493289</v>
      </c>
      <c r="R300" s="5">
        <f t="shared" si="33"/>
        <v>0.10401284109149278</v>
      </c>
      <c r="S300" s="5">
        <f t="shared" si="34"/>
        <v>0.59259259259259256</v>
      </c>
      <c r="T300" s="5">
        <f t="shared" si="35"/>
        <v>8.8541666666666671E-2</v>
      </c>
      <c r="U300" s="5">
        <f t="shared" si="36"/>
        <v>5.4574638844301767E-3</v>
      </c>
      <c r="V300" s="6">
        <f t="shared" si="37"/>
        <v>1.9467708333333331</v>
      </c>
      <c r="W300" s="7">
        <f t="shared" si="38"/>
        <v>1.153641975308642</v>
      </c>
      <c r="X300" s="5">
        <f t="shared" si="39"/>
        <v>50.242629354165565</v>
      </c>
    </row>
    <row r="301" spans="1:24" x14ac:dyDescent="0.35">
      <c r="A301" s="3">
        <v>46072</v>
      </c>
      <c r="B301" t="s">
        <v>361</v>
      </c>
      <c r="C301" t="s">
        <v>462</v>
      </c>
      <c r="D301" t="s">
        <v>34</v>
      </c>
      <c r="E301" t="s">
        <v>25</v>
      </c>
      <c r="F301" t="s">
        <v>26</v>
      </c>
      <c r="G301" t="s">
        <v>36</v>
      </c>
      <c r="H301" t="s">
        <v>37</v>
      </c>
      <c r="I301">
        <v>3737</v>
      </c>
      <c r="J301">
        <v>3224</v>
      </c>
      <c r="K301">
        <v>3034</v>
      </c>
      <c r="L301">
        <v>146</v>
      </c>
      <c r="M301">
        <v>89</v>
      </c>
      <c r="N301">
        <v>4</v>
      </c>
      <c r="O301">
        <v>224.4</v>
      </c>
      <c r="P301">
        <v>6025.53</v>
      </c>
      <c r="Q301" s="5">
        <f t="shared" si="32"/>
        <v>0.94106699751861045</v>
      </c>
      <c r="R301" s="5">
        <f t="shared" si="33"/>
        <v>4.8121292023731048E-2</v>
      </c>
      <c r="S301" s="5">
        <f t="shared" si="34"/>
        <v>0.6095890410958904</v>
      </c>
      <c r="T301" s="5">
        <f t="shared" si="35"/>
        <v>4.49438202247191E-2</v>
      </c>
      <c r="U301" s="5">
        <f t="shared" si="36"/>
        <v>1.3183915622940012E-3</v>
      </c>
      <c r="V301" s="6">
        <f t="shared" si="37"/>
        <v>2.5213483146067417</v>
      </c>
      <c r="W301" s="7">
        <f t="shared" si="38"/>
        <v>1.536986301369863</v>
      </c>
      <c r="X301" s="5">
        <f t="shared" si="39"/>
        <v>25.851737967914438</v>
      </c>
    </row>
    <row r="302" spans="1:24" x14ac:dyDescent="0.35">
      <c r="A302" s="3">
        <v>46072</v>
      </c>
      <c r="B302" t="s">
        <v>445</v>
      </c>
      <c r="C302" t="s">
        <v>463</v>
      </c>
      <c r="D302" t="s">
        <v>34</v>
      </c>
      <c r="E302" t="s">
        <v>35</v>
      </c>
      <c r="F302" t="s">
        <v>20</v>
      </c>
      <c r="G302" t="s">
        <v>27</v>
      </c>
      <c r="H302" t="s">
        <v>48</v>
      </c>
      <c r="I302">
        <v>4628</v>
      </c>
      <c r="J302">
        <v>4273</v>
      </c>
      <c r="K302">
        <v>4006</v>
      </c>
      <c r="L302">
        <v>247</v>
      </c>
      <c r="M302">
        <v>111</v>
      </c>
      <c r="N302">
        <v>7</v>
      </c>
      <c r="O302">
        <v>313.68</v>
      </c>
      <c r="P302">
        <v>10541.02</v>
      </c>
      <c r="Q302" s="5">
        <f t="shared" si="32"/>
        <v>0.93751462672595365</v>
      </c>
      <c r="R302" s="5">
        <f t="shared" si="33"/>
        <v>6.1657513729405894E-2</v>
      </c>
      <c r="S302" s="5">
        <f t="shared" si="34"/>
        <v>0.44939271255060731</v>
      </c>
      <c r="T302" s="5">
        <f t="shared" si="35"/>
        <v>6.3063063063063057E-2</v>
      </c>
      <c r="U302" s="5">
        <f t="shared" si="36"/>
        <v>1.747378931602596E-3</v>
      </c>
      <c r="V302" s="6">
        <f t="shared" si="37"/>
        <v>2.8259459459459459</v>
      </c>
      <c r="W302" s="7">
        <f t="shared" si="38"/>
        <v>1.2699595141700406</v>
      </c>
      <c r="X302" s="5">
        <f t="shared" si="39"/>
        <v>32.60437388421321</v>
      </c>
    </row>
    <row r="303" spans="1:24" x14ac:dyDescent="0.35">
      <c r="A303" s="3">
        <v>46072</v>
      </c>
      <c r="B303" t="s">
        <v>327</v>
      </c>
      <c r="C303" t="s">
        <v>464</v>
      </c>
      <c r="D303" t="s">
        <v>31</v>
      </c>
      <c r="E303" t="s">
        <v>19</v>
      </c>
      <c r="F303" t="s">
        <v>26</v>
      </c>
      <c r="G303" t="s">
        <v>36</v>
      </c>
      <c r="H303" t="s">
        <v>48</v>
      </c>
      <c r="I303">
        <v>3191</v>
      </c>
      <c r="J303">
        <v>2699</v>
      </c>
      <c r="K303">
        <v>2568</v>
      </c>
      <c r="L303">
        <v>35</v>
      </c>
      <c r="M303">
        <v>17</v>
      </c>
      <c r="N303">
        <v>1</v>
      </c>
      <c r="O303">
        <v>507.62</v>
      </c>
      <c r="P303">
        <v>930.45</v>
      </c>
      <c r="Q303" s="5">
        <f t="shared" si="32"/>
        <v>0.95146350500185251</v>
      </c>
      <c r="R303" s="5">
        <f t="shared" si="33"/>
        <v>1.3629283489096573E-2</v>
      </c>
      <c r="S303" s="5">
        <f t="shared" si="34"/>
        <v>0.48571428571428571</v>
      </c>
      <c r="T303" s="5">
        <f t="shared" si="35"/>
        <v>5.8823529411764705E-2</v>
      </c>
      <c r="U303" s="5">
        <f t="shared" si="36"/>
        <v>3.8940809968847351E-4</v>
      </c>
      <c r="V303" s="6">
        <f t="shared" si="37"/>
        <v>29.86</v>
      </c>
      <c r="W303" s="7">
        <f t="shared" si="38"/>
        <v>14.503428571428572</v>
      </c>
      <c r="X303" s="5">
        <f t="shared" si="39"/>
        <v>0.8329656041921123</v>
      </c>
    </row>
    <row r="304" spans="1:24" x14ac:dyDescent="0.35">
      <c r="A304" s="3">
        <v>46072</v>
      </c>
      <c r="B304" t="s">
        <v>455</v>
      </c>
      <c r="C304" t="s">
        <v>465</v>
      </c>
      <c r="D304" t="s">
        <v>31</v>
      </c>
      <c r="E304" t="s">
        <v>19</v>
      </c>
      <c r="F304" t="s">
        <v>20</v>
      </c>
      <c r="G304" t="s">
        <v>36</v>
      </c>
      <c r="H304" t="s">
        <v>51</v>
      </c>
      <c r="I304">
        <v>4866</v>
      </c>
      <c r="J304">
        <v>4275</v>
      </c>
      <c r="K304">
        <v>4018</v>
      </c>
      <c r="L304">
        <v>79</v>
      </c>
      <c r="M304">
        <v>24</v>
      </c>
      <c r="N304">
        <v>0</v>
      </c>
      <c r="O304">
        <v>753.56</v>
      </c>
      <c r="P304">
        <v>0</v>
      </c>
      <c r="Q304" s="5">
        <f t="shared" si="32"/>
        <v>0.93988304093567254</v>
      </c>
      <c r="R304" s="5">
        <f t="shared" si="33"/>
        <v>1.9661523145843702E-2</v>
      </c>
      <c r="S304" s="5">
        <f t="shared" si="34"/>
        <v>0.30379746835443039</v>
      </c>
      <c r="T304" s="5">
        <f t="shared" si="35"/>
        <v>0</v>
      </c>
      <c r="U304" s="5">
        <f t="shared" si="36"/>
        <v>0</v>
      </c>
      <c r="V304" s="6">
        <f t="shared" si="37"/>
        <v>31.39833333333333</v>
      </c>
      <c r="W304" s="7">
        <f t="shared" si="38"/>
        <v>9.5387341772151899</v>
      </c>
      <c r="X304" s="5">
        <f t="shared" si="39"/>
        <v>-1</v>
      </c>
    </row>
    <row r="305" spans="1:24" x14ac:dyDescent="0.35">
      <c r="A305" s="3">
        <v>46072</v>
      </c>
      <c r="B305" t="s">
        <v>439</v>
      </c>
      <c r="C305" t="s">
        <v>466</v>
      </c>
      <c r="D305" t="s">
        <v>34</v>
      </c>
      <c r="E305" t="s">
        <v>35</v>
      </c>
      <c r="F305" t="s">
        <v>26</v>
      </c>
      <c r="G305" t="s">
        <v>21</v>
      </c>
      <c r="H305" t="s">
        <v>48</v>
      </c>
      <c r="I305">
        <v>2134</v>
      </c>
      <c r="J305">
        <v>1994</v>
      </c>
      <c r="K305">
        <v>1821</v>
      </c>
      <c r="L305">
        <v>196</v>
      </c>
      <c r="M305">
        <v>108</v>
      </c>
      <c r="N305">
        <v>9</v>
      </c>
      <c r="O305">
        <v>186.56</v>
      </c>
      <c r="P305">
        <v>12902.15</v>
      </c>
      <c r="Q305" s="5">
        <f t="shared" si="32"/>
        <v>0.91323971915747237</v>
      </c>
      <c r="R305" s="5">
        <f t="shared" si="33"/>
        <v>0.10763316858868753</v>
      </c>
      <c r="S305" s="5">
        <f t="shared" si="34"/>
        <v>0.55102040816326525</v>
      </c>
      <c r="T305" s="5">
        <f t="shared" si="35"/>
        <v>8.3333333333333329E-2</v>
      </c>
      <c r="U305" s="5">
        <f t="shared" si="36"/>
        <v>4.9423393739703456E-3</v>
      </c>
      <c r="V305" s="6">
        <f t="shared" si="37"/>
        <v>1.7274074074074075</v>
      </c>
      <c r="W305" s="7">
        <f t="shared" si="38"/>
        <v>0.95183673469387753</v>
      </c>
      <c r="X305" s="5">
        <f t="shared" si="39"/>
        <v>68.158179674099486</v>
      </c>
    </row>
    <row r="306" spans="1:24" x14ac:dyDescent="0.35">
      <c r="A306" s="3">
        <v>46073</v>
      </c>
      <c r="B306" t="s">
        <v>350</v>
      </c>
      <c r="C306" t="s">
        <v>467</v>
      </c>
      <c r="D306" t="s">
        <v>34</v>
      </c>
      <c r="E306" t="s">
        <v>25</v>
      </c>
      <c r="F306" t="s">
        <v>26</v>
      </c>
      <c r="G306" t="s">
        <v>41</v>
      </c>
      <c r="H306" t="s">
        <v>28</v>
      </c>
      <c r="I306">
        <v>981</v>
      </c>
      <c r="J306">
        <v>833</v>
      </c>
      <c r="K306">
        <v>770</v>
      </c>
      <c r="L306">
        <v>32</v>
      </c>
      <c r="M306">
        <v>18</v>
      </c>
      <c r="N306">
        <v>1</v>
      </c>
      <c r="O306">
        <v>79.78</v>
      </c>
      <c r="P306">
        <v>702.74</v>
      </c>
      <c r="Q306" s="5">
        <f t="shared" si="32"/>
        <v>0.92436974789915971</v>
      </c>
      <c r="R306" s="5">
        <f t="shared" si="33"/>
        <v>4.1558441558441558E-2</v>
      </c>
      <c r="S306" s="5">
        <f t="shared" si="34"/>
        <v>0.5625</v>
      </c>
      <c r="T306" s="5">
        <f t="shared" si="35"/>
        <v>5.5555555555555552E-2</v>
      </c>
      <c r="U306" s="5">
        <f t="shared" si="36"/>
        <v>1.2987012987012987E-3</v>
      </c>
      <c r="V306" s="6">
        <f t="shared" si="37"/>
        <v>4.4322222222222223</v>
      </c>
      <c r="W306" s="7">
        <f t="shared" si="38"/>
        <v>2.493125</v>
      </c>
      <c r="X306" s="5">
        <f t="shared" si="39"/>
        <v>7.8084733015793439</v>
      </c>
    </row>
    <row r="307" spans="1:24" x14ac:dyDescent="0.35">
      <c r="A307" s="3">
        <v>46073</v>
      </c>
      <c r="B307" t="s">
        <v>468</v>
      </c>
      <c r="C307" t="s">
        <v>469</v>
      </c>
      <c r="D307" t="s">
        <v>34</v>
      </c>
      <c r="E307" t="s">
        <v>19</v>
      </c>
      <c r="F307" t="s">
        <v>20</v>
      </c>
      <c r="G307" t="s">
        <v>41</v>
      </c>
      <c r="H307" t="s">
        <v>48</v>
      </c>
      <c r="I307">
        <v>3287</v>
      </c>
      <c r="J307">
        <v>2652</v>
      </c>
      <c r="K307">
        <v>2476</v>
      </c>
      <c r="L307">
        <v>7</v>
      </c>
      <c r="M307">
        <v>4</v>
      </c>
      <c r="N307">
        <v>0</v>
      </c>
      <c r="O307">
        <v>194.47</v>
      </c>
      <c r="P307">
        <v>0</v>
      </c>
      <c r="Q307" s="5">
        <f t="shared" si="32"/>
        <v>0.93363499245852188</v>
      </c>
      <c r="R307" s="5">
        <f t="shared" si="33"/>
        <v>2.8271405492730209E-3</v>
      </c>
      <c r="S307" s="5">
        <f t="shared" si="34"/>
        <v>0.5714285714285714</v>
      </c>
      <c r="T307" s="5">
        <f t="shared" si="35"/>
        <v>0</v>
      </c>
      <c r="U307" s="5">
        <f t="shared" si="36"/>
        <v>0</v>
      </c>
      <c r="V307" s="6">
        <f t="shared" si="37"/>
        <v>48.6175</v>
      </c>
      <c r="W307" s="7">
        <f t="shared" si="38"/>
        <v>27.78142857142857</v>
      </c>
      <c r="X307" s="5">
        <f t="shared" si="39"/>
        <v>-1</v>
      </c>
    </row>
    <row r="308" spans="1:24" x14ac:dyDescent="0.35">
      <c r="A308" s="3">
        <v>46073</v>
      </c>
      <c r="B308" t="s">
        <v>403</v>
      </c>
      <c r="C308" t="s">
        <v>470</v>
      </c>
      <c r="D308" t="s">
        <v>31</v>
      </c>
      <c r="E308" t="s">
        <v>19</v>
      </c>
      <c r="F308" t="s">
        <v>20</v>
      </c>
      <c r="G308" t="s">
        <v>27</v>
      </c>
      <c r="H308" t="s">
        <v>28</v>
      </c>
      <c r="I308">
        <v>4387</v>
      </c>
      <c r="J308">
        <v>3579</v>
      </c>
      <c r="K308">
        <v>3530</v>
      </c>
      <c r="L308">
        <v>27</v>
      </c>
      <c r="M308">
        <v>8</v>
      </c>
      <c r="N308">
        <v>0</v>
      </c>
      <c r="O308">
        <v>672.46</v>
      </c>
      <c r="P308">
        <v>0</v>
      </c>
      <c r="Q308" s="5">
        <f t="shared" si="32"/>
        <v>0.98630902486728134</v>
      </c>
      <c r="R308" s="5">
        <f t="shared" si="33"/>
        <v>7.6487252124645896E-3</v>
      </c>
      <c r="S308" s="5">
        <f t="shared" si="34"/>
        <v>0.29629629629629628</v>
      </c>
      <c r="T308" s="5">
        <f t="shared" si="35"/>
        <v>0</v>
      </c>
      <c r="U308" s="5">
        <f t="shared" si="36"/>
        <v>0</v>
      </c>
      <c r="V308" s="6">
        <f t="shared" si="37"/>
        <v>84.057500000000005</v>
      </c>
      <c r="W308" s="7">
        <f t="shared" si="38"/>
        <v>24.905925925925928</v>
      </c>
      <c r="X308" s="5">
        <f t="shared" si="39"/>
        <v>-1</v>
      </c>
    </row>
    <row r="309" spans="1:24" x14ac:dyDescent="0.35">
      <c r="A309" s="3">
        <v>46073</v>
      </c>
      <c r="B309" t="s">
        <v>389</v>
      </c>
      <c r="C309" t="s">
        <v>471</v>
      </c>
      <c r="D309" t="s">
        <v>31</v>
      </c>
      <c r="E309" t="s">
        <v>56</v>
      </c>
      <c r="F309" t="s">
        <v>20</v>
      </c>
      <c r="G309" t="s">
        <v>27</v>
      </c>
      <c r="H309" t="s">
        <v>48</v>
      </c>
      <c r="I309">
        <v>1343</v>
      </c>
      <c r="J309">
        <v>1090</v>
      </c>
      <c r="K309">
        <v>1042</v>
      </c>
      <c r="L309">
        <v>44</v>
      </c>
      <c r="M309">
        <v>16</v>
      </c>
      <c r="N309">
        <v>1</v>
      </c>
      <c r="O309">
        <v>207.36</v>
      </c>
      <c r="P309">
        <v>1035.51</v>
      </c>
      <c r="Q309" s="5">
        <f t="shared" si="32"/>
        <v>0.95596330275229358</v>
      </c>
      <c r="R309" s="5">
        <f t="shared" si="33"/>
        <v>4.2226487523992322E-2</v>
      </c>
      <c r="S309" s="5">
        <f t="shared" si="34"/>
        <v>0.36363636363636365</v>
      </c>
      <c r="T309" s="5">
        <f t="shared" si="35"/>
        <v>6.25E-2</v>
      </c>
      <c r="U309" s="5">
        <f t="shared" si="36"/>
        <v>9.5969289827255275E-4</v>
      </c>
      <c r="V309" s="6">
        <f t="shared" si="37"/>
        <v>12.96</v>
      </c>
      <c r="W309" s="7">
        <f t="shared" si="38"/>
        <v>4.7127272727272729</v>
      </c>
      <c r="X309" s="5">
        <f t="shared" si="39"/>
        <v>3.9937789351851847</v>
      </c>
    </row>
    <row r="310" spans="1:24" x14ac:dyDescent="0.35">
      <c r="A310" s="3">
        <v>46073</v>
      </c>
      <c r="B310" t="s">
        <v>333</v>
      </c>
      <c r="C310" t="s">
        <v>472</v>
      </c>
      <c r="D310" t="s">
        <v>18</v>
      </c>
      <c r="E310" t="s">
        <v>19</v>
      </c>
      <c r="F310" t="s">
        <v>20</v>
      </c>
      <c r="G310" t="s">
        <v>59</v>
      </c>
      <c r="H310" t="s">
        <v>51</v>
      </c>
      <c r="I310">
        <v>2835</v>
      </c>
      <c r="J310">
        <v>2789</v>
      </c>
      <c r="K310">
        <v>2453</v>
      </c>
      <c r="L310">
        <v>68</v>
      </c>
      <c r="M310">
        <v>37</v>
      </c>
      <c r="N310">
        <v>0</v>
      </c>
      <c r="O310">
        <v>355.93</v>
      </c>
      <c r="P310">
        <v>0</v>
      </c>
      <c r="Q310" s="5">
        <f t="shared" si="32"/>
        <v>0.87952671208318389</v>
      </c>
      <c r="R310" s="5">
        <f t="shared" si="33"/>
        <v>2.7721157766000815E-2</v>
      </c>
      <c r="S310" s="5">
        <f t="shared" si="34"/>
        <v>0.54411764705882348</v>
      </c>
      <c r="T310" s="5">
        <f t="shared" si="35"/>
        <v>0</v>
      </c>
      <c r="U310" s="5">
        <f t="shared" si="36"/>
        <v>0</v>
      </c>
      <c r="V310" s="6">
        <f t="shared" si="37"/>
        <v>9.6197297297297304</v>
      </c>
      <c r="W310" s="7">
        <f t="shared" si="38"/>
        <v>5.234264705882353</v>
      </c>
      <c r="X310" s="5">
        <f t="shared" si="39"/>
        <v>-1</v>
      </c>
    </row>
    <row r="311" spans="1:24" x14ac:dyDescent="0.35">
      <c r="A311" s="3">
        <v>46073</v>
      </c>
      <c r="B311" t="s">
        <v>473</v>
      </c>
      <c r="C311" t="s">
        <v>474</v>
      </c>
      <c r="D311" t="s">
        <v>40</v>
      </c>
      <c r="E311" t="s">
        <v>25</v>
      </c>
      <c r="F311" t="s">
        <v>26</v>
      </c>
      <c r="G311" t="s">
        <v>41</v>
      </c>
      <c r="H311" t="s">
        <v>48</v>
      </c>
      <c r="I311">
        <v>3985</v>
      </c>
      <c r="J311">
        <v>3461</v>
      </c>
      <c r="K311">
        <v>3248</v>
      </c>
      <c r="L311">
        <v>190</v>
      </c>
      <c r="M311">
        <v>90</v>
      </c>
      <c r="N311">
        <v>6</v>
      </c>
      <c r="O311">
        <v>456.61</v>
      </c>
      <c r="P311">
        <v>6282.33</v>
      </c>
      <c r="Q311" s="5">
        <f t="shared" si="32"/>
        <v>0.93845709332562843</v>
      </c>
      <c r="R311" s="5">
        <f t="shared" si="33"/>
        <v>5.8497536945812806E-2</v>
      </c>
      <c r="S311" s="5">
        <f t="shared" si="34"/>
        <v>0.47368421052631576</v>
      </c>
      <c r="T311" s="5">
        <f t="shared" si="35"/>
        <v>6.6666666666666666E-2</v>
      </c>
      <c r="U311" s="5">
        <f t="shared" si="36"/>
        <v>1.8472906403940886E-3</v>
      </c>
      <c r="V311" s="6">
        <f t="shared" si="37"/>
        <v>5.0734444444444442</v>
      </c>
      <c r="W311" s="7">
        <f t="shared" si="38"/>
        <v>2.4032105263157897</v>
      </c>
      <c r="X311" s="5">
        <f t="shared" si="39"/>
        <v>12.758634283086222</v>
      </c>
    </row>
    <row r="312" spans="1:24" x14ac:dyDescent="0.35">
      <c r="A312" s="3">
        <v>46074</v>
      </c>
      <c r="B312" t="s">
        <v>394</v>
      </c>
      <c r="C312" t="s">
        <v>475</v>
      </c>
      <c r="D312" t="s">
        <v>18</v>
      </c>
      <c r="E312" t="s">
        <v>35</v>
      </c>
      <c r="F312" t="s">
        <v>20</v>
      </c>
      <c r="G312" t="s">
        <v>41</v>
      </c>
      <c r="H312" t="s">
        <v>51</v>
      </c>
      <c r="I312">
        <v>4348</v>
      </c>
      <c r="J312">
        <v>3338</v>
      </c>
      <c r="K312">
        <v>3033</v>
      </c>
      <c r="L312">
        <v>223</v>
      </c>
      <c r="M312">
        <v>118</v>
      </c>
      <c r="N312">
        <v>8</v>
      </c>
      <c r="O312">
        <v>354.15</v>
      </c>
      <c r="P312">
        <v>9584.8700000000008</v>
      </c>
      <c r="Q312" s="5">
        <f t="shared" si="32"/>
        <v>0.90862792091072497</v>
      </c>
      <c r="R312" s="5">
        <f t="shared" si="33"/>
        <v>7.3524563138806467E-2</v>
      </c>
      <c r="S312" s="5">
        <f t="shared" si="34"/>
        <v>0.52914798206278024</v>
      </c>
      <c r="T312" s="5">
        <f t="shared" si="35"/>
        <v>6.7796610169491525E-2</v>
      </c>
      <c r="U312" s="5">
        <f t="shared" si="36"/>
        <v>2.6376524892845368E-3</v>
      </c>
      <c r="V312" s="6">
        <f t="shared" si="37"/>
        <v>3.0012711864406776</v>
      </c>
      <c r="W312" s="7">
        <f t="shared" si="38"/>
        <v>1.5881165919282509</v>
      </c>
      <c r="X312" s="5">
        <f t="shared" si="39"/>
        <v>26.064435973457581</v>
      </c>
    </row>
    <row r="313" spans="1:24" x14ac:dyDescent="0.35">
      <c r="A313" s="3">
        <v>46074</v>
      </c>
      <c r="B313" t="s">
        <v>476</v>
      </c>
      <c r="C313" t="s">
        <v>477</v>
      </c>
      <c r="D313" t="s">
        <v>40</v>
      </c>
      <c r="E313" t="s">
        <v>35</v>
      </c>
      <c r="F313" t="s">
        <v>20</v>
      </c>
      <c r="G313" t="s">
        <v>36</v>
      </c>
      <c r="H313" t="s">
        <v>51</v>
      </c>
      <c r="I313">
        <v>3598</v>
      </c>
      <c r="J313">
        <v>2840</v>
      </c>
      <c r="K313">
        <v>2687</v>
      </c>
      <c r="L313">
        <v>174</v>
      </c>
      <c r="M313">
        <v>80</v>
      </c>
      <c r="N313">
        <v>5</v>
      </c>
      <c r="O313">
        <v>502.51</v>
      </c>
      <c r="P313">
        <v>5418.43</v>
      </c>
      <c r="Q313" s="5">
        <f t="shared" si="32"/>
        <v>0.9461267605633803</v>
      </c>
      <c r="R313" s="5">
        <f t="shared" si="33"/>
        <v>6.4756233717900999E-2</v>
      </c>
      <c r="S313" s="5">
        <f t="shared" si="34"/>
        <v>0.45977011494252873</v>
      </c>
      <c r="T313" s="5">
        <f t="shared" si="35"/>
        <v>6.25E-2</v>
      </c>
      <c r="U313" s="5">
        <f t="shared" si="36"/>
        <v>1.8608113137327876E-3</v>
      </c>
      <c r="V313" s="6">
        <f t="shared" si="37"/>
        <v>6.2813749999999997</v>
      </c>
      <c r="W313" s="7">
        <f t="shared" si="38"/>
        <v>2.8879885057471264</v>
      </c>
      <c r="X313" s="5">
        <f t="shared" si="39"/>
        <v>9.7827306919265293</v>
      </c>
    </row>
    <row r="314" spans="1:24" x14ac:dyDescent="0.35">
      <c r="A314" s="3">
        <v>46074</v>
      </c>
      <c r="B314" t="s">
        <v>359</v>
      </c>
      <c r="C314" t="s">
        <v>478</v>
      </c>
      <c r="D314" t="s">
        <v>31</v>
      </c>
      <c r="E314" t="s">
        <v>56</v>
      </c>
      <c r="F314" t="s">
        <v>26</v>
      </c>
      <c r="G314" t="s">
        <v>27</v>
      </c>
      <c r="H314" t="s">
        <v>22</v>
      </c>
      <c r="I314">
        <v>2347</v>
      </c>
      <c r="J314">
        <v>2161</v>
      </c>
      <c r="K314">
        <v>2053</v>
      </c>
      <c r="L314">
        <v>103</v>
      </c>
      <c r="M314">
        <v>48</v>
      </c>
      <c r="N314">
        <v>3</v>
      </c>
      <c r="O314">
        <v>369.11</v>
      </c>
      <c r="P314">
        <v>3851.51</v>
      </c>
      <c r="Q314" s="5">
        <f t="shared" si="32"/>
        <v>0.95002313743637201</v>
      </c>
      <c r="R314" s="5">
        <f t="shared" si="33"/>
        <v>5.0170482221139796E-2</v>
      </c>
      <c r="S314" s="5">
        <f t="shared" si="34"/>
        <v>0.46601941747572817</v>
      </c>
      <c r="T314" s="5">
        <f t="shared" si="35"/>
        <v>6.25E-2</v>
      </c>
      <c r="U314" s="5">
        <f t="shared" si="36"/>
        <v>1.4612761811982464E-3</v>
      </c>
      <c r="V314" s="6">
        <f t="shared" si="37"/>
        <v>7.6897916666666672</v>
      </c>
      <c r="W314" s="7">
        <f t="shared" si="38"/>
        <v>3.5835922330097087</v>
      </c>
      <c r="X314" s="5">
        <f t="shared" si="39"/>
        <v>9.4345858958034192</v>
      </c>
    </row>
    <row r="315" spans="1:24" x14ac:dyDescent="0.35">
      <c r="A315" s="3">
        <v>46074</v>
      </c>
      <c r="B315" t="s">
        <v>354</v>
      </c>
      <c r="C315" t="s">
        <v>479</v>
      </c>
      <c r="D315" t="s">
        <v>18</v>
      </c>
      <c r="E315" t="s">
        <v>56</v>
      </c>
      <c r="F315" t="s">
        <v>26</v>
      </c>
      <c r="G315" t="s">
        <v>27</v>
      </c>
      <c r="H315" t="s">
        <v>22</v>
      </c>
      <c r="I315">
        <v>2528</v>
      </c>
      <c r="J315">
        <v>2492</v>
      </c>
      <c r="K315">
        <v>2204</v>
      </c>
      <c r="L315">
        <v>173</v>
      </c>
      <c r="M315">
        <v>115</v>
      </c>
      <c r="N315">
        <v>8</v>
      </c>
      <c r="O315">
        <v>305.74</v>
      </c>
      <c r="P315">
        <v>7888.33</v>
      </c>
      <c r="Q315" s="5">
        <f t="shared" si="32"/>
        <v>0.884430176565008</v>
      </c>
      <c r="R315" s="5">
        <f t="shared" si="33"/>
        <v>7.8493647912885656E-2</v>
      </c>
      <c r="S315" s="5">
        <f t="shared" si="34"/>
        <v>0.66473988439306353</v>
      </c>
      <c r="T315" s="5">
        <f t="shared" si="35"/>
        <v>6.9565217391304349E-2</v>
      </c>
      <c r="U315" s="5">
        <f t="shared" si="36"/>
        <v>3.629764065335753E-3</v>
      </c>
      <c r="V315" s="6">
        <f t="shared" si="37"/>
        <v>2.6586086956521742</v>
      </c>
      <c r="W315" s="7">
        <f t="shared" si="38"/>
        <v>1.7672832369942197</v>
      </c>
      <c r="X315" s="5">
        <f t="shared" si="39"/>
        <v>24.800778439196701</v>
      </c>
    </row>
    <row r="316" spans="1:24" x14ac:dyDescent="0.35">
      <c r="A316" s="3">
        <v>46074</v>
      </c>
      <c r="B316" t="s">
        <v>327</v>
      </c>
      <c r="C316" t="s">
        <v>480</v>
      </c>
      <c r="D316" t="s">
        <v>31</v>
      </c>
      <c r="E316" t="s">
        <v>56</v>
      </c>
      <c r="F316" t="s">
        <v>20</v>
      </c>
      <c r="G316" t="s">
        <v>21</v>
      </c>
      <c r="H316" t="s">
        <v>51</v>
      </c>
      <c r="I316">
        <v>2293</v>
      </c>
      <c r="J316">
        <v>2008</v>
      </c>
      <c r="K316">
        <v>1949</v>
      </c>
      <c r="L316">
        <v>66</v>
      </c>
      <c r="M316">
        <v>22</v>
      </c>
      <c r="N316">
        <v>1</v>
      </c>
      <c r="O316">
        <v>392.7</v>
      </c>
      <c r="P316">
        <v>966.75</v>
      </c>
      <c r="Q316" s="5">
        <f t="shared" si="32"/>
        <v>0.97061752988047811</v>
      </c>
      <c r="R316" s="5">
        <f t="shared" si="33"/>
        <v>3.3863519753719859E-2</v>
      </c>
      <c r="S316" s="5">
        <f t="shared" si="34"/>
        <v>0.33333333333333331</v>
      </c>
      <c r="T316" s="5">
        <f t="shared" si="35"/>
        <v>4.5454545454545456E-2</v>
      </c>
      <c r="U316" s="5">
        <f t="shared" si="36"/>
        <v>5.1308363263211901E-4</v>
      </c>
      <c r="V316" s="6">
        <f t="shared" si="37"/>
        <v>17.849999999999998</v>
      </c>
      <c r="W316" s="7">
        <f t="shared" si="38"/>
        <v>5.95</v>
      </c>
      <c r="X316" s="5">
        <f t="shared" si="39"/>
        <v>1.4618029029793735</v>
      </c>
    </row>
    <row r="317" spans="1:24" x14ac:dyDescent="0.35">
      <c r="A317" s="3">
        <v>46075</v>
      </c>
      <c r="B317" t="s">
        <v>481</v>
      </c>
      <c r="C317" t="s">
        <v>482</v>
      </c>
      <c r="D317" t="s">
        <v>31</v>
      </c>
      <c r="E317" t="s">
        <v>25</v>
      </c>
      <c r="F317" t="s">
        <v>26</v>
      </c>
      <c r="G317" t="s">
        <v>59</v>
      </c>
      <c r="H317" t="s">
        <v>48</v>
      </c>
      <c r="I317">
        <v>2863</v>
      </c>
      <c r="J317">
        <v>2634</v>
      </c>
      <c r="K317">
        <v>2542</v>
      </c>
      <c r="L317">
        <v>99</v>
      </c>
      <c r="M317">
        <v>54</v>
      </c>
      <c r="N317">
        <v>3</v>
      </c>
      <c r="O317">
        <v>480.17</v>
      </c>
      <c r="P317">
        <v>4371.8500000000004</v>
      </c>
      <c r="Q317" s="5">
        <f t="shared" si="32"/>
        <v>0.96507213363705391</v>
      </c>
      <c r="R317" s="5">
        <f t="shared" si="33"/>
        <v>3.8945712037765541E-2</v>
      </c>
      <c r="S317" s="5">
        <f t="shared" si="34"/>
        <v>0.54545454545454541</v>
      </c>
      <c r="T317" s="5">
        <f t="shared" si="35"/>
        <v>5.5555555555555552E-2</v>
      </c>
      <c r="U317" s="5">
        <f t="shared" si="36"/>
        <v>1.1801730920535012E-3</v>
      </c>
      <c r="V317" s="6">
        <f t="shared" si="37"/>
        <v>8.8920370370370367</v>
      </c>
      <c r="W317" s="7">
        <f t="shared" si="38"/>
        <v>4.85020202020202</v>
      </c>
      <c r="X317" s="5">
        <f t="shared" si="39"/>
        <v>8.1047962180061237</v>
      </c>
    </row>
    <row r="318" spans="1:24" x14ac:dyDescent="0.35">
      <c r="A318" s="3">
        <v>46075</v>
      </c>
      <c r="B318" t="s">
        <v>341</v>
      </c>
      <c r="C318" t="s">
        <v>483</v>
      </c>
      <c r="D318" t="s">
        <v>34</v>
      </c>
      <c r="E318" t="s">
        <v>19</v>
      </c>
      <c r="F318" t="s">
        <v>20</v>
      </c>
      <c r="G318" t="s">
        <v>59</v>
      </c>
      <c r="H318" t="s">
        <v>37</v>
      </c>
      <c r="I318">
        <v>4542</v>
      </c>
      <c r="J318">
        <v>4160</v>
      </c>
      <c r="K318">
        <v>3904</v>
      </c>
      <c r="L318">
        <v>48</v>
      </c>
      <c r="M318">
        <v>25</v>
      </c>
      <c r="N318">
        <v>0</v>
      </c>
      <c r="O318">
        <v>312.10000000000002</v>
      </c>
      <c r="P318">
        <v>0</v>
      </c>
      <c r="Q318" s="5">
        <f t="shared" si="32"/>
        <v>0.93846153846153846</v>
      </c>
      <c r="R318" s="5">
        <f t="shared" si="33"/>
        <v>1.2295081967213115E-2</v>
      </c>
      <c r="S318" s="5">
        <f t="shared" si="34"/>
        <v>0.52083333333333337</v>
      </c>
      <c r="T318" s="5">
        <f t="shared" si="35"/>
        <v>0</v>
      </c>
      <c r="U318" s="5">
        <f t="shared" si="36"/>
        <v>0</v>
      </c>
      <c r="V318" s="6">
        <f t="shared" si="37"/>
        <v>12.484000000000002</v>
      </c>
      <c r="W318" s="7">
        <f t="shared" si="38"/>
        <v>6.5020833333333341</v>
      </c>
      <c r="X318" s="5">
        <f t="shared" si="39"/>
        <v>-1</v>
      </c>
    </row>
    <row r="319" spans="1:24" x14ac:dyDescent="0.35">
      <c r="A319" s="3">
        <v>46075</v>
      </c>
      <c r="B319" t="s">
        <v>407</v>
      </c>
      <c r="C319" t="s">
        <v>484</v>
      </c>
      <c r="D319" t="s">
        <v>31</v>
      </c>
      <c r="E319" t="s">
        <v>19</v>
      </c>
      <c r="F319" t="s">
        <v>20</v>
      </c>
      <c r="G319" t="s">
        <v>27</v>
      </c>
      <c r="H319" t="s">
        <v>51</v>
      </c>
      <c r="I319">
        <v>4281</v>
      </c>
      <c r="J319">
        <v>3706</v>
      </c>
      <c r="K319">
        <v>3541</v>
      </c>
      <c r="L319">
        <v>75</v>
      </c>
      <c r="M319">
        <v>27</v>
      </c>
      <c r="N319">
        <v>0</v>
      </c>
      <c r="O319">
        <v>684.96</v>
      </c>
      <c r="P319">
        <v>0</v>
      </c>
      <c r="Q319" s="5">
        <f t="shared" si="32"/>
        <v>0.95547760388559089</v>
      </c>
      <c r="R319" s="5">
        <f t="shared" si="33"/>
        <v>2.1180457497881954E-2</v>
      </c>
      <c r="S319" s="5">
        <f t="shared" si="34"/>
        <v>0.36</v>
      </c>
      <c r="T319" s="5">
        <f t="shared" si="35"/>
        <v>0</v>
      </c>
      <c r="U319" s="5">
        <f t="shared" si="36"/>
        <v>0</v>
      </c>
      <c r="V319" s="6">
        <f t="shared" si="37"/>
        <v>25.36888888888889</v>
      </c>
      <c r="W319" s="7">
        <f t="shared" si="38"/>
        <v>9.1328000000000014</v>
      </c>
      <c r="X319" s="5">
        <f t="shared" si="39"/>
        <v>-1</v>
      </c>
    </row>
    <row r="320" spans="1:24" x14ac:dyDescent="0.35">
      <c r="A320" s="3">
        <v>46075</v>
      </c>
      <c r="B320" t="s">
        <v>319</v>
      </c>
      <c r="C320" t="s">
        <v>485</v>
      </c>
      <c r="D320" t="s">
        <v>18</v>
      </c>
      <c r="E320" t="s">
        <v>35</v>
      </c>
      <c r="F320" t="s">
        <v>20</v>
      </c>
      <c r="G320" t="s">
        <v>59</v>
      </c>
      <c r="H320" t="s">
        <v>37</v>
      </c>
      <c r="I320">
        <v>1093</v>
      </c>
      <c r="J320">
        <v>1004</v>
      </c>
      <c r="K320">
        <v>934</v>
      </c>
      <c r="L320">
        <v>75</v>
      </c>
      <c r="M320">
        <v>42</v>
      </c>
      <c r="N320">
        <v>3</v>
      </c>
      <c r="O320">
        <v>131.79</v>
      </c>
      <c r="P320">
        <v>2703.11</v>
      </c>
      <c r="Q320" s="5">
        <f t="shared" si="32"/>
        <v>0.93027888446215135</v>
      </c>
      <c r="R320" s="5">
        <f t="shared" si="33"/>
        <v>8.0299785867237683E-2</v>
      </c>
      <c r="S320" s="5">
        <f t="shared" si="34"/>
        <v>0.56000000000000005</v>
      </c>
      <c r="T320" s="5">
        <f t="shared" si="35"/>
        <v>7.1428571428571425E-2</v>
      </c>
      <c r="U320" s="5">
        <f t="shared" si="36"/>
        <v>3.2119914346895075E-3</v>
      </c>
      <c r="V320" s="6">
        <f t="shared" si="37"/>
        <v>3.1378571428571425</v>
      </c>
      <c r="W320" s="7">
        <f t="shared" si="38"/>
        <v>1.7571999999999999</v>
      </c>
      <c r="X320" s="5">
        <f t="shared" si="39"/>
        <v>19.510736778207757</v>
      </c>
    </row>
    <row r="321" spans="1:24" x14ac:dyDescent="0.35">
      <c r="A321" s="3">
        <v>46075</v>
      </c>
      <c r="B321" t="s">
        <v>352</v>
      </c>
      <c r="C321" t="s">
        <v>486</v>
      </c>
      <c r="D321" t="s">
        <v>18</v>
      </c>
      <c r="E321" t="s">
        <v>25</v>
      </c>
      <c r="F321" t="s">
        <v>20</v>
      </c>
      <c r="G321" t="s">
        <v>36</v>
      </c>
      <c r="H321" t="s">
        <v>37</v>
      </c>
      <c r="I321">
        <v>4047</v>
      </c>
      <c r="J321">
        <v>3955</v>
      </c>
      <c r="K321">
        <v>3736</v>
      </c>
      <c r="L321">
        <v>153</v>
      </c>
      <c r="M321">
        <v>64</v>
      </c>
      <c r="N321">
        <v>1</v>
      </c>
      <c r="O321">
        <v>409.79</v>
      </c>
      <c r="P321">
        <v>997.06</v>
      </c>
      <c r="Q321" s="5">
        <f t="shared" si="32"/>
        <v>0.94462705436156769</v>
      </c>
      <c r="R321" s="5">
        <f t="shared" si="33"/>
        <v>4.0952890792291217E-2</v>
      </c>
      <c r="S321" s="5">
        <f t="shared" si="34"/>
        <v>0.41830065359477125</v>
      </c>
      <c r="T321" s="5">
        <f t="shared" si="35"/>
        <v>1.5625E-2</v>
      </c>
      <c r="U321" s="5">
        <f t="shared" si="36"/>
        <v>2.6766595289079231E-4</v>
      </c>
      <c r="V321" s="6">
        <f t="shared" si="37"/>
        <v>6.4029687500000003</v>
      </c>
      <c r="W321" s="7">
        <f t="shared" si="38"/>
        <v>2.6783660130718956</v>
      </c>
      <c r="X321" s="5">
        <f t="shared" si="39"/>
        <v>1.4330998804265598</v>
      </c>
    </row>
    <row r="322" spans="1:24" x14ac:dyDescent="0.35">
      <c r="A322" s="3">
        <v>46075</v>
      </c>
      <c r="B322" t="s">
        <v>375</v>
      </c>
      <c r="C322" t="s">
        <v>487</v>
      </c>
      <c r="D322" t="s">
        <v>34</v>
      </c>
      <c r="E322" t="s">
        <v>56</v>
      </c>
      <c r="F322" t="s">
        <v>20</v>
      </c>
      <c r="G322" t="s">
        <v>41</v>
      </c>
      <c r="H322" t="s">
        <v>51</v>
      </c>
      <c r="I322">
        <v>2676</v>
      </c>
      <c r="J322">
        <v>2377</v>
      </c>
      <c r="K322">
        <v>2315</v>
      </c>
      <c r="L322">
        <v>136</v>
      </c>
      <c r="M322">
        <v>59</v>
      </c>
      <c r="N322">
        <v>3</v>
      </c>
      <c r="O322">
        <v>206.36</v>
      </c>
      <c r="P322">
        <v>3052.76</v>
      </c>
      <c r="Q322" s="5">
        <f t="shared" si="32"/>
        <v>0.97391670172486322</v>
      </c>
      <c r="R322" s="5">
        <f t="shared" si="33"/>
        <v>5.874730021598272E-2</v>
      </c>
      <c r="S322" s="5">
        <f t="shared" si="34"/>
        <v>0.43382352941176472</v>
      </c>
      <c r="T322" s="5">
        <f t="shared" si="35"/>
        <v>5.0847457627118647E-2</v>
      </c>
      <c r="U322" s="5">
        <f t="shared" si="36"/>
        <v>1.2958963282937365E-3</v>
      </c>
      <c r="V322" s="6">
        <f t="shared" si="37"/>
        <v>3.4976271186440679</v>
      </c>
      <c r="W322" s="7">
        <f t="shared" si="38"/>
        <v>1.5173529411764708</v>
      </c>
      <c r="X322" s="5">
        <f t="shared" si="39"/>
        <v>13.793370808296181</v>
      </c>
    </row>
    <row r="323" spans="1:24" x14ac:dyDescent="0.35">
      <c r="A323" s="3">
        <v>46075</v>
      </c>
      <c r="B323" t="s">
        <v>425</v>
      </c>
      <c r="C323" t="s">
        <v>488</v>
      </c>
      <c r="D323" t="s">
        <v>31</v>
      </c>
      <c r="E323" t="s">
        <v>35</v>
      </c>
      <c r="F323" t="s">
        <v>20</v>
      </c>
      <c r="G323" t="s">
        <v>36</v>
      </c>
      <c r="H323" t="s">
        <v>37</v>
      </c>
      <c r="I323">
        <v>4674</v>
      </c>
      <c r="J323">
        <v>3572</v>
      </c>
      <c r="K323">
        <v>3420</v>
      </c>
      <c r="L323">
        <v>197</v>
      </c>
      <c r="M323">
        <v>76</v>
      </c>
      <c r="N323">
        <v>6</v>
      </c>
      <c r="O323">
        <v>608.41</v>
      </c>
      <c r="P323">
        <v>5130.47</v>
      </c>
      <c r="Q323" s="5">
        <f t="shared" ref="Q323:Q386" si="40">K323/J323</f>
        <v>0.95744680851063835</v>
      </c>
      <c r="R323" s="5">
        <f t="shared" ref="R323:R386" si="41">L323/K323</f>
        <v>5.7602339181286551E-2</v>
      </c>
      <c r="S323" s="5">
        <f t="shared" ref="S323:S386" si="42">M323/L323</f>
        <v>0.38578680203045684</v>
      </c>
      <c r="T323" s="5">
        <f t="shared" ref="T323:T386" si="43">N323/M323</f>
        <v>7.8947368421052627E-2</v>
      </c>
      <c r="U323" s="5">
        <f t="shared" ref="U323:U386" si="44">N323/K323</f>
        <v>1.7543859649122807E-3</v>
      </c>
      <c r="V323" s="6">
        <f t="shared" ref="V323:V386" si="45">O323/M323</f>
        <v>8.0053947368421046</v>
      </c>
      <c r="W323" s="7">
        <f t="shared" ref="W323:W386" si="46">O323/L323</f>
        <v>3.0883756345177664</v>
      </c>
      <c r="X323" s="5">
        <f t="shared" ref="X323:X386" si="47">(P323-O323)/O323</f>
        <v>7.4325865781298806</v>
      </c>
    </row>
    <row r="324" spans="1:24" x14ac:dyDescent="0.35">
      <c r="A324" s="3">
        <v>46075</v>
      </c>
      <c r="B324" t="s">
        <v>489</v>
      </c>
      <c r="C324" t="s">
        <v>490</v>
      </c>
      <c r="D324" t="s">
        <v>31</v>
      </c>
      <c r="E324" t="s">
        <v>35</v>
      </c>
      <c r="F324" t="s">
        <v>26</v>
      </c>
      <c r="G324" t="s">
        <v>21</v>
      </c>
      <c r="H324" t="s">
        <v>48</v>
      </c>
      <c r="I324">
        <v>2111</v>
      </c>
      <c r="J324">
        <v>1779</v>
      </c>
      <c r="K324">
        <v>1723</v>
      </c>
      <c r="L324">
        <v>116</v>
      </c>
      <c r="M324">
        <v>54</v>
      </c>
      <c r="N324">
        <v>5</v>
      </c>
      <c r="O324">
        <v>295.95999999999998</v>
      </c>
      <c r="P324">
        <v>8651.43</v>
      </c>
      <c r="Q324" s="5">
        <f t="shared" si="40"/>
        <v>0.96852164137155705</v>
      </c>
      <c r="R324" s="5">
        <f t="shared" si="41"/>
        <v>6.7324434126523502E-2</v>
      </c>
      <c r="S324" s="5">
        <f t="shared" si="42"/>
        <v>0.46551724137931033</v>
      </c>
      <c r="T324" s="5">
        <f t="shared" si="43"/>
        <v>9.2592592592592587E-2</v>
      </c>
      <c r="U324" s="5">
        <f t="shared" si="44"/>
        <v>2.901915264074289E-3</v>
      </c>
      <c r="V324" s="6">
        <f t="shared" si="45"/>
        <v>5.4807407407407407</v>
      </c>
      <c r="W324" s="7">
        <f t="shared" si="46"/>
        <v>2.5513793103448275</v>
      </c>
      <c r="X324" s="5">
        <f t="shared" si="47"/>
        <v>28.231754291120428</v>
      </c>
    </row>
    <row r="325" spans="1:24" x14ac:dyDescent="0.35">
      <c r="A325" s="3">
        <v>46076</v>
      </c>
      <c r="B325" t="s">
        <v>407</v>
      </c>
      <c r="C325" t="s">
        <v>491</v>
      </c>
      <c r="D325" t="s">
        <v>34</v>
      </c>
      <c r="E325" t="s">
        <v>35</v>
      </c>
      <c r="F325" t="s">
        <v>20</v>
      </c>
      <c r="G325" t="s">
        <v>27</v>
      </c>
      <c r="H325" t="s">
        <v>51</v>
      </c>
      <c r="I325">
        <v>404</v>
      </c>
      <c r="J325">
        <v>309</v>
      </c>
      <c r="K325">
        <v>290</v>
      </c>
      <c r="L325">
        <v>19</v>
      </c>
      <c r="M325">
        <v>9</v>
      </c>
      <c r="N325">
        <v>0</v>
      </c>
      <c r="O325">
        <v>21.9</v>
      </c>
      <c r="P325">
        <v>0</v>
      </c>
      <c r="Q325" s="5">
        <f t="shared" si="40"/>
        <v>0.93851132686084138</v>
      </c>
      <c r="R325" s="5">
        <f t="shared" si="41"/>
        <v>6.5517241379310351E-2</v>
      </c>
      <c r="S325" s="5">
        <f t="shared" si="42"/>
        <v>0.47368421052631576</v>
      </c>
      <c r="T325" s="5">
        <f t="shared" si="43"/>
        <v>0</v>
      </c>
      <c r="U325" s="5">
        <f t="shared" si="44"/>
        <v>0</v>
      </c>
      <c r="V325" s="6">
        <f t="shared" si="45"/>
        <v>2.4333333333333331</v>
      </c>
      <c r="W325" s="7">
        <f t="shared" si="46"/>
        <v>1.1526315789473685</v>
      </c>
      <c r="X325" s="5">
        <f t="shared" si="47"/>
        <v>-1</v>
      </c>
    </row>
    <row r="326" spans="1:24" x14ac:dyDescent="0.35">
      <c r="A326" s="3">
        <v>46076</v>
      </c>
      <c r="B326" t="s">
        <v>458</v>
      </c>
      <c r="C326" t="s">
        <v>492</v>
      </c>
      <c r="D326" t="s">
        <v>34</v>
      </c>
      <c r="E326" t="s">
        <v>19</v>
      </c>
      <c r="F326" t="s">
        <v>26</v>
      </c>
      <c r="G326" t="s">
        <v>59</v>
      </c>
      <c r="H326" t="s">
        <v>37</v>
      </c>
      <c r="I326">
        <v>4283</v>
      </c>
      <c r="J326">
        <v>4000</v>
      </c>
      <c r="K326">
        <v>3790</v>
      </c>
      <c r="L326">
        <v>123</v>
      </c>
      <c r="M326">
        <v>70</v>
      </c>
      <c r="N326">
        <v>2</v>
      </c>
      <c r="O326">
        <v>280.81</v>
      </c>
      <c r="P326">
        <v>1496.88</v>
      </c>
      <c r="Q326" s="5">
        <f t="shared" si="40"/>
        <v>0.94750000000000001</v>
      </c>
      <c r="R326" s="5">
        <f t="shared" si="41"/>
        <v>3.245382585751979E-2</v>
      </c>
      <c r="S326" s="5">
        <f t="shared" si="42"/>
        <v>0.56910569105691056</v>
      </c>
      <c r="T326" s="5">
        <f t="shared" si="43"/>
        <v>2.8571428571428571E-2</v>
      </c>
      <c r="U326" s="5">
        <f t="shared" si="44"/>
        <v>5.2770448548812663E-4</v>
      </c>
      <c r="V326" s="6">
        <f t="shared" si="45"/>
        <v>4.011571428571429</v>
      </c>
      <c r="W326" s="7">
        <f t="shared" si="46"/>
        <v>2.283008130081301</v>
      </c>
      <c r="X326" s="5">
        <f t="shared" si="47"/>
        <v>4.3305793953206804</v>
      </c>
    </row>
    <row r="327" spans="1:24" x14ac:dyDescent="0.35">
      <c r="A327" s="3">
        <v>46076</v>
      </c>
      <c r="B327" t="s">
        <v>493</v>
      </c>
      <c r="C327" t="s">
        <v>494</v>
      </c>
      <c r="D327" t="s">
        <v>18</v>
      </c>
      <c r="E327" t="s">
        <v>25</v>
      </c>
      <c r="F327" t="s">
        <v>20</v>
      </c>
      <c r="G327" t="s">
        <v>59</v>
      </c>
      <c r="H327" t="s">
        <v>48</v>
      </c>
      <c r="I327">
        <v>4707</v>
      </c>
      <c r="J327">
        <v>3693</v>
      </c>
      <c r="K327">
        <v>3428</v>
      </c>
      <c r="L327">
        <v>157</v>
      </c>
      <c r="M327">
        <v>77</v>
      </c>
      <c r="N327">
        <v>4</v>
      </c>
      <c r="O327">
        <v>423.67</v>
      </c>
      <c r="P327">
        <v>3640.94</v>
      </c>
      <c r="Q327" s="5">
        <f t="shared" si="40"/>
        <v>0.92824262117519629</v>
      </c>
      <c r="R327" s="5">
        <f t="shared" si="41"/>
        <v>4.5799299883313889E-2</v>
      </c>
      <c r="S327" s="5">
        <f t="shared" si="42"/>
        <v>0.49044585987261147</v>
      </c>
      <c r="T327" s="5">
        <f t="shared" si="43"/>
        <v>5.1948051948051951E-2</v>
      </c>
      <c r="U327" s="5">
        <f t="shared" si="44"/>
        <v>1.1668611435239206E-3</v>
      </c>
      <c r="V327" s="6">
        <f t="shared" si="45"/>
        <v>5.5022077922077921</v>
      </c>
      <c r="W327" s="7">
        <f t="shared" si="46"/>
        <v>2.6985350318471339</v>
      </c>
      <c r="X327" s="5">
        <f t="shared" si="47"/>
        <v>7.5938112209974742</v>
      </c>
    </row>
    <row r="328" spans="1:24" x14ac:dyDescent="0.35">
      <c r="A328" s="3">
        <v>46076</v>
      </c>
      <c r="B328" t="s">
        <v>391</v>
      </c>
      <c r="C328" t="s">
        <v>495</v>
      </c>
      <c r="D328" t="s">
        <v>34</v>
      </c>
      <c r="E328" t="s">
        <v>25</v>
      </c>
      <c r="F328" t="s">
        <v>20</v>
      </c>
      <c r="G328" t="s">
        <v>59</v>
      </c>
      <c r="H328" t="s">
        <v>22</v>
      </c>
      <c r="I328">
        <v>4256</v>
      </c>
      <c r="J328">
        <v>3127</v>
      </c>
      <c r="K328">
        <v>2973</v>
      </c>
      <c r="L328">
        <v>99</v>
      </c>
      <c r="M328">
        <v>42</v>
      </c>
      <c r="N328">
        <v>1</v>
      </c>
      <c r="O328">
        <v>221.56</v>
      </c>
      <c r="P328">
        <v>1044.8599999999999</v>
      </c>
      <c r="Q328" s="5">
        <f t="shared" si="40"/>
        <v>0.95075151902782218</v>
      </c>
      <c r="R328" s="5">
        <f t="shared" si="41"/>
        <v>3.3299697275479316E-2</v>
      </c>
      <c r="S328" s="5">
        <f t="shared" si="42"/>
        <v>0.42424242424242425</v>
      </c>
      <c r="T328" s="5">
        <f t="shared" si="43"/>
        <v>2.3809523809523808E-2</v>
      </c>
      <c r="U328" s="5">
        <f t="shared" si="44"/>
        <v>3.3636057854019509E-4</v>
      </c>
      <c r="V328" s="6">
        <f t="shared" si="45"/>
        <v>5.2752380952380955</v>
      </c>
      <c r="W328" s="7">
        <f t="shared" si="46"/>
        <v>2.237979797979798</v>
      </c>
      <c r="X328" s="5">
        <f t="shared" si="47"/>
        <v>3.715923451886622</v>
      </c>
    </row>
    <row r="329" spans="1:24" x14ac:dyDescent="0.35">
      <c r="A329" s="3">
        <v>46076</v>
      </c>
      <c r="B329" t="s">
        <v>327</v>
      </c>
      <c r="C329" t="s">
        <v>496</v>
      </c>
      <c r="D329" t="s">
        <v>31</v>
      </c>
      <c r="E329" t="s">
        <v>56</v>
      </c>
      <c r="F329" t="s">
        <v>20</v>
      </c>
      <c r="G329" t="s">
        <v>59</v>
      </c>
      <c r="H329" t="s">
        <v>51</v>
      </c>
      <c r="I329">
        <v>3011</v>
      </c>
      <c r="J329">
        <v>2831</v>
      </c>
      <c r="K329">
        <v>2702</v>
      </c>
      <c r="L329">
        <v>96</v>
      </c>
      <c r="M329">
        <v>40</v>
      </c>
      <c r="N329">
        <v>2</v>
      </c>
      <c r="O329">
        <v>567.47</v>
      </c>
      <c r="P329">
        <v>2855.68</v>
      </c>
      <c r="Q329" s="5">
        <f t="shared" si="40"/>
        <v>0.95443306252207705</v>
      </c>
      <c r="R329" s="5">
        <f t="shared" si="41"/>
        <v>3.552923760177646E-2</v>
      </c>
      <c r="S329" s="5">
        <f t="shared" si="42"/>
        <v>0.41666666666666669</v>
      </c>
      <c r="T329" s="5">
        <f t="shared" si="43"/>
        <v>0.05</v>
      </c>
      <c r="U329" s="5">
        <f t="shared" si="44"/>
        <v>7.4019245003700959E-4</v>
      </c>
      <c r="V329" s="6">
        <f t="shared" si="45"/>
        <v>14.18675</v>
      </c>
      <c r="W329" s="7">
        <f t="shared" si="46"/>
        <v>5.9111458333333333</v>
      </c>
      <c r="X329" s="5">
        <f t="shared" si="47"/>
        <v>4.0323012670273313</v>
      </c>
    </row>
    <row r="330" spans="1:24" x14ac:dyDescent="0.35">
      <c r="A330" s="3">
        <v>46077</v>
      </c>
      <c r="B330" t="s">
        <v>329</v>
      </c>
      <c r="C330" t="s">
        <v>497</v>
      </c>
      <c r="D330" t="s">
        <v>18</v>
      </c>
      <c r="E330" t="s">
        <v>56</v>
      </c>
      <c r="F330" t="s">
        <v>20</v>
      </c>
      <c r="G330" t="s">
        <v>41</v>
      </c>
      <c r="H330" t="s">
        <v>48</v>
      </c>
      <c r="I330">
        <v>4979</v>
      </c>
      <c r="J330">
        <v>4349</v>
      </c>
      <c r="K330">
        <v>3981</v>
      </c>
      <c r="L330">
        <v>251</v>
      </c>
      <c r="M330">
        <v>142</v>
      </c>
      <c r="N330">
        <v>7</v>
      </c>
      <c r="O330">
        <v>554.32000000000005</v>
      </c>
      <c r="P330">
        <v>6180.41</v>
      </c>
      <c r="Q330" s="5">
        <f t="shared" si="40"/>
        <v>0.91538284663140956</v>
      </c>
      <c r="R330" s="5">
        <f t="shared" si="41"/>
        <v>6.3049485054006538E-2</v>
      </c>
      <c r="S330" s="5">
        <f t="shared" si="42"/>
        <v>0.56573705179282874</v>
      </c>
      <c r="T330" s="5">
        <f t="shared" si="43"/>
        <v>4.9295774647887321E-2</v>
      </c>
      <c r="U330" s="5">
        <f t="shared" si="44"/>
        <v>1.7583521728208992E-3</v>
      </c>
      <c r="V330" s="6">
        <f t="shared" si="45"/>
        <v>3.9036619718309864</v>
      </c>
      <c r="W330" s="7">
        <f t="shared" si="46"/>
        <v>2.2084462151394426</v>
      </c>
      <c r="X330" s="5">
        <f t="shared" si="47"/>
        <v>10.149534564872276</v>
      </c>
    </row>
    <row r="331" spans="1:24" x14ac:dyDescent="0.35">
      <c r="A331" s="3">
        <v>46077</v>
      </c>
      <c r="B331" t="s">
        <v>498</v>
      </c>
      <c r="C331" t="s">
        <v>499</v>
      </c>
      <c r="D331" t="s">
        <v>40</v>
      </c>
      <c r="E331" t="s">
        <v>35</v>
      </c>
      <c r="F331" t="s">
        <v>26</v>
      </c>
      <c r="G331" t="s">
        <v>21</v>
      </c>
      <c r="H331" t="s">
        <v>28</v>
      </c>
      <c r="I331">
        <v>2859</v>
      </c>
      <c r="J331">
        <v>2501</v>
      </c>
      <c r="K331">
        <v>2278</v>
      </c>
      <c r="L331">
        <v>252</v>
      </c>
      <c r="M331">
        <v>181</v>
      </c>
      <c r="N331">
        <v>15</v>
      </c>
      <c r="O331">
        <v>372.04</v>
      </c>
      <c r="P331">
        <v>14673.02</v>
      </c>
      <c r="Q331" s="5">
        <f t="shared" si="40"/>
        <v>0.91083566573370656</v>
      </c>
      <c r="R331" s="5">
        <f t="shared" si="41"/>
        <v>0.1106233538191396</v>
      </c>
      <c r="S331" s="5">
        <f t="shared" si="42"/>
        <v>0.71825396825396826</v>
      </c>
      <c r="T331" s="5">
        <f t="shared" si="43"/>
        <v>8.2872928176795577E-2</v>
      </c>
      <c r="U331" s="5">
        <f t="shared" si="44"/>
        <v>6.5847234416154523E-3</v>
      </c>
      <c r="V331" s="6">
        <f t="shared" si="45"/>
        <v>2.0554696132596688</v>
      </c>
      <c r="W331" s="7">
        <f t="shared" si="46"/>
        <v>1.4763492063492065</v>
      </c>
      <c r="X331" s="5">
        <f t="shared" si="47"/>
        <v>38.439361358993651</v>
      </c>
    </row>
    <row r="332" spans="1:24" x14ac:dyDescent="0.35">
      <c r="A332" s="3">
        <v>46077</v>
      </c>
      <c r="B332" t="s">
        <v>500</v>
      </c>
      <c r="C332" t="s">
        <v>501</v>
      </c>
      <c r="D332" t="s">
        <v>40</v>
      </c>
      <c r="E332" t="s">
        <v>25</v>
      </c>
      <c r="F332" t="s">
        <v>20</v>
      </c>
      <c r="G332" t="s">
        <v>27</v>
      </c>
      <c r="H332" t="s">
        <v>51</v>
      </c>
      <c r="I332">
        <v>3968</v>
      </c>
      <c r="J332">
        <v>3693</v>
      </c>
      <c r="K332">
        <v>3435</v>
      </c>
      <c r="L332">
        <v>117</v>
      </c>
      <c r="M332">
        <v>41</v>
      </c>
      <c r="N332">
        <v>2</v>
      </c>
      <c r="O332">
        <v>528.52</v>
      </c>
      <c r="P332">
        <v>2390.7600000000002</v>
      </c>
      <c r="Q332" s="5">
        <f t="shared" si="40"/>
        <v>0.93013809910641754</v>
      </c>
      <c r="R332" s="5">
        <f t="shared" si="41"/>
        <v>3.4061135371179038E-2</v>
      </c>
      <c r="S332" s="5">
        <f t="shared" si="42"/>
        <v>0.3504273504273504</v>
      </c>
      <c r="T332" s="5">
        <f t="shared" si="43"/>
        <v>4.878048780487805E-2</v>
      </c>
      <c r="U332" s="5">
        <f t="shared" si="44"/>
        <v>5.8224163027656482E-4</v>
      </c>
      <c r="V332" s="6">
        <f t="shared" si="45"/>
        <v>12.890731707317073</v>
      </c>
      <c r="W332" s="7">
        <f t="shared" si="46"/>
        <v>4.517264957264957</v>
      </c>
      <c r="X332" s="5">
        <f t="shared" si="47"/>
        <v>3.5234995837432836</v>
      </c>
    </row>
    <row r="333" spans="1:24" x14ac:dyDescent="0.35">
      <c r="A333" s="3">
        <v>46077</v>
      </c>
      <c r="B333" t="s">
        <v>493</v>
      </c>
      <c r="C333" t="s">
        <v>502</v>
      </c>
      <c r="D333" t="s">
        <v>18</v>
      </c>
      <c r="E333" t="s">
        <v>35</v>
      </c>
      <c r="F333" t="s">
        <v>26</v>
      </c>
      <c r="G333" t="s">
        <v>59</v>
      </c>
      <c r="H333" t="s">
        <v>37</v>
      </c>
      <c r="I333">
        <v>4913</v>
      </c>
      <c r="J333">
        <v>3752</v>
      </c>
      <c r="K333">
        <v>3398</v>
      </c>
      <c r="L333">
        <v>312</v>
      </c>
      <c r="M333">
        <v>216</v>
      </c>
      <c r="N333">
        <v>22</v>
      </c>
      <c r="O333">
        <v>414.93</v>
      </c>
      <c r="P333">
        <v>18542.84</v>
      </c>
      <c r="Q333" s="5">
        <f t="shared" si="40"/>
        <v>0.90565031982942434</v>
      </c>
      <c r="R333" s="5">
        <f t="shared" si="41"/>
        <v>9.1818716892289584E-2</v>
      </c>
      <c r="S333" s="5">
        <f t="shared" si="42"/>
        <v>0.69230769230769229</v>
      </c>
      <c r="T333" s="5">
        <f t="shared" si="43"/>
        <v>0.10185185185185185</v>
      </c>
      <c r="U333" s="5">
        <f t="shared" si="44"/>
        <v>6.4743967039434958E-3</v>
      </c>
      <c r="V333" s="6">
        <f t="shared" si="45"/>
        <v>1.9209722222222223</v>
      </c>
      <c r="W333" s="7">
        <f t="shared" si="46"/>
        <v>1.3299038461538462</v>
      </c>
      <c r="X333" s="5">
        <f t="shared" si="47"/>
        <v>43.689080085797606</v>
      </c>
    </row>
    <row r="334" spans="1:24" x14ac:dyDescent="0.35">
      <c r="A334" s="3">
        <v>46077</v>
      </c>
      <c r="B334" t="s">
        <v>325</v>
      </c>
      <c r="C334" t="s">
        <v>503</v>
      </c>
      <c r="D334" t="s">
        <v>18</v>
      </c>
      <c r="E334" t="s">
        <v>25</v>
      </c>
      <c r="F334" t="s">
        <v>20</v>
      </c>
      <c r="G334" t="s">
        <v>21</v>
      </c>
      <c r="H334" t="s">
        <v>37</v>
      </c>
      <c r="I334">
        <v>2419</v>
      </c>
      <c r="J334">
        <v>2039</v>
      </c>
      <c r="K334">
        <v>1875</v>
      </c>
      <c r="L334">
        <v>71</v>
      </c>
      <c r="M334">
        <v>37</v>
      </c>
      <c r="N334">
        <v>1</v>
      </c>
      <c r="O334">
        <v>276.23</v>
      </c>
      <c r="P334">
        <v>1137.44</v>
      </c>
      <c r="Q334" s="5">
        <f t="shared" si="40"/>
        <v>0.91956841589014227</v>
      </c>
      <c r="R334" s="5">
        <f t="shared" si="41"/>
        <v>3.7866666666666667E-2</v>
      </c>
      <c r="S334" s="5">
        <f t="shared" si="42"/>
        <v>0.52112676056338025</v>
      </c>
      <c r="T334" s="5">
        <f t="shared" si="43"/>
        <v>2.7027027027027029E-2</v>
      </c>
      <c r="U334" s="5">
        <f t="shared" si="44"/>
        <v>5.3333333333333336E-4</v>
      </c>
      <c r="V334" s="6">
        <f t="shared" si="45"/>
        <v>7.4656756756756764</v>
      </c>
      <c r="W334" s="7">
        <f t="shared" si="46"/>
        <v>3.8905633802816904</v>
      </c>
      <c r="X334" s="5">
        <f t="shared" si="47"/>
        <v>3.1177279803062663</v>
      </c>
    </row>
    <row r="335" spans="1:24" x14ac:dyDescent="0.35">
      <c r="A335" s="3">
        <v>46078</v>
      </c>
      <c r="B335" t="s">
        <v>504</v>
      </c>
      <c r="C335" t="s">
        <v>505</v>
      </c>
      <c r="D335" t="s">
        <v>18</v>
      </c>
      <c r="E335" t="s">
        <v>35</v>
      </c>
      <c r="F335" t="s">
        <v>20</v>
      </c>
      <c r="G335" t="s">
        <v>59</v>
      </c>
      <c r="H335" t="s">
        <v>28</v>
      </c>
      <c r="I335">
        <v>2505</v>
      </c>
      <c r="J335">
        <v>2313</v>
      </c>
      <c r="K335">
        <v>2135</v>
      </c>
      <c r="L335">
        <v>181</v>
      </c>
      <c r="M335">
        <v>97</v>
      </c>
      <c r="N335">
        <v>6</v>
      </c>
      <c r="O335">
        <v>275.27999999999997</v>
      </c>
      <c r="P335">
        <v>9539.68</v>
      </c>
      <c r="Q335" s="5">
        <f t="shared" si="40"/>
        <v>0.92304366623432776</v>
      </c>
      <c r="R335" s="5">
        <f t="shared" si="41"/>
        <v>8.4777517564402813E-2</v>
      </c>
      <c r="S335" s="5">
        <f t="shared" si="42"/>
        <v>0.53591160220994472</v>
      </c>
      <c r="T335" s="5">
        <f t="shared" si="43"/>
        <v>6.1855670103092786E-2</v>
      </c>
      <c r="U335" s="5">
        <f t="shared" si="44"/>
        <v>2.8103044496487119E-3</v>
      </c>
      <c r="V335" s="6">
        <f t="shared" si="45"/>
        <v>2.8379381443298968</v>
      </c>
      <c r="W335" s="7">
        <f t="shared" si="46"/>
        <v>1.5208839779005523</v>
      </c>
      <c r="X335" s="5">
        <f t="shared" si="47"/>
        <v>33.65446091252543</v>
      </c>
    </row>
    <row r="336" spans="1:24" x14ac:dyDescent="0.35">
      <c r="A336" s="3">
        <v>46078</v>
      </c>
      <c r="B336" t="s">
        <v>498</v>
      </c>
      <c r="C336" t="s">
        <v>506</v>
      </c>
      <c r="D336" t="s">
        <v>18</v>
      </c>
      <c r="E336" t="s">
        <v>19</v>
      </c>
      <c r="F336" t="s">
        <v>20</v>
      </c>
      <c r="G336" t="s">
        <v>27</v>
      </c>
      <c r="H336" t="s">
        <v>48</v>
      </c>
      <c r="I336">
        <v>1989</v>
      </c>
      <c r="J336">
        <v>1930</v>
      </c>
      <c r="K336">
        <v>1722</v>
      </c>
      <c r="L336">
        <v>24</v>
      </c>
      <c r="M336">
        <v>13</v>
      </c>
      <c r="N336">
        <v>0</v>
      </c>
      <c r="O336">
        <v>206.58</v>
      </c>
      <c r="P336">
        <v>0</v>
      </c>
      <c r="Q336" s="5">
        <f t="shared" si="40"/>
        <v>0.89222797927461139</v>
      </c>
      <c r="R336" s="5">
        <f t="shared" si="41"/>
        <v>1.3937282229965157E-2</v>
      </c>
      <c r="S336" s="5">
        <f t="shared" si="42"/>
        <v>0.54166666666666663</v>
      </c>
      <c r="T336" s="5">
        <f t="shared" si="43"/>
        <v>0</v>
      </c>
      <c r="U336" s="5">
        <f t="shared" si="44"/>
        <v>0</v>
      </c>
      <c r="V336" s="6">
        <f t="shared" si="45"/>
        <v>15.890769230769232</v>
      </c>
      <c r="W336" s="7">
        <f t="shared" si="46"/>
        <v>8.6074999999999999</v>
      </c>
      <c r="X336" s="5">
        <f t="shared" si="47"/>
        <v>-1</v>
      </c>
    </row>
    <row r="337" spans="1:24" x14ac:dyDescent="0.35">
      <c r="A337" s="3">
        <v>46078</v>
      </c>
      <c r="B337" t="s">
        <v>359</v>
      </c>
      <c r="C337" t="s">
        <v>507</v>
      </c>
      <c r="D337" t="s">
        <v>18</v>
      </c>
      <c r="E337" t="s">
        <v>56</v>
      </c>
      <c r="F337" t="s">
        <v>26</v>
      </c>
      <c r="G337" t="s">
        <v>36</v>
      </c>
      <c r="H337" t="s">
        <v>22</v>
      </c>
      <c r="I337">
        <v>4993</v>
      </c>
      <c r="J337">
        <v>4256</v>
      </c>
      <c r="K337">
        <v>3894</v>
      </c>
      <c r="L337">
        <v>235</v>
      </c>
      <c r="M337">
        <v>136</v>
      </c>
      <c r="N337">
        <v>8</v>
      </c>
      <c r="O337">
        <v>507.82</v>
      </c>
      <c r="P337">
        <v>6115.58</v>
      </c>
      <c r="Q337" s="5">
        <f t="shared" si="40"/>
        <v>0.91494360902255634</v>
      </c>
      <c r="R337" s="5">
        <f t="shared" si="41"/>
        <v>6.0349255264509502E-2</v>
      </c>
      <c r="S337" s="5">
        <f t="shared" si="42"/>
        <v>0.5787234042553191</v>
      </c>
      <c r="T337" s="5">
        <f t="shared" si="43"/>
        <v>5.8823529411764705E-2</v>
      </c>
      <c r="U337" s="5">
        <f t="shared" si="44"/>
        <v>2.0544427324088342E-3</v>
      </c>
      <c r="V337" s="6">
        <f t="shared" si="45"/>
        <v>3.733970588235294</v>
      </c>
      <c r="W337" s="7">
        <f t="shared" si="46"/>
        <v>2.1609361702127661</v>
      </c>
      <c r="X337" s="5">
        <f t="shared" si="47"/>
        <v>11.042810444645742</v>
      </c>
    </row>
    <row r="338" spans="1:24" x14ac:dyDescent="0.35">
      <c r="A338" s="3">
        <v>46078</v>
      </c>
      <c r="B338" t="s">
        <v>451</v>
      </c>
      <c r="C338" t="s">
        <v>508</v>
      </c>
      <c r="D338" t="s">
        <v>18</v>
      </c>
      <c r="E338" t="s">
        <v>25</v>
      </c>
      <c r="F338" t="s">
        <v>26</v>
      </c>
      <c r="G338" t="s">
        <v>59</v>
      </c>
      <c r="H338" t="s">
        <v>51</v>
      </c>
      <c r="I338">
        <v>3429</v>
      </c>
      <c r="J338">
        <v>3163</v>
      </c>
      <c r="K338">
        <v>2934</v>
      </c>
      <c r="L338">
        <v>138</v>
      </c>
      <c r="M338">
        <v>96</v>
      </c>
      <c r="N338">
        <v>4</v>
      </c>
      <c r="O338">
        <v>326.69</v>
      </c>
      <c r="P338">
        <v>3787.12</v>
      </c>
      <c r="Q338" s="5">
        <f t="shared" si="40"/>
        <v>0.92760037938665829</v>
      </c>
      <c r="R338" s="5">
        <f t="shared" si="41"/>
        <v>4.7034764826175871E-2</v>
      </c>
      <c r="S338" s="5">
        <f t="shared" si="42"/>
        <v>0.69565217391304346</v>
      </c>
      <c r="T338" s="5">
        <f t="shared" si="43"/>
        <v>4.1666666666666664E-2</v>
      </c>
      <c r="U338" s="5">
        <f t="shared" si="44"/>
        <v>1.3633265167007499E-3</v>
      </c>
      <c r="V338" s="6">
        <f t="shared" si="45"/>
        <v>3.4030208333333332</v>
      </c>
      <c r="W338" s="7">
        <f t="shared" si="46"/>
        <v>2.3673188405797103</v>
      </c>
      <c r="X338" s="5">
        <f t="shared" si="47"/>
        <v>10.592396461477241</v>
      </c>
    </row>
    <row r="339" spans="1:24" x14ac:dyDescent="0.35">
      <c r="A339" s="3">
        <v>46078</v>
      </c>
      <c r="B339" t="s">
        <v>363</v>
      </c>
      <c r="C339" t="s">
        <v>509</v>
      </c>
      <c r="D339" t="s">
        <v>18</v>
      </c>
      <c r="E339" t="s">
        <v>19</v>
      </c>
      <c r="F339" t="s">
        <v>20</v>
      </c>
      <c r="G339" t="s">
        <v>27</v>
      </c>
      <c r="H339" t="s">
        <v>28</v>
      </c>
      <c r="I339">
        <v>2756</v>
      </c>
      <c r="J339">
        <v>2610</v>
      </c>
      <c r="K339">
        <v>2443</v>
      </c>
      <c r="L339">
        <v>33</v>
      </c>
      <c r="M339">
        <v>13</v>
      </c>
      <c r="N339">
        <v>0</v>
      </c>
      <c r="O339">
        <v>349.55</v>
      </c>
      <c r="P339">
        <v>0</v>
      </c>
      <c r="Q339" s="5">
        <f t="shared" si="40"/>
        <v>0.93601532567049806</v>
      </c>
      <c r="R339" s="5">
        <f t="shared" si="41"/>
        <v>1.3507981989357348E-2</v>
      </c>
      <c r="S339" s="5">
        <f t="shared" si="42"/>
        <v>0.39393939393939392</v>
      </c>
      <c r="T339" s="5">
        <f t="shared" si="43"/>
        <v>0</v>
      </c>
      <c r="U339" s="5">
        <f t="shared" si="44"/>
        <v>0</v>
      </c>
      <c r="V339" s="6">
        <f t="shared" si="45"/>
        <v>26.888461538461538</v>
      </c>
      <c r="W339" s="7">
        <f t="shared" si="46"/>
        <v>10.592424242424244</v>
      </c>
      <c r="X339" s="5">
        <f t="shared" si="47"/>
        <v>-1</v>
      </c>
    </row>
    <row r="340" spans="1:24" x14ac:dyDescent="0.35">
      <c r="A340" s="3">
        <v>46078</v>
      </c>
      <c r="B340" t="s">
        <v>510</v>
      </c>
      <c r="C340" t="s">
        <v>511</v>
      </c>
      <c r="D340" t="s">
        <v>34</v>
      </c>
      <c r="E340" t="s">
        <v>56</v>
      </c>
      <c r="F340" t="s">
        <v>26</v>
      </c>
      <c r="G340" t="s">
        <v>59</v>
      </c>
      <c r="H340" t="s">
        <v>28</v>
      </c>
      <c r="I340">
        <v>2778</v>
      </c>
      <c r="J340">
        <v>2632</v>
      </c>
      <c r="K340">
        <v>2571</v>
      </c>
      <c r="L340">
        <v>153</v>
      </c>
      <c r="M340">
        <v>80</v>
      </c>
      <c r="N340">
        <v>4</v>
      </c>
      <c r="O340">
        <v>249.81</v>
      </c>
      <c r="P340">
        <v>5889.75</v>
      </c>
      <c r="Q340" s="5">
        <f t="shared" si="40"/>
        <v>0.97682370820668696</v>
      </c>
      <c r="R340" s="5">
        <f t="shared" si="41"/>
        <v>5.9509918319719954E-2</v>
      </c>
      <c r="S340" s="5">
        <f t="shared" si="42"/>
        <v>0.52287581699346408</v>
      </c>
      <c r="T340" s="5">
        <f t="shared" si="43"/>
        <v>0.05</v>
      </c>
      <c r="U340" s="5">
        <f t="shared" si="44"/>
        <v>1.5558148580318942E-3</v>
      </c>
      <c r="V340" s="6">
        <f t="shared" si="45"/>
        <v>3.1226250000000002</v>
      </c>
      <c r="W340" s="7">
        <f t="shared" si="46"/>
        <v>1.6327450980392157</v>
      </c>
      <c r="X340" s="5">
        <f t="shared" si="47"/>
        <v>22.5769184580281</v>
      </c>
    </row>
    <row r="341" spans="1:24" x14ac:dyDescent="0.35">
      <c r="A341" s="3">
        <v>46079</v>
      </c>
      <c r="B341" t="s">
        <v>352</v>
      </c>
      <c r="C341" t="s">
        <v>512</v>
      </c>
      <c r="D341" t="s">
        <v>34</v>
      </c>
      <c r="E341" t="s">
        <v>19</v>
      </c>
      <c r="F341" t="s">
        <v>20</v>
      </c>
      <c r="G341" t="s">
        <v>21</v>
      </c>
      <c r="H341" t="s">
        <v>28</v>
      </c>
      <c r="I341">
        <v>4574</v>
      </c>
      <c r="J341">
        <v>4285</v>
      </c>
      <c r="K341">
        <v>4097</v>
      </c>
      <c r="L341">
        <v>74</v>
      </c>
      <c r="M341">
        <v>30</v>
      </c>
      <c r="N341">
        <v>1</v>
      </c>
      <c r="O341">
        <v>360.3</v>
      </c>
      <c r="P341">
        <v>581.20000000000005</v>
      </c>
      <c r="Q341" s="5">
        <f t="shared" si="40"/>
        <v>0.95612602100350064</v>
      </c>
      <c r="R341" s="5">
        <f t="shared" si="41"/>
        <v>1.806199658286551E-2</v>
      </c>
      <c r="S341" s="5">
        <f t="shared" si="42"/>
        <v>0.40540540540540543</v>
      </c>
      <c r="T341" s="5">
        <f t="shared" si="43"/>
        <v>3.3333333333333333E-2</v>
      </c>
      <c r="U341" s="5">
        <f t="shared" si="44"/>
        <v>2.4408103490358799E-4</v>
      </c>
      <c r="V341" s="6">
        <f t="shared" si="45"/>
        <v>12.01</v>
      </c>
      <c r="W341" s="7">
        <f t="shared" si="46"/>
        <v>4.8689189189189195</v>
      </c>
      <c r="X341" s="5">
        <f t="shared" si="47"/>
        <v>0.61310019428254237</v>
      </c>
    </row>
    <row r="342" spans="1:24" x14ac:dyDescent="0.35">
      <c r="A342" s="3">
        <v>46079</v>
      </c>
      <c r="B342" t="s">
        <v>365</v>
      </c>
      <c r="C342" t="s">
        <v>513</v>
      </c>
      <c r="D342" t="s">
        <v>18</v>
      </c>
      <c r="E342" t="s">
        <v>25</v>
      </c>
      <c r="F342" t="s">
        <v>20</v>
      </c>
      <c r="G342" t="s">
        <v>36</v>
      </c>
      <c r="H342" t="s">
        <v>22</v>
      </c>
      <c r="I342">
        <v>2867</v>
      </c>
      <c r="J342">
        <v>2598</v>
      </c>
      <c r="K342">
        <v>2342</v>
      </c>
      <c r="L342">
        <v>86</v>
      </c>
      <c r="M342">
        <v>45</v>
      </c>
      <c r="N342">
        <v>1</v>
      </c>
      <c r="O342">
        <v>271.98</v>
      </c>
      <c r="P342">
        <v>758.98</v>
      </c>
      <c r="Q342" s="5">
        <f t="shared" si="40"/>
        <v>0.90146266358737492</v>
      </c>
      <c r="R342" s="5">
        <f t="shared" si="41"/>
        <v>3.6720751494449186E-2</v>
      </c>
      <c r="S342" s="5">
        <f t="shared" si="42"/>
        <v>0.52325581395348841</v>
      </c>
      <c r="T342" s="5">
        <f t="shared" si="43"/>
        <v>2.2222222222222223E-2</v>
      </c>
      <c r="U342" s="5">
        <f t="shared" si="44"/>
        <v>4.2698548249359521E-4</v>
      </c>
      <c r="V342" s="6">
        <f t="shared" si="45"/>
        <v>6.0440000000000005</v>
      </c>
      <c r="W342" s="7">
        <f t="shared" si="46"/>
        <v>3.1625581395348838</v>
      </c>
      <c r="X342" s="5">
        <f t="shared" si="47"/>
        <v>1.7905728362379585</v>
      </c>
    </row>
    <row r="343" spans="1:24" x14ac:dyDescent="0.35">
      <c r="A343" s="3">
        <v>46079</v>
      </c>
      <c r="B343" t="s">
        <v>514</v>
      </c>
      <c r="C343" t="s">
        <v>515</v>
      </c>
      <c r="D343" t="s">
        <v>18</v>
      </c>
      <c r="E343" t="s">
        <v>25</v>
      </c>
      <c r="F343" t="s">
        <v>20</v>
      </c>
      <c r="G343" t="s">
        <v>21</v>
      </c>
      <c r="H343" t="s">
        <v>22</v>
      </c>
      <c r="I343">
        <v>4004</v>
      </c>
      <c r="J343">
        <v>3594</v>
      </c>
      <c r="K343">
        <v>3252</v>
      </c>
      <c r="L343">
        <v>158</v>
      </c>
      <c r="M343">
        <v>89</v>
      </c>
      <c r="N343">
        <v>3</v>
      </c>
      <c r="O343">
        <v>483.67</v>
      </c>
      <c r="P343">
        <v>2641.56</v>
      </c>
      <c r="Q343" s="5">
        <f t="shared" si="40"/>
        <v>0.90484140233722876</v>
      </c>
      <c r="R343" s="5">
        <f t="shared" si="41"/>
        <v>4.858548585485855E-2</v>
      </c>
      <c r="S343" s="5">
        <f t="shared" si="42"/>
        <v>0.56329113924050633</v>
      </c>
      <c r="T343" s="5">
        <f t="shared" si="43"/>
        <v>3.3707865168539325E-2</v>
      </c>
      <c r="U343" s="5">
        <f t="shared" si="44"/>
        <v>9.225092250922509E-4</v>
      </c>
      <c r="V343" s="6">
        <f t="shared" si="45"/>
        <v>5.4344943820224723</v>
      </c>
      <c r="W343" s="7">
        <f t="shared" si="46"/>
        <v>3.0612025316455695</v>
      </c>
      <c r="X343" s="5">
        <f t="shared" si="47"/>
        <v>4.4614923398184709</v>
      </c>
    </row>
    <row r="344" spans="1:24" x14ac:dyDescent="0.35">
      <c r="A344" s="3">
        <v>46079</v>
      </c>
      <c r="B344" t="s">
        <v>368</v>
      </c>
      <c r="C344" t="s">
        <v>516</v>
      </c>
      <c r="D344" t="s">
        <v>31</v>
      </c>
      <c r="E344" t="s">
        <v>19</v>
      </c>
      <c r="F344" t="s">
        <v>20</v>
      </c>
      <c r="G344" t="s">
        <v>41</v>
      </c>
      <c r="H344" t="s">
        <v>48</v>
      </c>
      <c r="I344">
        <v>2353</v>
      </c>
      <c r="J344">
        <v>1941</v>
      </c>
      <c r="K344">
        <v>1875</v>
      </c>
      <c r="L344">
        <v>11</v>
      </c>
      <c r="M344">
        <v>4</v>
      </c>
      <c r="N344">
        <v>0</v>
      </c>
      <c r="O344">
        <v>357.45</v>
      </c>
      <c r="P344">
        <v>0</v>
      </c>
      <c r="Q344" s="5">
        <f t="shared" si="40"/>
        <v>0.96599690880989186</v>
      </c>
      <c r="R344" s="5">
        <f t="shared" si="41"/>
        <v>5.8666666666666667E-3</v>
      </c>
      <c r="S344" s="5">
        <f t="shared" si="42"/>
        <v>0.36363636363636365</v>
      </c>
      <c r="T344" s="5">
        <f t="shared" si="43"/>
        <v>0</v>
      </c>
      <c r="U344" s="5">
        <f t="shared" si="44"/>
        <v>0</v>
      </c>
      <c r="V344" s="6">
        <f t="shared" si="45"/>
        <v>89.362499999999997</v>
      </c>
      <c r="W344" s="7">
        <f t="shared" si="46"/>
        <v>32.495454545454542</v>
      </c>
      <c r="X344" s="5">
        <f t="shared" si="47"/>
        <v>-1</v>
      </c>
    </row>
    <row r="345" spans="1:24" x14ac:dyDescent="0.35">
      <c r="A345" s="3">
        <v>46079</v>
      </c>
      <c r="B345" t="s">
        <v>371</v>
      </c>
      <c r="C345" t="s">
        <v>517</v>
      </c>
      <c r="D345" t="s">
        <v>34</v>
      </c>
      <c r="E345" t="s">
        <v>35</v>
      </c>
      <c r="F345" t="s">
        <v>20</v>
      </c>
      <c r="G345" t="s">
        <v>59</v>
      </c>
      <c r="H345" t="s">
        <v>37</v>
      </c>
      <c r="I345">
        <v>2324</v>
      </c>
      <c r="J345">
        <v>1762</v>
      </c>
      <c r="K345">
        <v>1643</v>
      </c>
      <c r="L345">
        <v>100</v>
      </c>
      <c r="M345">
        <v>44</v>
      </c>
      <c r="N345">
        <v>3</v>
      </c>
      <c r="O345">
        <v>160.07</v>
      </c>
      <c r="P345">
        <v>3200.91</v>
      </c>
      <c r="Q345" s="5">
        <f t="shared" si="40"/>
        <v>0.93246311010215666</v>
      </c>
      <c r="R345" s="5">
        <f t="shared" si="41"/>
        <v>6.0864272671941569E-2</v>
      </c>
      <c r="S345" s="5">
        <f t="shared" si="42"/>
        <v>0.44</v>
      </c>
      <c r="T345" s="5">
        <f t="shared" si="43"/>
        <v>6.8181818181818177E-2</v>
      </c>
      <c r="U345" s="5">
        <f t="shared" si="44"/>
        <v>1.8259281801582471E-3</v>
      </c>
      <c r="V345" s="6">
        <f t="shared" si="45"/>
        <v>3.6379545454545452</v>
      </c>
      <c r="W345" s="7">
        <f t="shared" si="46"/>
        <v>1.6007</v>
      </c>
      <c r="X345" s="5">
        <f t="shared" si="47"/>
        <v>18.996938839257822</v>
      </c>
    </row>
    <row r="346" spans="1:24" x14ac:dyDescent="0.35">
      <c r="A346" s="3">
        <v>46079</v>
      </c>
      <c r="B346" t="s">
        <v>510</v>
      </c>
      <c r="C346" t="s">
        <v>518</v>
      </c>
      <c r="D346" t="s">
        <v>18</v>
      </c>
      <c r="E346" t="s">
        <v>19</v>
      </c>
      <c r="F346" t="s">
        <v>20</v>
      </c>
      <c r="G346" t="s">
        <v>27</v>
      </c>
      <c r="H346" t="s">
        <v>37</v>
      </c>
      <c r="I346">
        <v>4521</v>
      </c>
      <c r="J346">
        <v>3564</v>
      </c>
      <c r="K346">
        <v>3223</v>
      </c>
      <c r="L346">
        <v>61</v>
      </c>
      <c r="M346">
        <v>23</v>
      </c>
      <c r="N346">
        <v>0</v>
      </c>
      <c r="O346">
        <v>449.92</v>
      </c>
      <c r="P346">
        <v>0</v>
      </c>
      <c r="Q346" s="5">
        <f t="shared" si="40"/>
        <v>0.90432098765432101</v>
      </c>
      <c r="R346" s="5">
        <f t="shared" si="41"/>
        <v>1.8926466025442134E-2</v>
      </c>
      <c r="S346" s="5">
        <f t="shared" si="42"/>
        <v>0.37704918032786883</v>
      </c>
      <c r="T346" s="5">
        <f t="shared" si="43"/>
        <v>0</v>
      </c>
      <c r="U346" s="5">
        <f t="shared" si="44"/>
        <v>0</v>
      </c>
      <c r="V346" s="6">
        <f t="shared" si="45"/>
        <v>19.561739130434784</v>
      </c>
      <c r="W346" s="7">
        <f t="shared" si="46"/>
        <v>7.3757377049180333</v>
      </c>
      <c r="X346" s="5">
        <f t="shared" si="47"/>
        <v>-1</v>
      </c>
    </row>
    <row r="347" spans="1:24" x14ac:dyDescent="0.35">
      <c r="A347" s="3">
        <v>46079</v>
      </c>
      <c r="B347" t="s">
        <v>439</v>
      </c>
      <c r="C347" t="s">
        <v>519</v>
      </c>
      <c r="D347" t="s">
        <v>31</v>
      </c>
      <c r="E347" t="s">
        <v>35</v>
      </c>
      <c r="F347" t="s">
        <v>26</v>
      </c>
      <c r="G347" t="s">
        <v>41</v>
      </c>
      <c r="H347" t="s">
        <v>51</v>
      </c>
      <c r="I347">
        <v>3806</v>
      </c>
      <c r="J347">
        <v>2771</v>
      </c>
      <c r="K347">
        <v>2668</v>
      </c>
      <c r="L347">
        <v>135</v>
      </c>
      <c r="M347">
        <v>63</v>
      </c>
      <c r="N347">
        <v>7</v>
      </c>
      <c r="O347">
        <v>547.12</v>
      </c>
      <c r="P347">
        <v>6773.79</v>
      </c>
      <c r="Q347" s="5">
        <f t="shared" si="40"/>
        <v>0.9628293035005413</v>
      </c>
      <c r="R347" s="5">
        <f t="shared" si="41"/>
        <v>5.0599700149925035E-2</v>
      </c>
      <c r="S347" s="5">
        <f t="shared" si="42"/>
        <v>0.46666666666666667</v>
      </c>
      <c r="T347" s="5">
        <f t="shared" si="43"/>
        <v>0.1111111111111111</v>
      </c>
      <c r="U347" s="5">
        <f t="shared" si="44"/>
        <v>2.6236881559220391E-3</v>
      </c>
      <c r="V347" s="6">
        <f t="shared" si="45"/>
        <v>8.6844444444444449</v>
      </c>
      <c r="W347" s="7">
        <f t="shared" si="46"/>
        <v>4.0527407407407408</v>
      </c>
      <c r="X347" s="5">
        <f t="shared" si="47"/>
        <v>11.380812253253399</v>
      </c>
    </row>
    <row r="348" spans="1:24" x14ac:dyDescent="0.35">
      <c r="A348" s="3">
        <v>46080</v>
      </c>
      <c r="B348" t="s">
        <v>384</v>
      </c>
      <c r="C348" t="s">
        <v>520</v>
      </c>
      <c r="D348" t="s">
        <v>34</v>
      </c>
      <c r="E348" t="s">
        <v>56</v>
      </c>
      <c r="F348" t="s">
        <v>20</v>
      </c>
      <c r="G348" t="s">
        <v>21</v>
      </c>
      <c r="H348" t="s">
        <v>28</v>
      </c>
      <c r="I348">
        <v>3701</v>
      </c>
      <c r="J348">
        <v>2900</v>
      </c>
      <c r="K348">
        <v>2796</v>
      </c>
      <c r="L348">
        <v>157</v>
      </c>
      <c r="M348">
        <v>71</v>
      </c>
      <c r="N348">
        <v>3</v>
      </c>
      <c r="O348">
        <v>218.56</v>
      </c>
      <c r="P348">
        <v>3688.53</v>
      </c>
      <c r="Q348" s="5">
        <f t="shared" si="40"/>
        <v>0.96413793103448275</v>
      </c>
      <c r="R348" s="5">
        <f t="shared" si="41"/>
        <v>5.6151645207439198E-2</v>
      </c>
      <c r="S348" s="5">
        <f t="shared" si="42"/>
        <v>0.45222929936305734</v>
      </c>
      <c r="T348" s="5">
        <f t="shared" si="43"/>
        <v>4.2253521126760563E-2</v>
      </c>
      <c r="U348" s="5">
        <f t="shared" si="44"/>
        <v>1.0729613733905579E-3</v>
      </c>
      <c r="V348" s="6">
        <f t="shared" si="45"/>
        <v>3.0783098591549298</v>
      </c>
      <c r="W348" s="7">
        <f t="shared" si="46"/>
        <v>1.3921019108280255</v>
      </c>
      <c r="X348" s="5">
        <f t="shared" si="47"/>
        <v>15.876509882869694</v>
      </c>
    </row>
    <row r="349" spans="1:24" x14ac:dyDescent="0.35">
      <c r="A349" s="3">
        <v>46080</v>
      </c>
      <c r="B349" t="s">
        <v>521</v>
      </c>
      <c r="C349" t="s">
        <v>522</v>
      </c>
      <c r="D349" t="s">
        <v>31</v>
      </c>
      <c r="E349" t="s">
        <v>25</v>
      </c>
      <c r="F349" t="s">
        <v>20</v>
      </c>
      <c r="G349" t="s">
        <v>21</v>
      </c>
      <c r="H349" t="s">
        <v>22</v>
      </c>
      <c r="I349">
        <v>2361</v>
      </c>
      <c r="J349">
        <v>1927</v>
      </c>
      <c r="K349">
        <v>1836</v>
      </c>
      <c r="L349">
        <v>28</v>
      </c>
      <c r="M349">
        <v>9</v>
      </c>
      <c r="N349">
        <v>0</v>
      </c>
      <c r="O349">
        <v>412.36</v>
      </c>
      <c r="P349">
        <v>0</v>
      </c>
      <c r="Q349" s="5">
        <f t="shared" si="40"/>
        <v>0.95277633627400105</v>
      </c>
      <c r="R349" s="5">
        <f t="shared" si="41"/>
        <v>1.5250544662309368E-2</v>
      </c>
      <c r="S349" s="5">
        <f t="shared" si="42"/>
        <v>0.32142857142857145</v>
      </c>
      <c r="T349" s="5">
        <f t="shared" si="43"/>
        <v>0</v>
      </c>
      <c r="U349" s="5">
        <f t="shared" si="44"/>
        <v>0</v>
      </c>
      <c r="V349" s="6">
        <f t="shared" si="45"/>
        <v>45.817777777777778</v>
      </c>
      <c r="W349" s="7">
        <f t="shared" si="46"/>
        <v>14.727142857142857</v>
      </c>
      <c r="X349" s="5">
        <f t="shared" si="47"/>
        <v>-1</v>
      </c>
    </row>
    <row r="350" spans="1:24" x14ac:dyDescent="0.35">
      <c r="A350" s="3">
        <v>46080</v>
      </c>
      <c r="B350" t="s">
        <v>523</v>
      </c>
      <c r="C350" t="s">
        <v>524</v>
      </c>
      <c r="D350" t="s">
        <v>18</v>
      </c>
      <c r="E350" t="s">
        <v>19</v>
      </c>
      <c r="F350" t="s">
        <v>26</v>
      </c>
      <c r="G350" t="s">
        <v>21</v>
      </c>
      <c r="H350" t="s">
        <v>37</v>
      </c>
      <c r="I350">
        <v>1635</v>
      </c>
      <c r="J350">
        <v>1605</v>
      </c>
      <c r="K350">
        <v>1469</v>
      </c>
      <c r="L350">
        <v>34</v>
      </c>
      <c r="M350">
        <v>23</v>
      </c>
      <c r="N350">
        <v>1</v>
      </c>
      <c r="O350">
        <v>172.56</v>
      </c>
      <c r="P350">
        <v>1125.2</v>
      </c>
      <c r="Q350" s="5">
        <f t="shared" si="40"/>
        <v>0.91526479750778811</v>
      </c>
      <c r="R350" s="5">
        <f t="shared" si="41"/>
        <v>2.3144996596324029E-2</v>
      </c>
      <c r="S350" s="5">
        <f t="shared" si="42"/>
        <v>0.67647058823529416</v>
      </c>
      <c r="T350" s="5">
        <f t="shared" si="43"/>
        <v>4.3478260869565216E-2</v>
      </c>
      <c r="U350" s="5">
        <f t="shared" si="44"/>
        <v>6.8073519400953025E-4</v>
      </c>
      <c r="V350" s="6">
        <f t="shared" si="45"/>
        <v>7.5026086956521736</v>
      </c>
      <c r="W350" s="7">
        <f t="shared" si="46"/>
        <v>5.0752941176470587</v>
      </c>
      <c r="X350" s="5">
        <f t="shared" si="47"/>
        <v>5.5206305053314795</v>
      </c>
    </row>
    <row r="351" spans="1:24" x14ac:dyDescent="0.35">
      <c r="A351" s="3">
        <v>46080</v>
      </c>
      <c r="B351" t="s">
        <v>348</v>
      </c>
      <c r="C351" t="s">
        <v>525</v>
      </c>
      <c r="D351" t="s">
        <v>40</v>
      </c>
      <c r="E351" t="s">
        <v>25</v>
      </c>
      <c r="F351" t="s">
        <v>20</v>
      </c>
      <c r="G351" t="s">
        <v>59</v>
      </c>
      <c r="H351" t="s">
        <v>48</v>
      </c>
      <c r="I351">
        <v>3174</v>
      </c>
      <c r="J351">
        <v>2401</v>
      </c>
      <c r="K351">
        <v>2201</v>
      </c>
      <c r="L351">
        <v>79</v>
      </c>
      <c r="M351">
        <v>38</v>
      </c>
      <c r="N351">
        <v>1</v>
      </c>
      <c r="O351">
        <v>324.91000000000003</v>
      </c>
      <c r="P351">
        <v>860.02</v>
      </c>
      <c r="Q351" s="5">
        <f t="shared" si="40"/>
        <v>0.91670137442732191</v>
      </c>
      <c r="R351" s="5">
        <f t="shared" si="41"/>
        <v>3.5892776010904133E-2</v>
      </c>
      <c r="S351" s="5">
        <f t="shared" si="42"/>
        <v>0.48101265822784811</v>
      </c>
      <c r="T351" s="5">
        <f t="shared" si="43"/>
        <v>2.6315789473684209E-2</v>
      </c>
      <c r="U351" s="5">
        <f t="shared" si="44"/>
        <v>4.5433893684688776E-4</v>
      </c>
      <c r="V351" s="6">
        <f t="shared" si="45"/>
        <v>8.5502631578947383</v>
      </c>
      <c r="W351" s="7">
        <f t="shared" si="46"/>
        <v>4.1127848101265823</v>
      </c>
      <c r="X351" s="5">
        <f t="shared" si="47"/>
        <v>1.6469483857068108</v>
      </c>
    </row>
    <row r="352" spans="1:24" x14ac:dyDescent="0.35">
      <c r="A352" s="3">
        <v>46081</v>
      </c>
      <c r="B352" t="s">
        <v>412</v>
      </c>
      <c r="C352" t="s">
        <v>526</v>
      </c>
      <c r="D352" t="s">
        <v>18</v>
      </c>
      <c r="E352" t="s">
        <v>19</v>
      </c>
      <c r="F352" t="s">
        <v>20</v>
      </c>
      <c r="G352" t="s">
        <v>41</v>
      </c>
      <c r="H352" t="s">
        <v>22</v>
      </c>
      <c r="I352">
        <v>1756</v>
      </c>
      <c r="J352">
        <v>1721</v>
      </c>
      <c r="K352">
        <v>1557</v>
      </c>
      <c r="L352">
        <v>15</v>
      </c>
      <c r="M352">
        <v>8</v>
      </c>
      <c r="N352">
        <v>0</v>
      </c>
      <c r="O352">
        <v>224.04</v>
      </c>
      <c r="P352">
        <v>0</v>
      </c>
      <c r="Q352" s="5">
        <f t="shared" si="40"/>
        <v>0.90470656595002907</v>
      </c>
      <c r="R352" s="5">
        <f t="shared" si="41"/>
        <v>9.6339113680154135E-3</v>
      </c>
      <c r="S352" s="5">
        <f t="shared" si="42"/>
        <v>0.53333333333333333</v>
      </c>
      <c r="T352" s="5">
        <f t="shared" si="43"/>
        <v>0</v>
      </c>
      <c r="U352" s="5">
        <f t="shared" si="44"/>
        <v>0</v>
      </c>
      <c r="V352" s="6">
        <f t="shared" si="45"/>
        <v>28.004999999999999</v>
      </c>
      <c r="W352" s="7">
        <f t="shared" si="46"/>
        <v>14.936</v>
      </c>
      <c r="X352" s="5">
        <f t="shared" si="47"/>
        <v>-1</v>
      </c>
    </row>
    <row r="353" spans="1:24" x14ac:dyDescent="0.35">
      <c r="A353" s="3">
        <v>46081</v>
      </c>
      <c r="B353" t="s">
        <v>329</v>
      </c>
      <c r="C353" t="s">
        <v>527</v>
      </c>
      <c r="D353" t="s">
        <v>34</v>
      </c>
      <c r="E353" t="s">
        <v>19</v>
      </c>
      <c r="F353" t="s">
        <v>20</v>
      </c>
      <c r="G353" t="s">
        <v>21</v>
      </c>
      <c r="H353" t="s">
        <v>22</v>
      </c>
      <c r="I353">
        <v>2303</v>
      </c>
      <c r="J353">
        <v>1900</v>
      </c>
      <c r="K353">
        <v>1816</v>
      </c>
      <c r="L353">
        <v>23</v>
      </c>
      <c r="M353">
        <v>11</v>
      </c>
      <c r="N353">
        <v>0</v>
      </c>
      <c r="O353">
        <v>160.56</v>
      </c>
      <c r="P353">
        <v>0</v>
      </c>
      <c r="Q353" s="5">
        <f t="shared" si="40"/>
        <v>0.95578947368421052</v>
      </c>
      <c r="R353" s="5">
        <f t="shared" si="41"/>
        <v>1.2665198237885462E-2</v>
      </c>
      <c r="S353" s="5">
        <f t="shared" si="42"/>
        <v>0.47826086956521741</v>
      </c>
      <c r="T353" s="5">
        <f t="shared" si="43"/>
        <v>0</v>
      </c>
      <c r="U353" s="5">
        <f t="shared" si="44"/>
        <v>0</v>
      </c>
      <c r="V353" s="6">
        <f t="shared" si="45"/>
        <v>14.596363636363636</v>
      </c>
      <c r="W353" s="7">
        <f t="shared" si="46"/>
        <v>6.9808695652173913</v>
      </c>
      <c r="X353" s="5">
        <f t="shared" si="47"/>
        <v>-1</v>
      </c>
    </row>
    <row r="354" spans="1:24" x14ac:dyDescent="0.35">
      <c r="A354" s="3">
        <v>46081</v>
      </c>
      <c r="B354" t="s">
        <v>343</v>
      </c>
      <c r="C354" t="s">
        <v>528</v>
      </c>
      <c r="D354" t="s">
        <v>34</v>
      </c>
      <c r="E354" t="s">
        <v>25</v>
      </c>
      <c r="F354" t="s">
        <v>26</v>
      </c>
      <c r="G354" t="s">
        <v>36</v>
      </c>
      <c r="H354" t="s">
        <v>22</v>
      </c>
      <c r="I354">
        <v>1808</v>
      </c>
      <c r="J354">
        <v>1430</v>
      </c>
      <c r="K354">
        <v>1317</v>
      </c>
      <c r="L354">
        <v>72</v>
      </c>
      <c r="M354">
        <v>41</v>
      </c>
      <c r="N354">
        <v>3</v>
      </c>
      <c r="O354">
        <v>109.48</v>
      </c>
      <c r="P354">
        <v>3447.72</v>
      </c>
      <c r="Q354" s="5">
        <f t="shared" si="40"/>
        <v>0.92097902097902096</v>
      </c>
      <c r="R354" s="5">
        <f t="shared" si="41"/>
        <v>5.4669703872437359E-2</v>
      </c>
      <c r="S354" s="5">
        <f t="shared" si="42"/>
        <v>0.56944444444444442</v>
      </c>
      <c r="T354" s="5">
        <f t="shared" si="43"/>
        <v>7.3170731707317069E-2</v>
      </c>
      <c r="U354" s="5">
        <f t="shared" si="44"/>
        <v>2.2779043280182231E-3</v>
      </c>
      <c r="V354" s="6">
        <f t="shared" si="45"/>
        <v>2.6702439024390245</v>
      </c>
      <c r="W354" s="7">
        <f t="shared" si="46"/>
        <v>1.5205555555555557</v>
      </c>
      <c r="X354" s="5">
        <f t="shared" si="47"/>
        <v>30.49177932042382</v>
      </c>
    </row>
    <row r="355" spans="1:24" x14ac:dyDescent="0.35">
      <c r="A355" s="3">
        <v>46081</v>
      </c>
      <c r="B355" t="s">
        <v>343</v>
      </c>
      <c r="C355" t="s">
        <v>529</v>
      </c>
      <c r="D355" t="s">
        <v>34</v>
      </c>
      <c r="E355" t="s">
        <v>25</v>
      </c>
      <c r="F355" t="s">
        <v>20</v>
      </c>
      <c r="G355" t="s">
        <v>36</v>
      </c>
      <c r="H355" t="s">
        <v>37</v>
      </c>
      <c r="I355">
        <v>2789</v>
      </c>
      <c r="J355">
        <v>2039</v>
      </c>
      <c r="K355">
        <v>1911</v>
      </c>
      <c r="L355">
        <v>46</v>
      </c>
      <c r="M355">
        <v>19</v>
      </c>
      <c r="N355">
        <v>0</v>
      </c>
      <c r="O355">
        <v>188.64</v>
      </c>
      <c r="P355">
        <v>0</v>
      </c>
      <c r="Q355" s="5">
        <f t="shared" si="40"/>
        <v>0.93722412947523293</v>
      </c>
      <c r="R355" s="5">
        <f t="shared" si="41"/>
        <v>2.4071166928309785E-2</v>
      </c>
      <c r="S355" s="5">
        <f t="shared" si="42"/>
        <v>0.41304347826086957</v>
      </c>
      <c r="T355" s="5">
        <f t="shared" si="43"/>
        <v>0</v>
      </c>
      <c r="U355" s="5">
        <f t="shared" si="44"/>
        <v>0</v>
      </c>
      <c r="V355" s="6">
        <f t="shared" si="45"/>
        <v>9.9284210526315775</v>
      </c>
      <c r="W355" s="7">
        <f t="shared" si="46"/>
        <v>4.1008695652173914</v>
      </c>
      <c r="X355" s="5">
        <f t="shared" si="47"/>
        <v>-1</v>
      </c>
    </row>
    <row r="356" spans="1:24" x14ac:dyDescent="0.35">
      <c r="A356" s="3">
        <v>46081</v>
      </c>
      <c r="B356" t="s">
        <v>530</v>
      </c>
      <c r="C356" t="s">
        <v>531</v>
      </c>
      <c r="D356" t="s">
        <v>31</v>
      </c>
      <c r="E356" t="s">
        <v>25</v>
      </c>
      <c r="F356" t="s">
        <v>26</v>
      </c>
      <c r="G356" t="s">
        <v>27</v>
      </c>
      <c r="H356" t="s">
        <v>22</v>
      </c>
      <c r="I356">
        <v>860</v>
      </c>
      <c r="J356">
        <v>815</v>
      </c>
      <c r="K356">
        <v>767</v>
      </c>
      <c r="L356">
        <v>36</v>
      </c>
      <c r="M356">
        <v>16</v>
      </c>
      <c r="N356">
        <v>1</v>
      </c>
      <c r="O356">
        <v>142.41999999999999</v>
      </c>
      <c r="P356">
        <v>1494.71</v>
      </c>
      <c r="Q356" s="5">
        <f t="shared" si="40"/>
        <v>0.94110429447852761</v>
      </c>
      <c r="R356" s="5">
        <f t="shared" si="41"/>
        <v>4.6936114732724903E-2</v>
      </c>
      <c r="S356" s="5">
        <f t="shared" si="42"/>
        <v>0.44444444444444442</v>
      </c>
      <c r="T356" s="5">
        <f t="shared" si="43"/>
        <v>6.25E-2</v>
      </c>
      <c r="U356" s="5">
        <f t="shared" si="44"/>
        <v>1.3037809647979139E-3</v>
      </c>
      <c r="V356" s="6">
        <f t="shared" si="45"/>
        <v>8.9012499999999992</v>
      </c>
      <c r="W356" s="7">
        <f t="shared" si="46"/>
        <v>3.9561111111111109</v>
      </c>
      <c r="X356" s="5">
        <f t="shared" si="47"/>
        <v>9.4950849599775324</v>
      </c>
    </row>
    <row r="357" spans="1:24" x14ac:dyDescent="0.35">
      <c r="A357" s="3">
        <v>46081</v>
      </c>
      <c r="B357" t="s">
        <v>476</v>
      </c>
      <c r="C357" t="s">
        <v>532</v>
      </c>
      <c r="D357" t="s">
        <v>40</v>
      </c>
      <c r="E357" t="s">
        <v>19</v>
      </c>
      <c r="F357" t="s">
        <v>20</v>
      </c>
      <c r="G357" t="s">
        <v>41</v>
      </c>
      <c r="H357" t="s">
        <v>51</v>
      </c>
      <c r="I357">
        <v>4408</v>
      </c>
      <c r="J357">
        <v>3233</v>
      </c>
      <c r="K357">
        <v>3038</v>
      </c>
      <c r="L357">
        <v>44</v>
      </c>
      <c r="M357">
        <v>18</v>
      </c>
      <c r="N357">
        <v>0</v>
      </c>
      <c r="O357">
        <v>457.95</v>
      </c>
      <c r="P357">
        <v>0</v>
      </c>
      <c r="Q357" s="5">
        <f t="shared" si="40"/>
        <v>0.93968450355706779</v>
      </c>
      <c r="R357" s="5">
        <f t="shared" si="41"/>
        <v>1.4483212639894667E-2</v>
      </c>
      <c r="S357" s="5">
        <f t="shared" si="42"/>
        <v>0.40909090909090912</v>
      </c>
      <c r="T357" s="5">
        <f t="shared" si="43"/>
        <v>0</v>
      </c>
      <c r="U357" s="5">
        <f t="shared" si="44"/>
        <v>0</v>
      </c>
      <c r="V357" s="6">
        <f t="shared" si="45"/>
        <v>25.441666666666666</v>
      </c>
      <c r="W357" s="7">
        <f t="shared" si="46"/>
        <v>10.407954545454546</v>
      </c>
      <c r="X357" s="5">
        <f t="shared" si="47"/>
        <v>-1</v>
      </c>
    </row>
    <row r="358" spans="1:24" x14ac:dyDescent="0.35">
      <c r="A358" s="3">
        <v>46081</v>
      </c>
      <c r="B358" t="s">
        <v>423</v>
      </c>
      <c r="C358" t="s">
        <v>533</v>
      </c>
      <c r="D358" t="s">
        <v>34</v>
      </c>
      <c r="E358" t="s">
        <v>19</v>
      </c>
      <c r="F358" t="s">
        <v>20</v>
      </c>
      <c r="G358" t="s">
        <v>36</v>
      </c>
      <c r="H358" t="s">
        <v>51</v>
      </c>
      <c r="I358">
        <v>4684</v>
      </c>
      <c r="J358">
        <v>4568</v>
      </c>
      <c r="K358">
        <v>4276</v>
      </c>
      <c r="L358">
        <v>121</v>
      </c>
      <c r="M358">
        <v>58</v>
      </c>
      <c r="N358">
        <v>1</v>
      </c>
      <c r="O358">
        <v>407.91</v>
      </c>
      <c r="P358">
        <v>690.42</v>
      </c>
      <c r="Q358" s="5">
        <f t="shared" si="40"/>
        <v>0.93607705779334505</v>
      </c>
      <c r="R358" s="5">
        <f t="shared" si="41"/>
        <v>2.8297474275023386E-2</v>
      </c>
      <c r="S358" s="5">
        <f t="shared" si="42"/>
        <v>0.47933884297520662</v>
      </c>
      <c r="T358" s="5">
        <f t="shared" si="43"/>
        <v>1.7241379310344827E-2</v>
      </c>
      <c r="U358" s="5">
        <f t="shared" si="44"/>
        <v>2.3386342376052386E-4</v>
      </c>
      <c r="V358" s="6">
        <f t="shared" si="45"/>
        <v>7.0329310344827594</v>
      </c>
      <c r="W358" s="7">
        <f t="shared" si="46"/>
        <v>3.3711570247933889</v>
      </c>
      <c r="X358" s="5">
        <f t="shared" si="47"/>
        <v>0.69257924542178406</v>
      </c>
    </row>
    <row r="359" spans="1:24" x14ac:dyDescent="0.35">
      <c r="A359" s="3">
        <v>46081</v>
      </c>
      <c r="B359" t="s">
        <v>368</v>
      </c>
      <c r="C359" t="s">
        <v>534</v>
      </c>
      <c r="D359" t="s">
        <v>34</v>
      </c>
      <c r="E359" t="s">
        <v>35</v>
      </c>
      <c r="F359" t="s">
        <v>20</v>
      </c>
      <c r="G359" t="s">
        <v>36</v>
      </c>
      <c r="H359" t="s">
        <v>22</v>
      </c>
      <c r="I359">
        <v>4832</v>
      </c>
      <c r="J359">
        <v>3777</v>
      </c>
      <c r="K359">
        <v>3508</v>
      </c>
      <c r="L359">
        <v>226</v>
      </c>
      <c r="M359">
        <v>110</v>
      </c>
      <c r="N359">
        <v>7</v>
      </c>
      <c r="O359">
        <v>324.39999999999998</v>
      </c>
      <c r="P359">
        <v>11052.89</v>
      </c>
      <c r="Q359" s="5">
        <f t="shared" si="40"/>
        <v>0.92877945459359279</v>
      </c>
      <c r="R359" s="5">
        <f t="shared" si="41"/>
        <v>6.4424173318129982E-2</v>
      </c>
      <c r="S359" s="5">
        <f t="shared" si="42"/>
        <v>0.48672566371681414</v>
      </c>
      <c r="T359" s="5">
        <f t="shared" si="43"/>
        <v>6.363636363636363E-2</v>
      </c>
      <c r="U359" s="5">
        <f t="shared" si="44"/>
        <v>1.9954389965792475E-3</v>
      </c>
      <c r="V359" s="6">
        <f t="shared" si="45"/>
        <v>2.9490909090909088</v>
      </c>
      <c r="W359" s="7">
        <f t="shared" si="46"/>
        <v>1.4353982300884955</v>
      </c>
      <c r="X359" s="5">
        <f t="shared" si="47"/>
        <v>33.071794081381015</v>
      </c>
    </row>
    <row r="360" spans="1:24" x14ac:dyDescent="0.35">
      <c r="A360" s="3">
        <v>46081</v>
      </c>
      <c r="B360" t="s">
        <v>377</v>
      </c>
      <c r="C360" t="s">
        <v>535</v>
      </c>
      <c r="D360" t="s">
        <v>34</v>
      </c>
      <c r="E360" t="s">
        <v>56</v>
      </c>
      <c r="F360" t="s">
        <v>20</v>
      </c>
      <c r="G360" t="s">
        <v>27</v>
      </c>
      <c r="H360" t="s">
        <v>37</v>
      </c>
      <c r="I360">
        <v>3558</v>
      </c>
      <c r="J360">
        <v>3004</v>
      </c>
      <c r="K360">
        <v>2824</v>
      </c>
      <c r="L360">
        <v>143</v>
      </c>
      <c r="M360">
        <v>66</v>
      </c>
      <c r="N360">
        <v>3</v>
      </c>
      <c r="O360">
        <v>217.02</v>
      </c>
      <c r="P360">
        <v>2024.25</v>
      </c>
      <c r="Q360" s="5">
        <f t="shared" si="40"/>
        <v>0.94007989347536614</v>
      </c>
      <c r="R360" s="5">
        <f t="shared" si="41"/>
        <v>5.0637393767705381E-2</v>
      </c>
      <c r="S360" s="5">
        <f t="shared" si="42"/>
        <v>0.46153846153846156</v>
      </c>
      <c r="T360" s="5">
        <f t="shared" si="43"/>
        <v>4.5454545454545456E-2</v>
      </c>
      <c r="U360" s="5">
        <f t="shared" si="44"/>
        <v>1.0623229461756375E-3</v>
      </c>
      <c r="V360" s="6">
        <f t="shared" si="45"/>
        <v>3.2881818181818185</v>
      </c>
      <c r="W360" s="7">
        <f t="shared" si="46"/>
        <v>1.5176223776223776</v>
      </c>
      <c r="X360" s="5">
        <f t="shared" si="47"/>
        <v>8.3274813381255175</v>
      </c>
    </row>
    <row r="361" spans="1:24" x14ac:dyDescent="0.35">
      <c r="A361" s="3">
        <v>46081</v>
      </c>
      <c r="B361" t="s">
        <v>445</v>
      </c>
      <c r="C361" t="s">
        <v>536</v>
      </c>
      <c r="D361" t="s">
        <v>40</v>
      </c>
      <c r="E361" t="s">
        <v>35</v>
      </c>
      <c r="F361" t="s">
        <v>20</v>
      </c>
      <c r="G361" t="s">
        <v>59</v>
      </c>
      <c r="H361" t="s">
        <v>37</v>
      </c>
      <c r="I361">
        <v>1408</v>
      </c>
      <c r="J361">
        <v>1307</v>
      </c>
      <c r="K361">
        <v>1211</v>
      </c>
      <c r="L361">
        <v>87</v>
      </c>
      <c r="M361">
        <v>44</v>
      </c>
      <c r="N361">
        <v>4</v>
      </c>
      <c r="O361">
        <v>222.3</v>
      </c>
      <c r="P361">
        <v>4143.43</v>
      </c>
      <c r="Q361" s="5">
        <f t="shared" si="40"/>
        <v>0.92654934965570013</v>
      </c>
      <c r="R361" s="5">
        <f t="shared" si="41"/>
        <v>7.1841453344343512E-2</v>
      </c>
      <c r="S361" s="5">
        <f t="shared" si="42"/>
        <v>0.50574712643678166</v>
      </c>
      <c r="T361" s="5">
        <f t="shared" si="43"/>
        <v>9.0909090909090912E-2</v>
      </c>
      <c r="U361" s="5">
        <f t="shared" si="44"/>
        <v>3.3030553261767133E-3</v>
      </c>
      <c r="V361" s="6">
        <f t="shared" si="45"/>
        <v>5.0522727272727277</v>
      </c>
      <c r="W361" s="7">
        <f t="shared" si="46"/>
        <v>2.5551724137931036</v>
      </c>
      <c r="X361" s="5">
        <f t="shared" si="47"/>
        <v>17.638911381016644</v>
      </c>
    </row>
    <row r="362" spans="1:24" x14ac:dyDescent="0.35">
      <c r="A362" s="3">
        <v>46081</v>
      </c>
      <c r="B362" t="s">
        <v>489</v>
      </c>
      <c r="C362" t="s">
        <v>537</v>
      </c>
      <c r="D362" t="s">
        <v>18</v>
      </c>
      <c r="E362" t="s">
        <v>25</v>
      </c>
      <c r="F362" t="s">
        <v>20</v>
      </c>
      <c r="G362" t="s">
        <v>27</v>
      </c>
      <c r="H362" t="s">
        <v>48</v>
      </c>
      <c r="I362">
        <v>2809</v>
      </c>
      <c r="J362">
        <v>2398</v>
      </c>
      <c r="K362">
        <v>2148</v>
      </c>
      <c r="L362">
        <v>99</v>
      </c>
      <c r="M362">
        <v>57</v>
      </c>
      <c r="N362">
        <v>3</v>
      </c>
      <c r="O362">
        <v>260.98</v>
      </c>
      <c r="P362">
        <v>3306.2</v>
      </c>
      <c r="Q362" s="5">
        <f t="shared" si="40"/>
        <v>0.89574645537948294</v>
      </c>
      <c r="R362" s="5">
        <f t="shared" si="41"/>
        <v>4.6089385474860335E-2</v>
      </c>
      <c r="S362" s="5">
        <f t="shared" si="42"/>
        <v>0.5757575757575758</v>
      </c>
      <c r="T362" s="5">
        <f t="shared" si="43"/>
        <v>5.2631578947368418E-2</v>
      </c>
      <c r="U362" s="5">
        <f t="shared" si="44"/>
        <v>1.3966480446927375E-3</v>
      </c>
      <c r="V362" s="6">
        <f t="shared" si="45"/>
        <v>4.5785964912280708</v>
      </c>
      <c r="W362" s="7">
        <f t="shared" si="46"/>
        <v>2.6361616161616164</v>
      </c>
      <c r="X362" s="5">
        <f t="shared" si="47"/>
        <v>11.668403709096481</v>
      </c>
    </row>
    <row r="363" spans="1:24" x14ac:dyDescent="0.35">
      <c r="A363" s="3">
        <v>46081</v>
      </c>
      <c r="B363" t="s">
        <v>510</v>
      </c>
      <c r="C363" t="s">
        <v>538</v>
      </c>
      <c r="D363" t="s">
        <v>18</v>
      </c>
      <c r="E363" t="s">
        <v>56</v>
      </c>
      <c r="F363" t="s">
        <v>26</v>
      </c>
      <c r="G363" t="s">
        <v>41</v>
      </c>
      <c r="H363" t="s">
        <v>51</v>
      </c>
      <c r="I363">
        <v>3298</v>
      </c>
      <c r="J363">
        <v>3186</v>
      </c>
      <c r="K363">
        <v>3012</v>
      </c>
      <c r="L363">
        <v>255</v>
      </c>
      <c r="M363">
        <v>161</v>
      </c>
      <c r="N363">
        <v>10</v>
      </c>
      <c r="O363">
        <v>382.07</v>
      </c>
      <c r="P363">
        <v>10596.18</v>
      </c>
      <c r="Q363" s="5">
        <f t="shared" si="40"/>
        <v>0.94538606403013181</v>
      </c>
      <c r="R363" s="5">
        <f t="shared" si="41"/>
        <v>8.4661354581673301E-2</v>
      </c>
      <c r="S363" s="5">
        <f t="shared" si="42"/>
        <v>0.63137254901960782</v>
      </c>
      <c r="T363" s="5">
        <f t="shared" si="43"/>
        <v>6.2111801242236024E-2</v>
      </c>
      <c r="U363" s="5">
        <f t="shared" si="44"/>
        <v>3.3200531208499337E-3</v>
      </c>
      <c r="V363" s="6">
        <f t="shared" si="45"/>
        <v>2.3731055900621119</v>
      </c>
      <c r="W363" s="7">
        <f t="shared" si="46"/>
        <v>1.4983137254901961</v>
      </c>
      <c r="X363" s="5">
        <f t="shared" si="47"/>
        <v>26.733609024524302</v>
      </c>
    </row>
    <row r="364" spans="1:24" x14ac:dyDescent="0.35">
      <c r="A364" s="3">
        <v>46081</v>
      </c>
      <c r="B364" t="s">
        <v>405</v>
      </c>
      <c r="C364" t="s">
        <v>539</v>
      </c>
      <c r="D364" t="s">
        <v>18</v>
      </c>
      <c r="E364" t="s">
        <v>19</v>
      </c>
      <c r="F364" t="s">
        <v>20</v>
      </c>
      <c r="G364" t="s">
        <v>41</v>
      </c>
      <c r="H364" t="s">
        <v>28</v>
      </c>
      <c r="I364">
        <v>1224</v>
      </c>
      <c r="J364">
        <v>957</v>
      </c>
      <c r="K364">
        <v>879</v>
      </c>
      <c r="L364">
        <v>12</v>
      </c>
      <c r="M364">
        <v>6</v>
      </c>
      <c r="N364">
        <v>0</v>
      </c>
      <c r="O364">
        <v>136.57</v>
      </c>
      <c r="P364">
        <v>0</v>
      </c>
      <c r="Q364" s="5">
        <f t="shared" si="40"/>
        <v>0.91849529780564265</v>
      </c>
      <c r="R364" s="5">
        <f t="shared" si="41"/>
        <v>1.3651877133105802E-2</v>
      </c>
      <c r="S364" s="5">
        <f t="shared" si="42"/>
        <v>0.5</v>
      </c>
      <c r="T364" s="5">
        <f t="shared" si="43"/>
        <v>0</v>
      </c>
      <c r="U364" s="5">
        <f t="shared" si="44"/>
        <v>0</v>
      </c>
      <c r="V364" s="6">
        <f t="shared" si="45"/>
        <v>22.761666666666667</v>
      </c>
      <c r="W364" s="7">
        <f t="shared" si="46"/>
        <v>11.380833333333333</v>
      </c>
      <c r="X364" s="5">
        <f t="shared" si="47"/>
        <v>-1</v>
      </c>
    </row>
    <row r="365" spans="1:24" x14ac:dyDescent="0.35">
      <c r="A365" s="3">
        <v>46082</v>
      </c>
      <c r="B365" t="s">
        <v>540</v>
      </c>
      <c r="C365" t="s">
        <v>541</v>
      </c>
      <c r="D365" t="s">
        <v>18</v>
      </c>
      <c r="E365" t="s">
        <v>35</v>
      </c>
      <c r="F365" t="s">
        <v>20</v>
      </c>
      <c r="G365" t="s">
        <v>27</v>
      </c>
      <c r="H365" t="s">
        <v>48</v>
      </c>
      <c r="I365">
        <v>625</v>
      </c>
      <c r="J365">
        <v>530</v>
      </c>
      <c r="K365">
        <v>487</v>
      </c>
      <c r="L365">
        <v>44</v>
      </c>
      <c r="M365">
        <v>25</v>
      </c>
      <c r="N365">
        <v>2</v>
      </c>
      <c r="O365">
        <v>73.25</v>
      </c>
      <c r="P365">
        <v>2018.46</v>
      </c>
      <c r="Q365" s="5">
        <f t="shared" si="40"/>
        <v>0.9188679245283019</v>
      </c>
      <c r="R365" s="5">
        <f t="shared" si="41"/>
        <v>9.034907597535935E-2</v>
      </c>
      <c r="S365" s="5">
        <f t="shared" si="42"/>
        <v>0.56818181818181823</v>
      </c>
      <c r="T365" s="5">
        <f t="shared" si="43"/>
        <v>0.08</v>
      </c>
      <c r="U365" s="5">
        <f t="shared" si="44"/>
        <v>4.1067761806981521E-3</v>
      </c>
      <c r="V365" s="6">
        <f t="shared" si="45"/>
        <v>2.93</v>
      </c>
      <c r="W365" s="7">
        <f t="shared" si="46"/>
        <v>1.6647727272727273</v>
      </c>
      <c r="X365" s="5">
        <f t="shared" si="47"/>
        <v>26.555767918088737</v>
      </c>
    </row>
    <row r="366" spans="1:24" x14ac:dyDescent="0.35">
      <c r="A366" s="3">
        <v>46082</v>
      </c>
      <c r="B366" t="s">
        <v>542</v>
      </c>
      <c r="C366" t="s">
        <v>543</v>
      </c>
      <c r="D366" t="s">
        <v>18</v>
      </c>
      <c r="E366" t="s">
        <v>35</v>
      </c>
      <c r="F366" t="s">
        <v>26</v>
      </c>
      <c r="G366" t="s">
        <v>41</v>
      </c>
      <c r="H366" t="s">
        <v>51</v>
      </c>
      <c r="I366">
        <v>1156</v>
      </c>
      <c r="J366">
        <v>1138</v>
      </c>
      <c r="K366">
        <v>1009</v>
      </c>
      <c r="L366">
        <v>110</v>
      </c>
      <c r="M366">
        <v>76</v>
      </c>
      <c r="N366">
        <v>7</v>
      </c>
      <c r="O366">
        <v>141.29</v>
      </c>
      <c r="P366">
        <v>7767.57</v>
      </c>
      <c r="Q366" s="5">
        <f t="shared" si="40"/>
        <v>0.88664323374340948</v>
      </c>
      <c r="R366" s="5">
        <f t="shared" si="41"/>
        <v>0.10901883052527254</v>
      </c>
      <c r="S366" s="5">
        <f t="shared" si="42"/>
        <v>0.69090909090909092</v>
      </c>
      <c r="T366" s="5">
        <f t="shared" si="43"/>
        <v>9.2105263157894732E-2</v>
      </c>
      <c r="U366" s="5">
        <f t="shared" si="44"/>
        <v>6.9375619425173438E-3</v>
      </c>
      <c r="V366" s="6">
        <f t="shared" si="45"/>
        <v>1.8590789473684211</v>
      </c>
      <c r="W366" s="7">
        <f t="shared" si="46"/>
        <v>1.2844545454545453</v>
      </c>
      <c r="X366" s="5">
        <f t="shared" si="47"/>
        <v>53.976077570953358</v>
      </c>
    </row>
    <row r="367" spans="1:24" x14ac:dyDescent="0.35">
      <c r="A367" s="3">
        <v>46083</v>
      </c>
      <c r="B367" t="s">
        <v>544</v>
      </c>
      <c r="C367" t="s">
        <v>545</v>
      </c>
      <c r="D367" t="s">
        <v>31</v>
      </c>
      <c r="E367" t="s">
        <v>19</v>
      </c>
      <c r="F367" t="s">
        <v>20</v>
      </c>
      <c r="G367" t="s">
        <v>59</v>
      </c>
      <c r="H367" t="s">
        <v>22</v>
      </c>
      <c r="I367">
        <v>4178</v>
      </c>
      <c r="J367">
        <v>4058</v>
      </c>
      <c r="K367">
        <v>3857</v>
      </c>
      <c r="L367">
        <v>15</v>
      </c>
      <c r="M367">
        <v>5</v>
      </c>
      <c r="N367">
        <v>0</v>
      </c>
      <c r="O367">
        <v>791.67</v>
      </c>
      <c r="P367">
        <v>0</v>
      </c>
      <c r="Q367" s="5">
        <f t="shared" si="40"/>
        <v>0.95046821094135037</v>
      </c>
      <c r="R367" s="5">
        <f t="shared" si="41"/>
        <v>3.88903292714545E-3</v>
      </c>
      <c r="S367" s="5">
        <f t="shared" si="42"/>
        <v>0.33333333333333331</v>
      </c>
      <c r="T367" s="5">
        <f t="shared" si="43"/>
        <v>0</v>
      </c>
      <c r="U367" s="5">
        <f t="shared" si="44"/>
        <v>0</v>
      </c>
      <c r="V367" s="6">
        <f t="shared" si="45"/>
        <v>158.334</v>
      </c>
      <c r="W367" s="7">
        <f t="shared" si="46"/>
        <v>52.777999999999999</v>
      </c>
      <c r="X367" s="5">
        <f t="shared" si="47"/>
        <v>-1</v>
      </c>
    </row>
    <row r="368" spans="1:24" x14ac:dyDescent="0.35">
      <c r="A368" s="3">
        <v>46083</v>
      </c>
      <c r="B368" t="s">
        <v>546</v>
      </c>
      <c r="C368" t="s">
        <v>547</v>
      </c>
      <c r="D368" t="s">
        <v>31</v>
      </c>
      <c r="E368" t="s">
        <v>56</v>
      </c>
      <c r="F368" t="s">
        <v>20</v>
      </c>
      <c r="G368" t="s">
        <v>27</v>
      </c>
      <c r="H368" t="s">
        <v>48</v>
      </c>
      <c r="I368">
        <v>4603</v>
      </c>
      <c r="J368">
        <v>4210</v>
      </c>
      <c r="K368">
        <v>4081</v>
      </c>
      <c r="L368">
        <v>94</v>
      </c>
      <c r="M368">
        <v>33</v>
      </c>
      <c r="N368">
        <v>2</v>
      </c>
      <c r="O368">
        <v>887.43</v>
      </c>
      <c r="P368">
        <v>1518.91</v>
      </c>
      <c r="Q368" s="5">
        <f t="shared" si="40"/>
        <v>0.9693586698337292</v>
      </c>
      <c r="R368" s="5">
        <f t="shared" si="41"/>
        <v>2.3033570203381523E-2</v>
      </c>
      <c r="S368" s="5">
        <f t="shared" si="42"/>
        <v>0.35106382978723405</v>
      </c>
      <c r="T368" s="5">
        <f t="shared" si="43"/>
        <v>6.0606060606060608E-2</v>
      </c>
      <c r="U368" s="5">
        <f t="shared" si="44"/>
        <v>4.9007596177407496E-4</v>
      </c>
      <c r="V368" s="6">
        <f t="shared" si="45"/>
        <v>26.891818181818181</v>
      </c>
      <c r="W368" s="7">
        <f t="shared" si="46"/>
        <v>9.4407446808510631</v>
      </c>
      <c r="X368" s="5">
        <f t="shared" si="47"/>
        <v>0.71158288541068049</v>
      </c>
    </row>
    <row r="369" spans="1:24" x14ac:dyDescent="0.35">
      <c r="A369" s="3">
        <v>46083</v>
      </c>
      <c r="B369" t="s">
        <v>546</v>
      </c>
      <c r="C369" t="s">
        <v>548</v>
      </c>
      <c r="D369" t="s">
        <v>31</v>
      </c>
      <c r="E369" t="s">
        <v>35</v>
      </c>
      <c r="F369" t="s">
        <v>26</v>
      </c>
      <c r="G369" t="s">
        <v>41</v>
      </c>
      <c r="H369" t="s">
        <v>48</v>
      </c>
      <c r="I369">
        <v>3633</v>
      </c>
      <c r="J369">
        <v>3592</v>
      </c>
      <c r="K369">
        <v>3446</v>
      </c>
      <c r="L369">
        <v>207</v>
      </c>
      <c r="M369">
        <v>102</v>
      </c>
      <c r="N369">
        <v>8</v>
      </c>
      <c r="O369">
        <v>606.66</v>
      </c>
      <c r="P369">
        <v>13342.88</v>
      </c>
      <c r="Q369" s="5">
        <f t="shared" si="40"/>
        <v>0.95935412026726052</v>
      </c>
      <c r="R369" s="5">
        <f t="shared" si="41"/>
        <v>6.0069645966337785E-2</v>
      </c>
      <c r="S369" s="5">
        <f t="shared" si="42"/>
        <v>0.49275362318840582</v>
      </c>
      <c r="T369" s="5">
        <f t="shared" si="43"/>
        <v>7.8431372549019607E-2</v>
      </c>
      <c r="U369" s="5">
        <f t="shared" si="44"/>
        <v>2.3215322112594312E-3</v>
      </c>
      <c r="V369" s="6">
        <f t="shared" si="45"/>
        <v>5.9476470588235291</v>
      </c>
      <c r="W369" s="7">
        <f t="shared" si="46"/>
        <v>2.9307246376811591</v>
      </c>
      <c r="X369" s="5">
        <f t="shared" si="47"/>
        <v>20.993999934065208</v>
      </c>
    </row>
    <row r="370" spans="1:24" x14ac:dyDescent="0.35">
      <c r="A370" s="3">
        <v>46083</v>
      </c>
      <c r="B370" t="s">
        <v>549</v>
      </c>
      <c r="C370" t="s">
        <v>550</v>
      </c>
      <c r="D370" t="s">
        <v>34</v>
      </c>
      <c r="E370" t="s">
        <v>35</v>
      </c>
      <c r="F370" t="s">
        <v>20</v>
      </c>
      <c r="G370" t="s">
        <v>21</v>
      </c>
      <c r="H370" t="s">
        <v>51</v>
      </c>
      <c r="I370">
        <v>2162</v>
      </c>
      <c r="J370">
        <v>1694</v>
      </c>
      <c r="K370">
        <v>1609</v>
      </c>
      <c r="L370">
        <v>128</v>
      </c>
      <c r="M370">
        <v>55</v>
      </c>
      <c r="N370">
        <v>4</v>
      </c>
      <c r="O370">
        <v>131.34</v>
      </c>
      <c r="P370">
        <v>6456.68</v>
      </c>
      <c r="Q370" s="5">
        <f t="shared" si="40"/>
        <v>0.94982290436835892</v>
      </c>
      <c r="R370" s="5">
        <f t="shared" si="41"/>
        <v>7.9552517091361089E-2</v>
      </c>
      <c r="S370" s="5">
        <f t="shared" si="42"/>
        <v>0.4296875</v>
      </c>
      <c r="T370" s="5">
        <f t="shared" si="43"/>
        <v>7.2727272727272724E-2</v>
      </c>
      <c r="U370" s="5">
        <f t="shared" si="44"/>
        <v>2.486016159105034E-3</v>
      </c>
      <c r="V370" s="6">
        <f t="shared" si="45"/>
        <v>2.3879999999999999</v>
      </c>
      <c r="W370" s="7">
        <f t="shared" si="46"/>
        <v>1.02609375</v>
      </c>
      <c r="X370" s="5">
        <f t="shared" si="47"/>
        <v>48.160042637429569</v>
      </c>
    </row>
    <row r="371" spans="1:24" x14ac:dyDescent="0.35">
      <c r="A371" s="3">
        <v>46083</v>
      </c>
      <c r="B371" t="s">
        <v>551</v>
      </c>
      <c r="C371" t="s">
        <v>552</v>
      </c>
      <c r="D371" t="s">
        <v>34</v>
      </c>
      <c r="E371" t="s">
        <v>56</v>
      </c>
      <c r="F371" t="s">
        <v>20</v>
      </c>
      <c r="G371" t="s">
        <v>27</v>
      </c>
      <c r="H371" t="s">
        <v>51</v>
      </c>
      <c r="I371">
        <v>2600</v>
      </c>
      <c r="J371">
        <v>2157</v>
      </c>
      <c r="K371">
        <v>2022</v>
      </c>
      <c r="L371">
        <v>90</v>
      </c>
      <c r="M371">
        <v>39</v>
      </c>
      <c r="N371">
        <v>2</v>
      </c>
      <c r="O371">
        <v>184.01</v>
      </c>
      <c r="P371">
        <v>1407.88</v>
      </c>
      <c r="Q371" s="5">
        <f t="shared" si="40"/>
        <v>0.93741307371349092</v>
      </c>
      <c r="R371" s="5">
        <f t="shared" si="41"/>
        <v>4.4510385756676561E-2</v>
      </c>
      <c r="S371" s="5">
        <f t="shared" si="42"/>
        <v>0.43333333333333335</v>
      </c>
      <c r="T371" s="5">
        <f t="shared" si="43"/>
        <v>5.128205128205128E-2</v>
      </c>
      <c r="U371" s="5">
        <f t="shared" si="44"/>
        <v>9.8911968348170125E-4</v>
      </c>
      <c r="V371" s="6">
        <f t="shared" si="45"/>
        <v>4.7182051282051276</v>
      </c>
      <c r="W371" s="7">
        <f t="shared" si="46"/>
        <v>2.0445555555555552</v>
      </c>
      <c r="X371" s="5">
        <f t="shared" si="47"/>
        <v>6.651105918156623</v>
      </c>
    </row>
    <row r="372" spans="1:24" x14ac:dyDescent="0.35">
      <c r="A372" s="3">
        <v>46084</v>
      </c>
      <c r="B372" t="s">
        <v>546</v>
      </c>
      <c r="C372" t="s">
        <v>553</v>
      </c>
      <c r="D372" t="s">
        <v>34</v>
      </c>
      <c r="E372" t="s">
        <v>56</v>
      </c>
      <c r="F372" t="s">
        <v>26</v>
      </c>
      <c r="G372" t="s">
        <v>41</v>
      </c>
      <c r="H372" t="s">
        <v>37</v>
      </c>
      <c r="I372">
        <v>1226</v>
      </c>
      <c r="J372">
        <v>1173</v>
      </c>
      <c r="K372">
        <v>1093</v>
      </c>
      <c r="L372">
        <v>79</v>
      </c>
      <c r="M372">
        <v>41</v>
      </c>
      <c r="N372">
        <v>3</v>
      </c>
      <c r="O372">
        <v>86.93</v>
      </c>
      <c r="P372">
        <v>4371.59</v>
      </c>
      <c r="Q372" s="5">
        <f t="shared" si="40"/>
        <v>0.9317988064791134</v>
      </c>
      <c r="R372" s="5">
        <f t="shared" si="41"/>
        <v>7.2278133577310152E-2</v>
      </c>
      <c r="S372" s="5">
        <f t="shared" si="42"/>
        <v>0.51898734177215189</v>
      </c>
      <c r="T372" s="5">
        <f t="shared" si="43"/>
        <v>7.3170731707317069E-2</v>
      </c>
      <c r="U372" s="5">
        <f t="shared" si="44"/>
        <v>2.7447392497712718E-3</v>
      </c>
      <c r="V372" s="6">
        <f t="shared" si="45"/>
        <v>2.1202439024390247</v>
      </c>
      <c r="W372" s="7">
        <f t="shared" si="46"/>
        <v>1.100379746835443</v>
      </c>
      <c r="X372" s="5">
        <f t="shared" si="47"/>
        <v>49.288623030024155</v>
      </c>
    </row>
    <row r="373" spans="1:24" x14ac:dyDescent="0.35">
      <c r="A373" s="3">
        <v>46084</v>
      </c>
      <c r="B373" t="s">
        <v>554</v>
      </c>
      <c r="C373" t="s">
        <v>555</v>
      </c>
      <c r="D373" t="s">
        <v>18</v>
      </c>
      <c r="E373" t="s">
        <v>19</v>
      </c>
      <c r="F373" t="s">
        <v>26</v>
      </c>
      <c r="G373" t="s">
        <v>36</v>
      </c>
      <c r="H373" t="s">
        <v>48</v>
      </c>
      <c r="I373">
        <v>3670</v>
      </c>
      <c r="J373">
        <v>2840</v>
      </c>
      <c r="K373">
        <v>2608</v>
      </c>
      <c r="L373">
        <v>82</v>
      </c>
      <c r="M373">
        <v>45</v>
      </c>
      <c r="N373">
        <v>1</v>
      </c>
      <c r="O373">
        <v>354.86</v>
      </c>
      <c r="P373">
        <v>687.22</v>
      </c>
      <c r="Q373" s="5">
        <f t="shared" si="40"/>
        <v>0.91830985915492958</v>
      </c>
      <c r="R373" s="5">
        <f t="shared" si="41"/>
        <v>3.1441717791411042E-2</v>
      </c>
      <c r="S373" s="5">
        <f t="shared" si="42"/>
        <v>0.54878048780487809</v>
      </c>
      <c r="T373" s="5">
        <f t="shared" si="43"/>
        <v>2.2222222222222223E-2</v>
      </c>
      <c r="U373" s="5">
        <f t="shared" si="44"/>
        <v>3.834355828220859E-4</v>
      </c>
      <c r="V373" s="6">
        <f t="shared" si="45"/>
        <v>7.8857777777777782</v>
      </c>
      <c r="W373" s="7">
        <f t="shared" si="46"/>
        <v>4.3275609756097566</v>
      </c>
      <c r="X373" s="5">
        <f t="shared" si="47"/>
        <v>0.93659471340810463</v>
      </c>
    </row>
    <row r="374" spans="1:24" x14ac:dyDescent="0.35">
      <c r="A374" s="3">
        <v>46084</v>
      </c>
      <c r="B374" t="s">
        <v>551</v>
      </c>
      <c r="C374" t="s">
        <v>556</v>
      </c>
      <c r="D374" t="s">
        <v>40</v>
      </c>
      <c r="E374" t="s">
        <v>25</v>
      </c>
      <c r="F374" t="s">
        <v>20</v>
      </c>
      <c r="G374" t="s">
        <v>27</v>
      </c>
      <c r="H374" t="s">
        <v>51</v>
      </c>
      <c r="I374">
        <v>3249</v>
      </c>
      <c r="J374">
        <v>2557</v>
      </c>
      <c r="K374">
        <v>2385</v>
      </c>
      <c r="L374">
        <v>99</v>
      </c>
      <c r="M374">
        <v>57</v>
      </c>
      <c r="N374">
        <v>2</v>
      </c>
      <c r="O374">
        <v>384.5</v>
      </c>
      <c r="P374">
        <v>2468.06</v>
      </c>
      <c r="Q374" s="5">
        <f t="shared" si="40"/>
        <v>0.93273367227219395</v>
      </c>
      <c r="R374" s="5">
        <f t="shared" si="41"/>
        <v>4.1509433962264149E-2</v>
      </c>
      <c r="S374" s="5">
        <f t="shared" si="42"/>
        <v>0.5757575757575758</v>
      </c>
      <c r="T374" s="5">
        <f t="shared" si="43"/>
        <v>3.5087719298245612E-2</v>
      </c>
      <c r="U374" s="5">
        <f t="shared" si="44"/>
        <v>8.3857442348008382E-4</v>
      </c>
      <c r="V374" s="6">
        <f t="shared" si="45"/>
        <v>6.7456140350877192</v>
      </c>
      <c r="W374" s="7">
        <f t="shared" si="46"/>
        <v>3.8838383838383836</v>
      </c>
      <c r="X374" s="5">
        <f t="shared" si="47"/>
        <v>5.4188816644993496</v>
      </c>
    </row>
    <row r="375" spans="1:24" x14ac:dyDescent="0.35">
      <c r="A375" s="3">
        <v>46084</v>
      </c>
      <c r="B375" t="s">
        <v>557</v>
      </c>
      <c r="C375" t="s">
        <v>558</v>
      </c>
      <c r="D375" t="s">
        <v>34</v>
      </c>
      <c r="E375" t="s">
        <v>19</v>
      </c>
      <c r="F375" t="s">
        <v>20</v>
      </c>
      <c r="G375" t="s">
        <v>21</v>
      </c>
      <c r="H375" t="s">
        <v>28</v>
      </c>
      <c r="I375">
        <v>3818</v>
      </c>
      <c r="J375">
        <v>2955</v>
      </c>
      <c r="K375">
        <v>2785</v>
      </c>
      <c r="L375">
        <v>49</v>
      </c>
      <c r="M375">
        <v>22</v>
      </c>
      <c r="N375">
        <v>0</v>
      </c>
      <c r="O375">
        <v>261.12</v>
      </c>
      <c r="P375">
        <v>0</v>
      </c>
      <c r="Q375" s="5">
        <f t="shared" si="40"/>
        <v>0.94247038917089676</v>
      </c>
      <c r="R375" s="5">
        <f t="shared" si="41"/>
        <v>1.7594254937163375E-2</v>
      </c>
      <c r="S375" s="5">
        <f t="shared" si="42"/>
        <v>0.44897959183673469</v>
      </c>
      <c r="T375" s="5">
        <f t="shared" si="43"/>
        <v>0</v>
      </c>
      <c r="U375" s="5">
        <f t="shared" si="44"/>
        <v>0</v>
      </c>
      <c r="V375" s="6">
        <f t="shared" si="45"/>
        <v>11.869090909090909</v>
      </c>
      <c r="W375" s="7">
        <f t="shared" si="46"/>
        <v>5.3289795918367346</v>
      </c>
      <c r="X375" s="5">
        <f t="shared" si="47"/>
        <v>-1</v>
      </c>
    </row>
    <row r="376" spans="1:24" x14ac:dyDescent="0.35">
      <c r="A376" s="3">
        <v>46084</v>
      </c>
      <c r="B376" t="s">
        <v>559</v>
      </c>
      <c r="C376" t="s">
        <v>560</v>
      </c>
      <c r="D376" t="s">
        <v>31</v>
      </c>
      <c r="E376" t="s">
        <v>25</v>
      </c>
      <c r="F376" t="s">
        <v>20</v>
      </c>
      <c r="G376" t="s">
        <v>59</v>
      </c>
      <c r="H376" t="s">
        <v>48</v>
      </c>
      <c r="I376">
        <v>2240</v>
      </c>
      <c r="J376">
        <v>1834</v>
      </c>
      <c r="K376">
        <v>1775</v>
      </c>
      <c r="L376">
        <v>18</v>
      </c>
      <c r="M376">
        <v>7</v>
      </c>
      <c r="N376">
        <v>0</v>
      </c>
      <c r="O376">
        <v>339.76</v>
      </c>
      <c r="P376">
        <v>0</v>
      </c>
      <c r="Q376" s="5">
        <f t="shared" si="40"/>
        <v>0.96782988004362047</v>
      </c>
      <c r="R376" s="5">
        <f t="shared" si="41"/>
        <v>1.0140845070422535E-2</v>
      </c>
      <c r="S376" s="5">
        <f t="shared" si="42"/>
        <v>0.3888888888888889</v>
      </c>
      <c r="T376" s="5">
        <f t="shared" si="43"/>
        <v>0</v>
      </c>
      <c r="U376" s="5">
        <f t="shared" si="44"/>
        <v>0</v>
      </c>
      <c r="V376" s="6">
        <f t="shared" si="45"/>
        <v>48.537142857142854</v>
      </c>
      <c r="W376" s="7">
        <f t="shared" si="46"/>
        <v>18.875555555555554</v>
      </c>
      <c r="X376" s="5">
        <f t="shared" si="47"/>
        <v>-1</v>
      </c>
    </row>
    <row r="377" spans="1:24" x14ac:dyDescent="0.35">
      <c r="A377" s="3">
        <v>46085</v>
      </c>
      <c r="B377" t="s">
        <v>561</v>
      </c>
      <c r="C377" t="s">
        <v>562</v>
      </c>
      <c r="D377" t="s">
        <v>34</v>
      </c>
      <c r="E377" t="s">
        <v>56</v>
      </c>
      <c r="F377" t="s">
        <v>20</v>
      </c>
      <c r="G377" t="s">
        <v>59</v>
      </c>
      <c r="H377" t="s">
        <v>22</v>
      </c>
      <c r="I377">
        <v>2535</v>
      </c>
      <c r="J377">
        <v>2483</v>
      </c>
      <c r="K377">
        <v>2343</v>
      </c>
      <c r="L377">
        <v>109</v>
      </c>
      <c r="M377">
        <v>59</v>
      </c>
      <c r="N377">
        <v>2</v>
      </c>
      <c r="O377">
        <v>186.94</v>
      </c>
      <c r="P377">
        <v>1555.19</v>
      </c>
      <c r="Q377" s="5">
        <f t="shared" si="40"/>
        <v>0.94361659283125254</v>
      </c>
      <c r="R377" s="5">
        <f t="shared" si="41"/>
        <v>4.6521553563807085E-2</v>
      </c>
      <c r="S377" s="5">
        <f t="shared" si="42"/>
        <v>0.54128440366972475</v>
      </c>
      <c r="T377" s="5">
        <f t="shared" si="43"/>
        <v>3.3898305084745763E-2</v>
      </c>
      <c r="U377" s="5">
        <f t="shared" si="44"/>
        <v>8.5360648740930435E-4</v>
      </c>
      <c r="V377" s="6">
        <f t="shared" si="45"/>
        <v>3.1684745762711866</v>
      </c>
      <c r="W377" s="7">
        <f t="shared" si="46"/>
        <v>1.7150458715596331</v>
      </c>
      <c r="X377" s="5">
        <f t="shared" si="47"/>
        <v>7.3191933240611959</v>
      </c>
    </row>
    <row r="378" spans="1:24" x14ac:dyDescent="0.35">
      <c r="A378" s="3">
        <v>46085</v>
      </c>
      <c r="B378" t="s">
        <v>563</v>
      </c>
      <c r="C378" t="s">
        <v>564</v>
      </c>
      <c r="D378" t="s">
        <v>34</v>
      </c>
      <c r="E378" t="s">
        <v>25</v>
      </c>
      <c r="F378" t="s">
        <v>20</v>
      </c>
      <c r="G378" t="s">
        <v>41</v>
      </c>
      <c r="H378" t="s">
        <v>37</v>
      </c>
      <c r="I378">
        <v>4433</v>
      </c>
      <c r="J378">
        <v>3961</v>
      </c>
      <c r="K378">
        <v>3733</v>
      </c>
      <c r="L378">
        <v>203</v>
      </c>
      <c r="M378">
        <v>98</v>
      </c>
      <c r="N378">
        <v>3</v>
      </c>
      <c r="O378">
        <v>307.02999999999997</v>
      </c>
      <c r="P378">
        <v>3043.49</v>
      </c>
      <c r="Q378" s="5">
        <f t="shared" si="40"/>
        <v>0.9424387780863418</v>
      </c>
      <c r="R378" s="5">
        <f t="shared" si="41"/>
        <v>5.4379855344227165E-2</v>
      </c>
      <c r="S378" s="5">
        <f t="shared" si="42"/>
        <v>0.48275862068965519</v>
      </c>
      <c r="T378" s="5">
        <f t="shared" si="43"/>
        <v>3.0612244897959183E-2</v>
      </c>
      <c r="U378" s="5">
        <f t="shared" si="44"/>
        <v>8.0364318242700237E-4</v>
      </c>
      <c r="V378" s="6">
        <f t="shared" si="45"/>
        <v>3.1329591836734689</v>
      </c>
      <c r="W378" s="7">
        <f t="shared" si="46"/>
        <v>1.512463054187192</v>
      </c>
      <c r="X378" s="5">
        <f t="shared" si="47"/>
        <v>8.9126795427156971</v>
      </c>
    </row>
    <row r="379" spans="1:24" x14ac:dyDescent="0.35">
      <c r="A379" s="3">
        <v>46085</v>
      </c>
      <c r="B379" t="s">
        <v>565</v>
      </c>
      <c r="C379" t="s">
        <v>566</v>
      </c>
      <c r="D379" t="s">
        <v>18</v>
      </c>
      <c r="E379" t="s">
        <v>35</v>
      </c>
      <c r="F379" t="s">
        <v>20</v>
      </c>
      <c r="G379" t="s">
        <v>41</v>
      </c>
      <c r="H379" t="s">
        <v>48</v>
      </c>
      <c r="I379">
        <v>3410</v>
      </c>
      <c r="J379">
        <v>2661</v>
      </c>
      <c r="K379">
        <v>2485</v>
      </c>
      <c r="L379">
        <v>225</v>
      </c>
      <c r="M379">
        <v>97</v>
      </c>
      <c r="N379">
        <v>5</v>
      </c>
      <c r="O379">
        <v>370.33</v>
      </c>
      <c r="P379">
        <v>5357.11</v>
      </c>
      <c r="Q379" s="5">
        <f t="shared" si="40"/>
        <v>0.93385945133408488</v>
      </c>
      <c r="R379" s="5">
        <f t="shared" si="41"/>
        <v>9.0543259557344061E-2</v>
      </c>
      <c r="S379" s="5">
        <f t="shared" si="42"/>
        <v>0.43111111111111111</v>
      </c>
      <c r="T379" s="5">
        <f t="shared" si="43"/>
        <v>5.1546391752577317E-2</v>
      </c>
      <c r="U379" s="5">
        <f t="shared" si="44"/>
        <v>2.012072434607646E-3</v>
      </c>
      <c r="V379" s="6">
        <f t="shared" si="45"/>
        <v>3.8178350515463917</v>
      </c>
      <c r="W379" s="7">
        <f t="shared" si="46"/>
        <v>1.6459111111111111</v>
      </c>
      <c r="X379" s="5">
        <f t="shared" si="47"/>
        <v>13.465773769340858</v>
      </c>
    </row>
    <row r="380" spans="1:24" x14ac:dyDescent="0.35">
      <c r="A380" s="3">
        <v>46085</v>
      </c>
      <c r="B380" t="s">
        <v>567</v>
      </c>
      <c r="C380" t="s">
        <v>568</v>
      </c>
      <c r="D380" t="s">
        <v>34</v>
      </c>
      <c r="E380" t="s">
        <v>25</v>
      </c>
      <c r="F380" t="s">
        <v>26</v>
      </c>
      <c r="G380" t="s">
        <v>21</v>
      </c>
      <c r="H380" t="s">
        <v>28</v>
      </c>
      <c r="I380">
        <v>4202</v>
      </c>
      <c r="J380">
        <v>3640</v>
      </c>
      <c r="K380">
        <v>3537</v>
      </c>
      <c r="L380">
        <v>157</v>
      </c>
      <c r="M380">
        <v>105</v>
      </c>
      <c r="N380">
        <v>6</v>
      </c>
      <c r="O380">
        <v>314.58999999999997</v>
      </c>
      <c r="P380">
        <v>4818.59</v>
      </c>
      <c r="Q380" s="5">
        <f t="shared" si="40"/>
        <v>0.97170329670329669</v>
      </c>
      <c r="R380" s="5">
        <f t="shared" si="41"/>
        <v>4.4387899349731412E-2</v>
      </c>
      <c r="S380" s="5">
        <f t="shared" si="42"/>
        <v>0.66878980891719741</v>
      </c>
      <c r="T380" s="5">
        <f t="shared" si="43"/>
        <v>5.7142857142857141E-2</v>
      </c>
      <c r="U380" s="5">
        <f t="shared" si="44"/>
        <v>1.6963528413910093E-3</v>
      </c>
      <c r="V380" s="6">
        <f t="shared" si="45"/>
        <v>2.9960952380952377</v>
      </c>
      <c r="W380" s="7">
        <f t="shared" si="46"/>
        <v>2.0037579617834393</v>
      </c>
      <c r="X380" s="5">
        <f t="shared" si="47"/>
        <v>14.317047585746529</v>
      </c>
    </row>
    <row r="381" spans="1:24" x14ac:dyDescent="0.35">
      <c r="A381" s="3">
        <v>46085</v>
      </c>
      <c r="B381" t="s">
        <v>569</v>
      </c>
      <c r="C381" t="s">
        <v>570</v>
      </c>
      <c r="D381" t="s">
        <v>31</v>
      </c>
      <c r="E381" t="s">
        <v>19</v>
      </c>
      <c r="F381" t="s">
        <v>20</v>
      </c>
      <c r="G381" t="s">
        <v>21</v>
      </c>
      <c r="H381" t="s">
        <v>28</v>
      </c>
      <c r="I381">
        <v>1956</v>
      </c>
      <c r="J381">
        <v>1916</v>
      </c>
      <c r="K381">
        <v>1810</v>
      </c>
      <c r="L381">
        <v>33</v>
      </c>
      <c r="M381">
        <v>12</v>
      </c>
      <c r="N381">
        <v>0</v>
      </c>
      <c r="O381">
        <v>371.24</v>
      </c>
      <c r="P381">
        <v>0</v>
      </c>
      <c r="Q381" s="5">
        <f t="shared" si="40"/>
        <v>0.94467640918580376</v>
      </c>
      <c r="R381" s="5">
        <f t="shared" si="41"/>
        <v>1.8232044198895028E-2</v>
      </c>
      <c r="S381" s="5">
        <f t="shared" si="42"/>
        <v>0.36363636363636365</v>
      </c>
      <c r="T381" s="5">
        <f t="shared" si="43"/>
        <v>0</v>
      </c>
      <c r="U381" s="5">
        <f t="shared" si="44"/>
        <v>0</v>
      </c>
      <c r="V381" s="6">
        <f t="shared" si="45"/>
        <v>30.936666666666667</v>
      </c>
      <c r="W381" s="7">
        <f t="shared" si="46"/>
        <v>11.24969696969697</v>
      </c>
      <c r="X381" s="5">
        <f t="shared" si="47"/>
        <v>-1</v>
      </c>
    </row>
    <row r="382" spans="1:24" x14ac:dyDescent="0.35">
      <c r="A382" s="3">
        <v>46085</v>
      </c>
      <c r="B382" t="s">
        <v>571</v>
      </c>
      <c r="C382" t="s">
        <v>572</v>
      </c>
      <c r="D382" t="s">
        <v>31</v>
      </c>
      <c r="E382" t="s">
        <v>19</v>
      </c>
      <c r="F382" t="s">
        <v>20</v>
      </c>
      <c r="G382" t="s">
        <v>21</v>
      </c>
      <c r="H382" t="s">
        <v>48</v>
      </c>
      <c r="I382">
        <v>4581</v>
      </c>
      <c r="J382">
        <v>4006</v>
      </c>
      <c r="K382">
        <v>3764</v>
      </c>
      <c r="L382">
        <v>66</v>
      </c>
      <c r="M382">
        <v>19</v>
      </c>
      <c r="N382">
        <v>0</v>
      </c>
      <c r="O382">
        <v>726.27</v>
      </c>
      <c r="P382">
        <v>0</v>
      </c>
      <c r="Q382" s="5">
        <f t="shared" si="40"/>
        <v>0.93959061407888167</v>
      </c>
      <c r="R382" s="5">
        <f t="shared" si="41"/>
        <v>1.7534537725823592E-2</v>
      </c>
      <c r="S382" s="5">
        <f t="shared" si="42"/>
        <v>0.2878787878787879</v>
      </c>
      <c r="T382" s="5">
        <f t="shared" si="43"/>
        <v>0</v>
      </c>
      <c r="U382" s="5">
        <f t="shared" si="44"/>
        <v>0</v>
      </c>
      <c r="V382" s="6">
        <f t="shared" si="45"/>
        <v>38.224736842105266</v>
      </c>
      <c r="W382" s="7">
        <f t="shared" si="46"/>
        <v>11.004090909090909</v>
      </c>
      <c r="X382" s="5">
        <f t="shared" si="47"/>
        <v>-1</v>
      </c>
    </row>
    <row r="383" spans="1:24" x14ac:dyDescent="0.35">
      <c r="A383" s="3">
        <v>46085</v>
      </c>
      <c r="B383" t="s">
        <v>573</v>
      </c>
      <c r="C383" t="s">
        <v>574</v>
      </c>
      <c r="D383" t="s">
        <v>18</v>
      </c>
      <c r="E383" t="s">
        <v>35</v>
      </c>
      <c r="F383" t="s">
        <v>26</v>
      </c>
      <c r="G383" t="s">
        <v>36</v>
      </c>
      <c r="H383" t="s">
        <v>48</v>
      </c>
      <c r="I383">
        <v>1517</v>
      </c>
      <c r="J383">
        <v>1182</v>
      </c>
      <c r="K383">
        <v>1097</v>
      </c>
      <c r="L383">
        <v>127</v>
      </c>
      <c r="M383">
        <v>87</v>
      </c>
      <c r="N383">
        <v>8</v>
      </c>
      <c r="O383">
        <v>126.07</v>
      </c>
      <c r="P383">
        <v>7661.1</v>
      </c>
      <c r="Q383" s="5">
        <f t="shared" si="40"/>
        <v>0.92808798646362101</v>
      </c>
      <c r="R383" s="5">
        <f t="shared" si="41"/>
        <v>0.11577028258887875</v>
      </c>
      <c r="S383" s="5">
        <f t="shared" si="42"/>
        <v>0.68503937007874016</v>
      </c>
      <c r="T383" s="5">
        <f t="shared" si="43"/>
        <v>9.1954022988505746E-2</v>
      </c>
      <c r="U383" s="5">
        <f t="shared" si="44"/>
        <v>7.2926162260711028E-3</v>
      </c>
      <c r="V383" s="6">
        <f t="shared" si="45"/>
        <v>1.4490804597701148</v>
      </c>
      <c r="W383" s="7">
        <f t="shared" si="46"/>
        <v>0.9926771653543307</v>
      </c>
      <c r="X383" s="5">
        <f t="shared" si="47"/>
        <v>59.768620607598962</v>
      </c>
    </row>
    <row r="384" spans="1:24" x14ac:dyDescent="0.35">
      <c r="A384" s="3">
        <v>46085</v>
      </c>
      <c r="B384" t="s">
        <v>575</v>
      </c>
      <c r="C384" t="s">
        <v>576</v>
      </c>
      <c r="D384" t="s">
        <v>18</v>
      </c>
      <c r="E384" t="s">
        <v>56</v>
      </c>
      <c r="F384" t="s">
        <v>26</v>
      </c>
      <c r="G384" t="s">
        <v>41</v>
      </c>
      <c r="H384" t="s">
        <v>48</v>
      </c>
      <c r="I384">
        <v>4246</v>
      </c>
      <c r="J384">
        <v>3723</v>
      </c>
      <c r="K384">
        <v>3350</v>
      </c>
      <c r="L384">
        <v>334</v>
      </c>
      <c r="M384">
        <v>192</v>
      </c>
      <c r="N384">
        <v>13</v>
      </c>
      <c r="O384">
        <v>465.26</v>
      </c>
      <c r="P384">
        <v>20326.25</v>
      </c>
      <c r="Q384" s="5">
        <f t="shared" si="40"/>
        <v>0.89981197958635506</v>
      </c>
      <c r="R384" s="5">
        <f t="shared" si="41"/>
        <v>9.9701492537313433E-2</v>
      </c>
      <c r="S384" s="5">
        <f t="shared" si="42"/>
        <v>0.57485029940119758</v>
      </c>
      <c r="T384" s="5">
        <f t="shared" si="43"/>
        <v>6.7708333333333329E-2</v>
      </c>
      <c r="U384" s="5">
        <f t="shared" si="44"/>
        <v>3.880597014925373E-3</v>
      </c>
      <c r="V384" s="6">
        <f t="shared" si="45"/>
        <v>2.4232291666666668</v>
      </c>
      <c r="W384" s="7">
        <f t="shared" si="46"/>
        <v>1.3929940119760478</v>
      </c>
      <c r="X384" s="5">
        <f t="shared" si="47"/>
        <v>42.687937927180506</v>
      </c>
    </row>
    <row r="385" spans="1:24" x14ac:dyDescent="0.35">
      <c r="A385" s="3">
        <v>46085</v>
      </c>
      <c r="B385" t="s">
        <v>559</v>
      </c>
      <c r="C385" t="s">
        <v>577</v>
      </c>
      <c r="D385" t="s">
        <v>34</v>
      </c>
      <c r="E385" t="s">
        <v>19</v>
      </c>
      <c r="F385" t="s">
        <v>20</v>
      </c>
      <c r="G385" t="s">
        <v>21</v>
      </c>
      <c r="H385" t="s">
        <v>22</v>
      </c>
      <c r="I385">
        <v>3014</v>
      </c>
      <c r="J385">
        <v>2579</v>
      </c>
      <c r="K385">
        <v>2412</v>
      </c>
      <c r="L385">
        <v>28</v>
      </c>
      <c r="M385">
        <v>13</v>
      </c>
      <c r="N385">
        <v>0</v>
      </c>
      <c r="O385">
        <v>205.23</v>
      </c>
      <c r="P385">
        <v>0</v>
      </c>
      <c r="Q385" s="5">
        <f t="shared" si="40"/>
        <v>0.93524621946490893</v>
      </c>
      <c r="R385" s="5">
        <f t="shared" si="41"/>
        <v>1.1608623548922056E-2</v>
      </c>
      <c r="S385" s="5">
        <f t="shared" si="42"/>
        <v>0.4642857142857143</v>
      </c>
      <c r="T385" s="5">
        <f t="shared" si="43"/>
        <v>0</v>
      </c>
      <c r="U385" s="5">
        <f t="shared" si="44"/>
        <v>0</v>
      </c>
      <c r="V385" s="6">
        <f t="shared" si="45"/>
        <v>15.786923076923076</v>
      </c>
      <c r="W385" s="7">
        <f t="shared" si="46"/>
        <v>7.3296428571428569</v>
      </c>
      <c r="X385" s="5">
        <f t="shared" si="47"/>
        <v>-1</v>
      </c>
    </row>
    <row r="386" spans="1:24" x14ac:dyDescent="0.35">
      <c r="A386" s="3">
        <v>46086</v>
      </c>
      <c r="B386" t="s">
        <v>578</v>
      </c>
      <c r="C386" t="s">
        <v>579</v>
      </c>
      <c r="D386" t="s">
        <v>18</v>
      </c>
      <c r="E386" t="s">
        <v>19</v>
      </c>
      <c r="F386" t="s">
        <v>20</v>
      </c>
      <c r="G386" t="s">
        <v>41</v>
      </c>
      <c r="H386" t="s">
        <v>22</v>
      </c>
      <c r="I386">
        <v>1297</v>
      </c>
      <c r="J386">
        <v>1181</v>
      </c>
      <c r="K386">
        <v>1067</v>
      </c>
      <c r="L386">
        <v>25</v>
      </c>
      <c r="M386">
        <v>11</v>
      </c>
      <c r="N386">
        <v>0</v>
      </c>
      <c r="O386">
        <v>161.96</v>
      </c>
      <c r="P386">
        <v>0</v>
      </c>
      <c r="Q386" s="5">
        <f t="shared" si="40"/>
        <v>0.90347163420829801</v>
      </c>
      <c r="R386" s="5">
        <f t="shared" si="41"/>
        <v>2.3430178069353328E-2</v>
      </c>
      <c r="S386" s="5">
        <f t="shared" si="42"/>
        <v>0.44</v>
      </c>
      <c r="T386" s="5">
        <f t="shared" si="43"/>
        <v>0</v>
      </c>
      <c r="U386" s="5">
        <f t="shared" si="44"/>
        <v>0</v>
      </c>
      <c r="V386" s="6">
        <f t="shared" si="45"/>
        <v>14.723636363636365</v>
      </c>
      <c r="W386" s="7">
        <f t="shared" si="46"/>
        <v>6.4784000000000006</v>
      </c>
      <c r="X386" s="5">
        <f t="shared" si="47"/>
        <v>-1</v>
      </c>
    </row>
    <row r="387" spans="1:24" x14ac:dyDescent="0.35">
      <c r="A387" s="3">
        <v>46086</v>
      </c>
      <c r="B387" t="s">
        <v>580</v>
      </c>
      <c r="C387" t="s">
        <v>581</v>
      </c>
      <c r="D387" t="s">
        <v>31</v>
      </c>
      <c r="E387" t="s">
        <v>19</v>
      </c>
      <c r="F387" t="s">
        <v>20</v>
      </c>
      <c r="G387" t="s">
        <v>27</v>
      </c>
      <c r="H387" t="s">
        <v>37</v>
      </c>
      <c r="I387">
        <v>2105</v>
      </c>
      <c r="J387">
        <v>1760</v>
      </c>
      <c r="K387">
        <v>1668</v>
      </c>
      <c r="L387">
        <v>40</v>
      </c>
      <c r="M387">
        <v>13</v>
      </c>
      <c r="N387">
        <v>0</v>
      </c>
      <c r="O387">
        <v>335.78</v>
      </c>
      <c r="P387">
        <v>0</v>
      </c>
      <c r="Q387" s="5">
        <f t="shared" ref="Q387:Q450" si="48">K387/J387</f>
        <v>0.94772727272727275</v>
      </c>
      <c r="R387" s="5">
        <f t="shared" ref="R387:R450" si="49">L387/K387</f>
        <v>2.3980815347721823E-2</v>
      </c>
      <c r="S387" s="5">
        <f t="shared" ref="S387:S450" si="50">M387/L387</f>
        <v>0.32500000000000001</v>
      </c>
      <c r="T387" s="5">
        <f t="shared" ref="T387:T450" si="51">N387/M387</f>
        <v>0</v>
      </c>
      <c r="U387" s="5">
        <f t="shared" ref="U387:U450" si="52">N387/K387</f>
        <v>0</v>
      </c>
      <c r="V387" s="6">
        <f t="shared" ref="V387:V450" si="53">O387/M387</f>
        <v>25.829230769230769</v>
      </c>
      <c r="W387" s="7">
        <f t="shared" ref="W387:W450" si="54">O387/L387</f>
        <v>8.394499999999999</v>
      </c>
      <c r="X387" s="5">
        <f t="shared" ref="X387:X450" si="55">(P387-O387)/O387</f>
        <v>-1</v>
      </c>
    </row>
    <row r="388" spans="1:24" x14ac:dyDescent="0.35">
      <c r="A388" s="3">
        <v>46086</v>
      </c>
      <c r="B388" t="s">
        <v>582</v>
      </c>
      <c r="C388" t="s">
        <v>583</v>
      </c>
      <c r="D388" t="s">
        <v>31</v>
      </c>
      <c r="E388" t="s">
        <v>56</v>
      </c>
      <c r="F388" t="s">
        <v>20</v>
      </c>
      <c r="G388" t="s">
        <v>21</v>
      </c>
      <c r="H388" t="s">
        <v>48</v>
      </c>
      <c r="I388">
        <v>1299</v>
      </c>
      <c r="J388">
        <v>1059</v>
      </c>
      <c r="K388">
        <v>1023</v>
      </c>
      <c r="L388">
        <v>48</v>
      </c>
      <c r="M388">
        <v>20</v>
      </c>
      <c r="N388">
        <v>1</v>
      </c>
      <c r="O388">
        <v>162.16</v>
      </c>
      <c r="P388">
        <v>1230.6199999999999</v>
      </c>
      <c r="Q388" s="5">
        <f t="shared" si="48"/>
        <v>0.96600566572237956</v>
      </c>
      <c r="R388" s="5">
        <f t="shared" si="49"/>
        <v>4.6920821114369501E-2</v>
      </c>
      <c r="S388" s="5">
        <f t="shared" si="50"/>
        <v>0.41666666666666669</v>
      </c>
      <c r="T388" s="5">
        <f t="shared" si="51"/>
        <v>0.05</v>
      </c>
      <c r="U388" s="5">
        <f t="shared" si="52"/>
        <v>9.7751710654936461E-4</v>
      </c>
      <c r="V388" s="6">
        <f t="shared" si="53"/>
        <v>8.1080000000000005</v>
      </c>
      <c r="W388" s="7">
        <f t="shared" si="54"/>
        <v>3.3783333333333334</v>
      </c>
      <c r="X388" s="5">
        <f t="shared" si="55"/>
        <v>6.5889245189935854</v>
      </c>
    </row>
    <row r="389" spans="1:24" x14ac:dyDescent="0.35">
      <c r="A389" s="3">
        <v>46087</v>
      </c>
      <c r="B389" t="s">
        <v>584</v>
      </c>
      <c r="C389" t="s">
        <v>585</v>
      </c>
      <c r="D389" t="s">
        <v>31</v>
      </c>
      <c r="E389" t="s">
        <v>35</v>
      </c>
      <c r="F389" t="s">
        <v>20</v>
      </c>
      <c r="G389" t="s">
        <v>21</v>
      </c>
      <c r="H389" t="s">
        <v>37</v>
      </c>
      <c r="I389">
        <v>837</v>
      </c>
      <c r="J389">
        <v>800</v>
      </c>
      <c r="K389">
        <v>767</v>
      </c>
      <c r="L389">
        <v>43</v>
      </c>
      <c r="M389">
        <v>15</v>
      </c>
      <c r="N389">
        <v>1</v>
      </c>
      <c r="O389">
        <v>130.80000000000001</v>
      </c>
      <c r="P389">
        <v>1127.46</v>
      </c>
      <c r="Q389" s="5">
        <f t="shared" si="48"/>
        <v>0.95874999999999999</v>
      </c>
      <c r="R389" s="5">
        <f t="shared" si="49"/>
        <v>5.6062581486310298E-2</v>
      </c>
      <c r="S389" s="5">
        <f t="shared" si="50"/>
        <v>0.34883720930232559</v>
      </c>
      <c r="T389" s="5">
        <f t="shared" si="51"/>
        <v>6.6666666666666666E-2</v>
      </c>
      <c r="U389" s="5">
        <f t="shared" si="52"/>
        <v>1.3037809647979139E-3</v>
      </c>
      <c r="V389" s="6">
        <f t="shared" si="53"/>
        <v>8.7200000000000006</v>
      </c>
      <c r="W389" s="7">
        <f t="shared" si="54"/>
        <v>3.0418604651162795</v>
      </c>
      <c r="X389" s="5">
        <f t="shared" si="55"/>
        <v>7.6197247706422022</v>
      </c>
    </row>
    <row r="390" spans="1:24" x14ac:dyDescent="0.35">
      <c r="A390" s="3">
        <v>46087</v>
      </c>
      <c r="B390" t="s">
        <v>586</v>
      </c>
      <c r="C390" t="s">
        <v>587</v>
      </c>
      <c r="D390" t="s">
        <v>34</v>
      </c>
      <c r="E390" t="s">
        <v>25</v>
      </c>
      <c r="F390" t="s">
        <v>26</v>
      </c>
      <c r="G390" t="s">
        <v>59</v>
      </c>
      <c r="H390" t="s">
        <v>51</v>
      </c>
      <c r="I390">
        <v>1828</v>
      </c>
      <c r="J390">
        <v>1748</v>
      </c>
      <c r="K390">
        <v>1645</v>
      </c>
      <c r="L390">
        <v>63</v>
      </c>
      <c r="M390">
        <v>40</v>
      </c>
      <c r="N390">
        <v>2</v>
      </c>
      <c r="O390">
        <v>135.58000000000001</v>
      </c>
      <c r="P390">
        <v>1776.57</v>
      </c>
      <c r="Q390" s="5">
        <f t="shared" si="48"/>
        <v>0.94107551487414187</v>
      </c>
      <c r="R390" s="5">
        <f t="shared" si="49"/>
        <v>3.8297872340425532E-2</v>
      </c>
      <c r="S390" s="5">
        <f t="shared" si="50"/>
        <v>0.63492063492063489</v>
      </c>
      <c r="T390" s="5">
        <f t="shared" si="51"/>
        <v>0.05</v>
      </c>
      <c r="U390" s="5">
        <f t="shared" si="52"/>
        <v>1.2158054711246201E-3</v>
      </c>
      <c r="V390" s="6">
        <f t="shared" si="53"/>
        <v>3.3895000000000004</v>
      </c>
      <c r="W390" s="7">
        <f t="shared" si="54"/>
        <v>2.1520634920634922</v>
      </c>
      <c r="X390" s="5">
        <f t="shared" si="55"/>
        <v>12.103481339430594</v>
      </c>
    </row>
    <row r="391" spans="1:24" x14ac:dyDescent="0.35">
      <c r="A391" s="3">
        <v>46087</v>
      </c>
      <c r="B391" t="s">
        <v>588</v>
      </c>
      <c r="C391" t="s">
        <v>589</v>
      </c>
      <c r="D391" t="s">
        <v>34</v>
      </c>
      <c r="E391" t="s">
        <v>19</v>
      </c>
      <c r="F391" t="s">
        <v>20</v>
      </c>
      <c r="G391" t="s">
        <v>41</v>
      </c>
      <c r="H391" t="s">
        <v>48</v>
      </c>
      <c r="I391">
        <v>1084</v>
      </c>
      <c r="J391">
        <v>938</v>
      </c>
      <c r="K391">
        <v>875</v>
      </c>
      <c r="L391">
        <v>14</v>
      </c>
      <c r="M391">
        <v>6</v>
      </c>
      <c r="N391">
        <v>0</v>
      </c>
      <c r="O391">
        <v>72.760000000000005</v>
      </c>
      <c r="P391">
        <v>0</v>
      </c>
      <c r="Q391" s="5">
        <f t="shared" si="48"/>
        <v>0.93283582089552242</v>
      </c>
      <c r="R391" s="5">
        <f t="shared" si="49"/>
        <v>1.6E-2</v>
      </c>
      <c r="S391" s="5">
        <f t="shared" si="50"/>
        <v>0.42857142857142855</v>
      </c>
      <c r="T391" s="5">
        <f t="shared" si="51"/>
        <v>0</v>
      </c>
      <c r="U391" s="5">
        <f t="shared" si="52"/>
        <v>0</v>
      </c>
      <c r="V391" s="6">
        <f t="shared" si="53"/>
        <v>12.126666666666667</v>
      </c>
      <c r="W391" s="7">
        <f t="shared" si="54"/>
        <v>5.1971428571428575</v>
      </c>
      <c r="X391" s="5">
        <f t="shared" si="55"/>
        <v>-1</v>
      </c>
    </row>
    <row r="392" spans="1:24" x14ac:dyDescent="0.35">
      <c r="A392" s="3">
        <v>46088</v>
      </c>
      <c r="B392" t="s">
        <v>590</v>
      </c>
      <c r="C392" t="s">
        <v>591</v>
      </c>
      <c r="D392" t="s">
        <v>31</v>
      </c>
      <c r="E392" t="s">
        <v>25</v>
      </c>
      <c r="F392" t="s">
        <v>26</v>
      </c>
      <c r="G392" t="s">
        <v>27</v>
      </c>
      <c r="H392" t="s">
        <v>22</v>
      </c>
      <c r="I392">
        <v>3801</v>
      </c>
      <c r="J392">
        <v>3071</v>
      </c>
      <c r="K392">
        <v>2937</v>
      </c>
      <c r="L392">
        <v>134</v>
      </c>
      <c r="M392">
        <v>64</v>
      </c>
      <c r="N392">
        <v>2</v>
      </c>
      <c r="O392">
        <v>515.04</v>
      </c>
      <c r="P392">
        <v>1577.72</v>
      </c>
      <c r="Q392" s="5">
        <f t="shared" si="48"/>
        <v>0.95636600455877563</v>
      </c>
      <c r="R392" s="5">
        <f t="shared" si="49"/>
        <v>4.5624787197820905E-2</v>
      </c>
      <c r="S392" s="5">
        <f t="shared" si="50"/>
        <v>0.47761194029850745</v>
      </c>
      <c r="T392" s="5">
        <f t="shared" si="51"/>
        <v>3.125E-2</v>
      </c>
      <c r="U392" s="5">
        <f t="shared" si="52"/>
        <v>6.8096697310180451E-4</v>
      </c>
      <c r="V392" s="6">
        <f t="shared" si="53"/>
        <v>8.0474999999999994</v>
      </c>
      <c r="W392" s="7">
        <f t="shared" si="54"/>
        <v>3.8435820895522386</v>
      </c>
      <c r="X392" s="5">
        <f t="shared" si="55"/>
        <v>2.0632960546753654</v>
      </c>
    </row>
    <row r="393" spans="1:24" x14ac:dyDescent="0.35">
      <c r="A393" s="3">
        <v>46088</v>
      </c>
      <c r="B393" t="s">
        <v>592</v>
      </c>
      <c r="C393" t="s">
        <v>593</v>
      </c>
      <c r="D393" t="s">
        <v>18</v>
      </c>
      <c r="E393" t="s">
        <v>25</v>
      </c>
      <c r="F393" t="s">
        <v>20</v>
      </c>
      <c r="G393" t="s">
        <v>27</v>
      </c>
      <c r="H393" t="s">
        <v>37</v>
      </c>
      <c r="I393">
        <v>930</v>
      </c>
      <c r="J393">
        <v>720</v>
      </c>
      <c r="K393">
        <v>651</v>
      </c>
      <c r="L393">
        <v>23</v>
      </c>
      <c r="M393">
        <v>10</v>
      </c>
      <c r="N393">
        <v>0</v>
      </c>
      <c r="O393">
        <v>101.81</v>
      </c>
      <c r="P393">
        <v>0</v>
      </c>
      <c r="Q393" s="5">
        <f t="shared" si="48"/>
        <v>0.90416666666666667</v>
      </c>
      <c r="R393" s="5">
        <f t="shared" si="49"/>
        <v>3.5330261136712747E-2</v>
      </c>
      <c r="S393" s="5">
        <f t="shared" si="50"/>
        <v>0.43478260869565216</v>
      </c>
      <c r="T393" s="5">
        <f t="shared" si="51"/>
        <v>0</v>
      </c>
      <c r="U393" s="5">
        <f t="shared" si="52"/>
        <v>0</v>
      </c>
      <c r="V393" s="6">
        <f t="shared" si="53"/>
        <v>10.181000000000001</v>
      </c>
      <c r="W393" s="7">
        <f t="shared" si="54"/>
        <v>4.4265217391304352</v>
      </c>
      <c r="X393" s="5">
        <f t="shared" si="55"/>
        <v>-1</v>
      </c>
    </row>
    <row r="394" spans="1:24" x14ac:dyDescent="0.35">
      <c r="A394" s="3">
        <v>46088</v>
      </c>
      <c r="B394" t="s">
        <v>594</v>
      </c>
      <c r="C394" t="s">
        <v>595</v>
      </c>
      <c r="D394" t="s">
        <v>31</v>
      </c>
      <c r="E394" t="s">
        <v>25</v>
      </c>
      <c r="F394" t="s">
        <v>20</v>
      </c>
      <c r="G394" t="s">
        <v>27</v>
      </c>
      <c r="H394" t="s">
        <v>51</v>
      </c>
      <c r="I394">
        <v>2148</v>
      </c>
      <c r="J394">
        <v>2059</v>
      </c>
      <c r="K394">
        <v>1998</v>
      </c>
      <c r="L394">
        <v>52</v>
      </c>
      <c r="M394">
        <v>19</v>
      </c>
      <c r="N394">
        <v>1</v>
      </c>
      <c r="O394">
        <v>385.59</v>
      </c>
      <c r="P394">
        <v>1062.05</v>
      </c>
      <c r="Q394" s="5">
        <f t="shared" si="48"/>
        <v>0.97037396794560471</v>
      </c>
      <c r="R394" s="5">
        <f t="shared" si="49"/>
        <v>2.6026026026026026E-2</v>
      </c>
      <c r="S394" s="5">
        <f t="shared" si="50"/>
        <v>0.36538461538461536</v>
      </c>
      <c r="T394" s="5">
        <f t="shared" si="51"/>
        <v>5.2631578947368418E-2</v>
      </c>
      <c r="U394" s="5">
        <f t="shared" si="52"/>
        <v>5.005005005005005E-4</v>
      </c>
      <c r="V394" s="6">
        <f t="shared" si="53"/>
        <v>20.294210526315787</v>
      </c>
      <c r="W394" s="7">
        <f t="shared" si="54"/>
        <v>7.4151923076923074</v>
      </c>
      <c r="X394" s="5">
        <f t="shared" si="55"/>
        <v>1.7543504758940847</v>
      </c>
    </row>
    <row r="395" spans="1:24" x14ac:dyDescent="0.35">
      <c r="A395" s="3">
        <v>46088</v>
      </c>
      <c r="B395" t="s">
        <v>582</v>
      </c>
      <c r="C395" t="s">
        <v>596</v>
      </c>
      <c r="D395" t="s">
        <v>18</v>
      </c>
      <c r="E395" t="s">
        <v>25</v>
      </c>
      <c r="F395" t="s">
        <v>20</v>
      </c>
      <c r="G395" t="s">
        <v>27</v>
      </c>
      <c r="H395" t="s">
        <v>51</v>
      </c>
      <c r="I395">
        <v>1387</v>
      </c>
      <c r="J395">
        <v>1362</v>
      </c>
      <c r="K395">
        <v>1230</v>
      </c>
      <c r="L395">
        <v>42</v>
      </c>
      <c r="M395">
        <v>23</v>
      </c>
      <c r="N395">
        <v>1</v>
      </c>
      <c r="O395">
        <v>152.6</v>
      </c>
      <c r="P395">
        <v>855.58</v>
      </c>
      <c r="Q395" s="5">
        <f t="shared" si="48"/>
        <v>0.90308370044052866</v>
      </c>
      <c r="R395" s="5">
        <f t="shared" si="49"/>
        <v>3.4146341463414637E-2</v>
      </c>
      <c r="S395" s="5">
        <f t="shared" si="50"/>
        <v>0.54761904761904767</v>
      </c>
      <c r="T395" s="5">
        <f t="shared" si="51"/>
        <v>4.3478260869565216E-2</v>
      </c>
      <c r="U395" s="5">
        <f t="shared" si="52"/>
        <v>8.1300813008130081E-4</v>
      </c>
      <c r="V395" s="6">
        <f t="shared" si="53"/>
        <v>6.6347826086956516</v>
      </c>
      <c r="W395" s="7">
        <f t="shared" si="54"/>
        <v>3.6333333333333333</v>
      </c>
      <c r="X395" s="5">
        <f t="shared" si="55"/>
        <v>4.6066841415465269</v>
      </c>
    </row>
    <row r="396" spans="1:24" x14ac:dyDescent="0.35">
      <c r="A396" s="3">
        <v>46089</v>
      </c>
      <c r="B396" t="s">
        <v>597</v>
      </c>
      <c r="C396" t="s">
        <v>598</v>
      </c>
      <c r="D396" t="s">
        <v>18</v>
      </c>
      <c r="E396" t="s">
        <v>35</v>
      </c>
      <c r="F396" t="s">
        <v>20</v>
      </c>
      <c r="G396" t="s">
        <v>36</v>
      </c>
      <c r="H396" t="s">
        <v>37</v>
      </c>
      <c r="I396">
        <v>4762</v>
      </c>
      <c r="J396">
        <v>3511</v>
      </c>
      <c r="K396">
        <v>3103</v>
      </c>
      <c r="L396">
        <v>236</v>
      </c>
      <c r="M396">
        <v>127</v>
      </c>
      <c r="N396">
        <v>9</v>
      </c>
      <c r="O396">
        <v>424.93</v>
      </c>
      <c r="P396">
        <v>12774.51</v>
      </c>
      <c r="Q396" s="5">
        <f t="shared" si="48"/>
        <v>0.88379379094275134</v>
      </c>
      <c r="R396" s="5">
        <f t="shared" si="49"/>
        <v>7.6055430228810825E-2</v>
      </c>
      <c r="S396" s="5">
        <f t="shared" si="50"/>
        <v>0.53813559322033899</v>
      </c>
      <c r="T396" s="5">
        <f t="shared" si="51"/>
        <v>7.0866141732283464E-2</v>
      </c>
      <c r="U396" s="5">
        <f t="shared" si="52"/>
        <v>2.9004189494038026E-3</v>
      </c>
      <c r="V396" s="6">
        <f t="shared" si="53"/>
        <v>3.3459055118110235</v>
      </c>
      <c r="W396" s="7">
        <f t="shared" si="54"/>
        <v>1.8005508474576271</v>
      </c>
      <c r="X396" s="5">
        <f t="shared" si="55"/>
        <v>29.062622078930648</v>
      </c>
    </row>
    <row r="397" spans="1:24" x14ac:dyDescent="0.35">
      <c r="A397" s="3">
        <v>46089</v>
      </c>
      <c r="B397" t="s">
        <v>599</v>
      </c>
      <c r="C397" t="s">
        <v>600</v>
      </c>
      <c r="D397" t="s">
        <v>31</v>
      </c>
      <c r="E397" t="s">
        <v>56</v>
      </c>
      <c r="F397" t="s">
        <v>20</v>
      </c>
      <c r="G397" t="s">
        <v>41</v>
      </c>
      <c r="H397" t="s">
        <v>28</v>
      </c>
      <c r="I397">
        <v>4625</v>
      </c>
      <c r="J397">
        <v>3620</v>
      </c>
      <c r="K397">
        <v>3480</v>
      </c>
      <c r="L397">
        <v>139</v>
      </c>
      <c r="M397">
        <v>55</v>
      </c>
      <c r="N397">
        <v>3</v>
      </c>
      <c r="O397">
        <v>663.18</v>
      </c>
      <c r="P397">
        <v>2702.95</v>
      </c>
      <c r="Q397" s="5">
        <f t="shared" si="48"/>
        <v>0.96132596685082872</v>
      </c>
      <c r="R397" s="5">
        <f t="shared" si="49"/>
        <v>3.9942528735632185E-2</v>
      </c>
      <c r="S397" s="5">
        <f t="shared" si="50"/>
        <v>0.39568345323741005</v>
      </c>
      <c r="T397" s="5">
        <f t="shared" si="51"/>
        <v>5.4545454545454543E-2</v>
      </c>
      <c r="U397" s="5">
        <f t="shared" si="52"/>
        <v>8.6206896551724137E-4</v>
      </c>
      <c r="V397" s="6">
        <f t="shared" si="53"/>
        <v>12.057818181818181</v>
      </c>
      <c r="W397" s="7">
        <f t="shared" si="54"/>
        <v>4.7710791366906475</v>
      </c>
      <c r="X397" s="5">
        <f t="shared" si="55"/>
        <v>3.0757411260894481</v>
      </c>
    </row>
    <row r="398" spans="1:24" x14ac:dyDescent="0.35">
      <c r="A398" s="3">
        <v>46089</v>
      </c>
      <c r="B398" t="s">
        <v>601</v>
      </c>
      <c r="C398" t="s">
        <v>602</v>
      </c>
      <c r="D398" t="s">
        <v>18</v>
      </c>
      <c r="E398" t="s">
        <v>35</v>
      </c>
      <c r="F398" t="s">
        <v>26</v>
      </c>
      <c r="G398" t="s">
        <v>27</v>
      </c>
      <c r="H398" t="s">
        <v>28</v>
      </c>
      <c r="I398">
        <v>1121</v>
      </c>
      <c r="J398">
        <v>1045</v>
      </c>
      <c r="K398">
        <v>980</v>
      </c>
      <c r="L398">
        <v>110</v>
      </c>
      <c r="M398">
        <v>77</v>
      </c>
      <c r="N398">
        <v>7</v>
      </c>
      <c r="O398">
        <v>146.37</v>
      </c>
      <c r="P398">
        <v>8933.7199999999993</v>
      </c>
      <c r="Q398" s="5">
        <f t="shared" si="48"/>
        <v>0.93779904306220097</v>
      </c>
      <c r="R398" s="5">
        <f t="shared" si="49"/>
        <v>0.11224489795918367</v>
      </c>
      <c r="S398" s="5">
        <f t="shared" si="50"/>
        <v>0.7</v>
      </c>
      <c r="T398" s="5">
        <f t="shared" si="51"/>
        <v>9.0909090909090912E-2</v>
      </c>
      <c r="U398" s="5">
        <f t="shared" si="52"/>
        <v>7.1428571428571426E-3</v>
      </c>
      <c r="V398" s="6">
        <f t="shared" si="53"/>
        <v>1.9009090909090909</v>
      </c>
      <c r="W398" s="7">
        <f t="shared" si="54"/>
        <v>1.3306363636363636</v>
      </c>
      <c r="X398" s="5">
        <f t="shared" si="55"/>
        <v>60.035184805629555</v>
      </c>
    </row>
    <row r="399" spans="1:24" x14ac:dyDescent="0.35">
      <c r="A399" s="3">
        <v>46089</v>
      </c>
      <c r="B399" t="s">
        <v>551</v>
      </c>
      <c r="C399" t="s">
        <v>603</v>
      </c>
      <c r="D399" t="s">
        <v>31</v>
      </c>
      <c r="E399" t="s">
        <v>56</v>
      </c>
      <c r="F399" t="s">
        <v>26</v>
      </c>
      <c r="G399" t="s">
        <v>27</v>
      </c>
      <c r="H399" t="s">
        <v>28</v>
      </c>
      <c r="I399">
        <v>4070</v>
      </c>
      <c r="J399">
        <v>3853</v>
      </c>
      <c r="K399">
        <v>3697</v>
      </c>
      <c r="L399">
        <v>244</v>
      </c>
      <c r="M399">
        <v>119</v>
      </c>
      <c r="N399">
        <v>8</v>
      </c>
      <c r="O399">
        <v>594.16</v>
      </c>
      <c r="P399">
        <v>8601.91</v>
      </c>
      <c r="Q399" s="5">
        <f t="shared" si="48"/>
        <v>0.95951206851803794</v>
      </c>
      <c r="R399" s="5">
        <f t="shared" si="49"/>
        <v>6.5999459020827697E-2</v>
      </c>
      <c r="S399" s="5">
        <f t="shared" si="50"/>
        <v>0.48770491803278687</v>
      </c>
      <c r="T399" s="5">
        <f t="shared" si="51"/>
        <v>6.7226890756302518E-2</v>
      </c>
      <c r="U399" s="5">
        <f t="shared" si="52"/>
        <v>2.1639166892074655E-3</v>
      </c>
      <c r="V399" s="6">
        <f t="shared" si="53"/>
        <v>4.9929411764705875</v>
      </c>
      <c r="W399" s="7">
        <f t="shared" si="54"/>
        <v>2.4350819672131148</v>
      </c>
      <c r="X399" s="5">
        <f t="shared" si="55"/>
        <v>13.477430321798844</v>
      </c>
    </row>
    <row r="400" spans="1:24" x14ac:dyDescent="0.35">
      <c r="A400" s="3">
        <v>46089</v>
      </c>
      <c r="B400" t="s">
        <v>594</v>
      </c>
      <c r="C400" t="s">
        <v>604</v>
      </c>
      <c r="D400" t="s">
        <v>18</v>
      </c>
      <c r="E400" t="s">
        <v>35</v>
      </c>
      <c r="F400" t="s">
        <v>26</v>
      </c>
      <c r="G400" t="s">
        <v>36</v>
      </c>
      <c r="H400" t="s">
        <v>22</v>
      </c>
      <c r="I400">
        <v>1304</v>
      </c>
      <c r="J400">
        <v>1122</v>
      </c>
      <c r="K400">
        <v>1035</v>
      </c>
      <c r="L400">
        <v>110</v>
      </c>
      <c r="M400">
        <v>66</v>
      </c>
      <c r="N400">
        <v>5</v>
      </c>
      <c r="O400">
        <v>120.21</v>
      </c>
      <c r="P400">
        <v>7604.12</v>
      </c>
      <c r="Q400" s="5">
        <f t="shared" si="48"/>
        <v>0.92245989304812837</v>
      </c>
      <c r="R400" s="5">
        <f t="shared" si="49"/>
        <v>0.10628019323671498</v>
      </c>
      <c r="S400" s="5">
        <f t="shared" si="50"/>
        <v>0.6</v>
      </c>
      <c r="T400" s="5">
        <f t="shared" si="51"/>
        <v>7.575757575757576E-2</v>
      </c>
      <c r="U400" s="5">
        <f t="shared" si="52"/>
        <v>4.830917874396135E-3</v>
      </c>
      <c r="V400" s="6">
        <f t="shared" si="53"/>
        <v>1.8213636363636363</v>
      </c>
      <c r="W400" s="7">
        <f t="shared" si="54"/>
        <v>1.0928181818181817</v>
      </c>
      <c r="X400" s="5">
        <f t="shared" si="55"/>
        <v>62.256966974461363</v>
      </c>
    </row>
    <row r="401" spans="1:24" x14ac:dyDescent="0.35">
      <c r="A401" s="3">
        <v>46090</v>
      </c>
      <c r="B401" t="s">
        <v>563</v>
      </c>
      <c r="C401" t="s">
        <v>605</v>
      </c>
      <c r="D401" t="s">
        <v>40</v>
      </c>
      <c r="E401" t="s">
        <v>25</v>
      </c>
      <c r="F401" t="s">
        <v>26</v>
      </c>
      <c r="G401" t="s">
        <v>27</v>
      </c>
      <c r="H401" t="s">
        <v>37</v>
      </c>
      <c r="I401">
        <v>2242</v>
      </c>
      <c r="J401">
        <v>2069</v>
      </c>
      <c r="K401">
        <v>1968</v>
      </c>
      <c r="L401">
        <v>90</v>
      </c>
      <c r="M401">
        <v>54</v>
      </c>
      <c r="N401">
        <v>2</v>
      </c>
      <c r="O401">
        <v>286.86</v>
      </c>
      <c r="P401">
        <v>1532.95</v>
      </c>
      <c r="Q401" s="5">
        <f t="shared" si="48"/>
        <v>0.95118414693088449</v>
      </c>
      <c r="R401" s="5">
        <f t="shared" si="49"/>
        <v>4.573170731707317E-2</v>
      </c>
      <c r="S401" s="5">
        <f t="shared" si="50"/>
        <v>0.6</v>
      </c>
      <c r="T401" s="5">
        <f t="shared" si="51"/>
        <v>3.7037037037037035E-2</v>
      </c>
      <c r="U401" s="5">
        <f t="shared" si="52"/>
        <v>1.0162601626016261E-3</v>
      </c>
      <c r="V401" s="6">
        <f t="shared" si="53"/>
        <v>5.3122222222222222</v>
      </c>
      <c r="W401" s="7">
        <f t="shared" si="54"/>
        <v>3.1873333333333336</v>
      </c>
      <c r="X401" s="5">
        <f t="shared" si="55"/>
        <v>4.3438959771317025</v>
      </c>
    </row>
    <row r="402" spans="1:24" x14ac:dyDescent="0.35">
      <c r="A402" s="3">
        <v>46090</v>
      </c>
      <c r="B402" t="s">
        <v>606</v>
      </c>
      <c r="C402" t="s">
        <v>607</v>
      </c>
      <c r="D402" t="s">
        <v>34</v>
      </c>
      <c r="E402" t="s">
        <v>25</v>
      </c>
      <c r="F402" t="s">
        <v>20</v>
      </c>
      <c r="G402" t="s">
        <v>36</v>
      </c>
      <c r="H402" t="s">
        <v>28</v>
      </c>
      <c r="I402">
        <v>3591</v>
      </c>
      <c r="J402">
        <v>2632</v>
      </c>
      <c r="K402">
        <v>2489</v>
      </c>
      <c r="L402">
        <v>75</v>
      </c>
      <c r="M402">
        <v>33</v>
      </c>
      <c r="N402">
        <v>0</v>
      </c>
      <c r="O402">
        <v>235.75</v>
      </c>
      <c r="P402">
        <v>0</v>
      </c>
      <c r="Q402" s="5">
        <f t="shared" si="48"/>
        <v>0.94566869300911849</v>
      </c>
      <c r="R402" s="5">
        <f t="shared" si="49"/>
        <v>3.0132583366813983E-2</v>
      </c>
      <c r="S402" s="5">
        <f t="shared" si="50"/>
        <v>0.44</v>
      </c>
      <c r="T402" s="5">
        <f t="shared" si="51"/>
        <v>0</v>
      </c>
      <c r="U402" s="5">
        <f t="shared" si="52"/>
        <v>0</v>
      </c>
      <c r="V402" s="6">
        <f t="shared" si="53"/>
        <v>7.1439393939393936</v>
      </c>
      <c r="W402" s="7">
        <f t="shared" si="54"/>
        <v>3.1433333333333335</v>
      </c>
      <c r="X402" s="5">
        <f t="shared" si="55"/>
        <v>-1</v>
      </c>
    </row>
    <row r="403" spans="1:24" x14ac:dyDescent="0.35">
      <c r="A403" s="3">
        <v>46090</v>
      </c>
      <c r="B403" t="s">
        <v>608</v>
      </c>
      <c r="C403" t="s">
        <v>609</v>
      </c>
      <c r="D403" t="s">
        <v>34</v>
      </c>
      <c r="E403" t="s">
        <v>19</v>
      </c>
      <c r="F403" t="s">
        <v>20</v>
      </c>
      <c r="G403" t="s">
        <v>41</v>
      </c>
      <c r="H403" t="s">
        <v>51</v>
      </c>
      <c r="I403">
        <v>762</v>
      </c>
      <c r="J403">
        <v>675</v>
      </c>
      <c r="K403">
        <v>624</v>
      </c>
      <c r="L403">
        <v>6</v>
      </c>
      <c r="M403">
        <v>2</v>
      </c>
      <c r="N403">
        <v>0</v>
      </c>
      <c r="O403">
        <v>54.33</v>
      </c>
      <c r="P403">
        <v>0</v>
      </c>
      <c r="Q403" s="5">
        <f t="shared" si="48"/>
        <v>0.9244444444444444</v>
      </c>
      <c r="R403" s="5">
        <f t="shared" si="49"/>
        <v>9.6153846153846159E-3</v>
      </c>
      <c r="S403" s="5">
        <f t="shared" si="50"/>
        <v>0.33333333333333331</v>
      </c>
      <c r="T403" s="5">
        <f t="shared" si="51"/>
        <v>0</v>
      </c>
      <c r="U403" s="5">
        <f t="shared" si="52"/>
        <v>0</v>
      </c>
      <c r="V403" s="6">
        <f t="shared" si="53"/>
        <v>27.164999999999999</v>
      </c>
      <c r="W403" s="7">
        <f t="shared" si="54"/>
        <v>9.0549999999999997</v>
      </c>
      <c r="X403" s="5">
        <f t="shared" si="55"/>
        <v>-1</v>
      </c>
    </row>
    <row r="404" spans="1:24" x14ac:dyDescent="0.35">
      <c r="A404" s="3">
        <v>46090</v>
      </c>
      <c r="B404" t="s">
        <v>610</v>
      </c>
      <c r="C404" t="s">
        <v>611</v>
      </c>
      <c r="D404" t="s">
        <v>34</v>
      </c>
      <c r="E404" t="s">
        <v>56</v>
      </c>
      <c r="F404" t="s">
        <v>26</v>
      </c>
      <c r="G404" t="s">
        <v>27</v>
      </c>
      <c r="H404" t="s">
        <v>37</v>
      </c>
      <c r="I404">
        <v>1092</v>
      </c>
      <c r="J404">
        <v>937</v>
      </c>
      <c r="K404">
        <v>863</v>
      </c>
      <c r="L404">
        <v>54</v>
      </c>
      <c r="M404">
        <v>31</v>
      </c>
      <c r="N404">
        <v>3</v>
      </c>
      <c r="O404">
        <v>89.67</v>
      </c>
      <c r="P404">
        <v>3304.44</v>
      </c>
      <c r="Q404" s="5">
        <f t="shared" si="48"/>
        <v>0.92102454642475984</v>
      </c>
      <c r="R404" s="5">
        <f t="shared" si="49"/>
        <v>6.2572421784472768E-2</v>
      </c>
      <c r="S404" s="5">
        <f t="shared" si="50"/>
        <v>0.57407407407407407</v>
      </c>
      <c r="T404" s="5">
        <f t="shared" si="51"/>
        <v>9.6774193548387094E-2</v>
      </c>
      <c r="U404" s="5">
        <f t="shared" si="52"/>
        <v>3.4762456546929316E-3</v>
      </c>
      <c r="V404" s="6">
        <f t="shared" si="53"/>
        <v>2.8925806451612903</v>
      </c>
      <c r="W404" s="7">
        <f t="shared" si="54"/>
        <v>1.6605555555555556</v>
      </c>
      <c r="X404" s="5">
        <f t="shared" si="55"/>
        <v>35.851120776179322</v>
      </c>
    </row>
    <row r="405" spans="1:24" x14ac:dyDescent="0.35">
      <c r="A405" s="3">
        <v>46090</v>
      </c>
      <c r="B405" t="s">
        <v>551</v>
      </c>
      <c r="C405" t="s">
        <v>612</v>
      </c>
      <c r="D405" t="s">
        <v>31</v>
      </c>
      <c r="E405" t="s">
        <v>56</v>
      </c>
      <c r="F405" t="s">
        <v>26</v>
      </c>
      <c r="G405" t="s">
        <v>41</v>
      </c>
      <c r="H405" t="s">
        <v>48</v>
      </c>
      <c r="I405">
        <v>2150</v>
      </c>
      <c r="J405">
        <v>1596</v>
      </c>
      <c r="K405">
        <v>1534</v>
      </c>
      <c r="L405">
        <v>95</v>
      </c>
      <c r="M405">
        <v>49</v>
      </c>
      <c r="N405">
        <v>2</v>
      </c>
      <c r="O405">
        <v>265.72000000000003</v>
      </c>
      <c r="P405">
        <v>2357.48</v>
      </c>
      <c r="Q405" s="5">
        <f t="shared" si="48"/>
        <v>0.96115288220551376</v>
      </c>
      <c r="R405" s="5">
        <f t="shared" si="49"/>
        <v>6.1929595827900911E-2</v>
      </c>
      <c r="S405" s="5">
        <f t="shared" si="50"/>
        <v>0.51578947368421058</v>
      </c>
      <c r="T405" s="5">
        <f t="shared" si="51"/>
        <v>4.0816326530612242E-2</v>
      </c>
      <c r="U405" s="5">
        <f t="shared" si="52"/>
        <v>1.3037809647979139E-3</v>
      </c>
      <c r="V405" s="6">
        <f t="shared" si="53"/>
        <v>5.4228571428571435</v>
      </c>
      <c r="W405" s="7">
        <f t="shared" si="54"/>
        <v>2.7970526315789477</v>
      </c>
      <c r="X405" s="5">
        <f t="shared" si="55"/>
        <v>7.8720457624567217</v>
      </c>
    </row>
    <row r="406" spans="1:24" x14ac:dyDescent="0.35">
      <c r="A406" s="3">
        <v>46090</v>
      </c>
      <c r="B406" t="s">
        <v>580</v>
      </c>
      <c r="C406" t="s">
        <v>613</v>
      </c>
      <c r="D406" t="s">
        <v>40</v>
      </c>
      <c r="E406" t="s">
        <v>56</v>
      </c>
      <c r="F406" t="s">
        <v>20</v>
      </c>
      <c r="G406" t="s">
        <v>59</v>
      </c>
      <c r="H406" t="s">
        <v>37</v>
      </c>
      <c r="I406">
        <v>2904</v>
      </c>
      <c r="J406">
        <v>2177</v>
      </c>
      <c r="K406">
        <v>2055</v>
      </c>
      <c r="L406">
        <v>108</v>
      </c>
      <c r="M406">
        <v>56</v>
      </c>
      <c r="N406">
        <v>4</v>
      </c>
      <c r="O406">
        <v>358.21</v>
      </c>
      <c r="P406">
        <v>5252.23</v>
      </c>
      <c r="Q406" s="5">
        <f t="shared" si="48"/>
        <v>0.94395957740009184</v>
      </c>
      <c r="R406" s="5">
        <f t="shared" si="49"/>
        <v>5.2554744525547446E-2</v>
      </c>
      <c r="S406" s="5">
        <f t="shared" si="50"/>
        <v>0.51851851851851849</v>
      </c>
      <c r="T406" s="5">
        <f t="shared" si="51"/>
        <v>7.1428571428571425E-2</v>
      </c>
      <c r="U406" s="5">
        <f t="shared" si="52"/>
        <v>1.9464720194647203E-3</v>
      </c>
      <c r="V406" s="6">
        <f t="shared" si="53"/>
        <v>6.3966071428571425</v>
      </c>
      <c r="W406" s="7">
        <f t="shared" si="54"/>
        <v>3.3167592592592592</v>
      </c>
      <c r="X406" s="5">
        <f t="shared" si="55"/>
        <v>13.662432651238101</v>
      </c>
    </row>
    <row r="407" spans="1:24" x14ac:dyDescent="0.35">
      <c r="A407" s="3">
        <v>46091</v>
      </c>
      <c r="B407" t="s">
        <v>561</v>
      </c>
      <c r="C407" t="s">
        <v>614</v>
      </c>
      <c r="D407" t="s">
        <v>31</v>
      </c>
      <c r="E407" t="s">
        <v>56</v>
      </c>
      <c r="F407" t="s">
        <v>26</v>
      </c>
      <c r="G407" t="s">
        <v>41</v>
      </c>
      <c r="H407" t="s">
        <v>51</v>
      </c>
      <c r="I407">
        <v>2665</v>
      </c>
      <c r="J407">
        <v>2532</v>
      </c>
      <c r="K407">
        <v>2382</v>
      </c>
      <c r="L407">
        <v>122</v>
      </c>
      <c r="M407">
        <v>63</v>
      </c>
      <c r="N407">
        <v>4</v>
      </c>
      <c r="O407">
        <v>507.51</v>
      </c>
      <c r="P407">
        <v>5611.38</v>
      </c>
      <c r="Q407" s="5">
        <f t="shared" si="48"/>
        <v>0.94075829383886256</v>
      </c>
      <c r="R407" s="5">
        <f t="shared" si="49"/>
        <v>5.1217464315701094E-2</v>
      </c>
      <c r="S407" s="5">
        <f t="shared" si="50"/>
        <v>0.51639344262295084</v>
      </c>
      <c r="T407" s="5">
        <f t="shared" si="51"/>
        <v>6.3492063492063489E-2</v>
      </c>
      <c r="U407" s="5">
        <f t="shared" si="52"/>
        <v>1.6792611251049538E-3</v>
      </c>
      <c r="V407" s="6">
        <f t="shared" si="53"/>
        <v>8.055714285714286</v>
      </c>
      <c r="W407" s="7">
        <f t="shared" si="54"/>
        <v>4.1599180327868854</v>
      </c>
      <c r="X407" s="5">
        <f t="shared" si="55"/>
        <v>10.056688538156884</v>
      </c>
    </row>
    <row r="408" spans="1:24" x14ac:dyDescent="0.35">
      <c r="A408" s="3">
        <v>46091</v>
      </c>
      <c r="B408" t="s">
        <v>615</v>
      </c>
      <c r="C408" t="s">
        <v>616</v>
      </c>
      <c r="D408" t="s">
        <v>34</v>
      </c>
      <c r="E408" t="s">
        <v>56</v>
      </c>
      <c r="F408" t="s">
        <v>20</v>
      </c>
      <c r="G408" t="s">
        <v>59</v>
      </c>
      <c r="H408" t="s">
        <v>28</v>
      </c>
      <c r="I408">
        <v>665</v>
      </c>
      <c r="J408">
        <v>641</v>
      </c>
      <c r="K408">
        <v>614</v>
      </c>
      <c r="L408">
        <v>27</v>
      </c>
      <c r="M408">
        <v>13</v>
      </c>
      <c r="N408">
        <v>1</v>
      </c>
      <c r="O408">
        <v>53.06</v>
      </c>
      <c r="P408">
        <v>1064.0999999999999</v>
      </c>
      <c r="Q408" s="5">
        <f t="shared" si="48"/>
        <v>0.95787831513260535</v>
      </c>
      <c r="R408" s="5">
        <f t="shared" si="49"/>
        <v>4.3973941368078175E-2</v>
      </c>
      <c r="S408" s="5">
        <f t="shared" si="50"/>
        <v>0.48148148148148145</v>
      </c>
      <c r="T408" s="5">
        <f t="shared" si="51"/>
        <v>7.6923076923076927E-2</v>
      </c>
      <c r="U408" s="5">
        <f t="shared" si="52"/>
        <v>1.6286644951140066E-3</v>
      </c>
      <c r="V408" s="6">
        <f t="shared" si="53"/>
        <v>4.0815384615384618</v>
      </c>
      <c r="W408" s="7">
        <f t="shared" si="54"/>
        <v>1.9651851851851854</v>
      </c>
      <c r="X408" s="5">
        <f t="shared" si="55"/>
        <v>19.054655107425553</v>
      </c>
    </row>
    <row r="409" spans="1:24" x14ac:dyDescent="0.35">
      <c r="A409" s="3">
        <v>46091</v>
      </c>
      <c r="B409" t="s">
        <v>586</v>
      </c>
      <c r="C409" t="s">
        <v>617</v>
      </c>
      <c r="D409" t="s">
        <v>34</v>
      </c>
      <c r="E409" t="s">
        <v>25</v>
      </c>
      <c r="F409" t="s">
        <v>20</v>
      </c>
      <c r="G409" t="s">
        <v>59</v>
      </c>
      <c r="H409" t="s">
        <v>28</v>
      </c>
      <c r="I409">
        <v>4018</v>
      </c>
      <c r="J409">
        <v>3599</v>
      </c>
      <c r="K409">
        <v>3363</v>
      </c>
      <c r="L409">
        <v>106</v>
      </c>
      <c r="M409">
        <v>49</v>
      </c>
      <c r="N409">
        <v>2</v>
      </c>
      <c r="O409">
        <v>326.18</v>
      </c>
      <c r="P409">
        <v>1410.46</v>
      </c>
      <c r="Q409" s="5">
        <f t="shared" si="48"/>
        <v>0.93442622950819676</v>
      </c>
      <c r="R409" s="5">
        <f t="shared" si="49"/>
        <v>3.1519476657746057E-2</v>
      </c>
      <c r="S409" s="5">
        <f t="shared" si="50"/>
        <v>0.46226415094339623</v>
      </c>
      <c r="T409" s="5">
        <f t="shared" si="51"/>
        <v>4.0816326530612242E-2</v>
      </c>
      <c r="U409" s="5">
        <f t="shared" si="52"/>
        <v>5.9470710674992561E-4</v>
      </c>
      <c r="V409" s="6">
        <f t="shared" si="53"/>
        <v>6.6567346938775511</v>
      </c>
      <c r="W409" s="7">
        <f t="shared" si="54"/>
        <v>3.0771698113207546</v>
      </c>
      <c r="X409" s="5">
        <f t="shared" si="55"/>
        <v>3.3241768348764484</v>
      </c>
    </row>
    <row r="410" spans="1:24" x14ac:dyDescent="0.35">
      <c r="A410" s="3">
        <v>46091</v>
      </c>
      <c r="B410" t="s">
        <v>618</v>
      </c>
      <c r="C410" t="s">
        <v>619</v>
      </c>
      <c r="D410" t="s">
        <v>18</v>
      </c>
      <c r="E410" t="s">
        <v>19</v>
      </c>
      <c r="F410" t="s">
        <v>20</v>
      </c>
      <c r="G410" t="s">
        <v>36</v>
      </c>
      <c r="H410" t="s">
        <v>28</v>
      </c>
      <c r="I410">
        <v>413</v>
      </c>
      <c r="J410">
        <v>362</v>
      </c>
      <c r="K410">
        <v>324</v>
      </c>
      <c r="L410">
        <v>1</v>
      </c>
      <c r="M410">
        <v>1</v>
      </c>
      <c r="N410">
        <v>0</v>
      </c>
      <c r="O410">
        <v>43.77</v>
      </c>
      <c r="P410">
        <v>0</v>
      </c>
      <c r="Q410" s="5">
        <f t="shared" si="48"/>
        <v>0.89502762430939231</v>
      </c>
      <c r="R410" s="5">
        <f t="shared" si="49"/>
        <v>3.0864197530864196E-3</v>
      </c>
      <c r="S410" s="5">
        <f t="shared" si="50"/>
        <v>1</v>
      </c>
      <c r="T410" s="5">
        <f t="shared" si="51"/>
        <v>0</v>
      </c>
      <c r="U410" s="5">
        <f t="shared" si="52"/>
        <v>0</v>
      </c>
      <c r="V410" s="6">
        <f t="shared" si="53"/>
        <v>43.77</v>
      </c>
      <c r="W410" s="7">
        <f t="shared" si="54"/>
        <v>43.77</v>
      </c>
      <c r="X410" s="5">
        <f t="shared" si="55"/>
        <v>-1</v>
      </c>
    </row>
    <row r="411" spans="1:24" x14ac:dyDescent="0.35">
      <c r="A411" s="3">
        <v>46091</v>
      </c>
      <c r="B411" t="s">
        <v>580</v>
      </c>
      <c r="C411" t="s">
        <v>620</v>
      </c>
      <c r="D411" t="s">
        <v>34</v>
      </c>
      <c r="E411" t="s">
        <v>35</v>
      </c>
      <c r="F411" t="s">
        <v>20</v>
      </c>
      <c r="G411" t="s">
        <v>36</v>
      </c>
      <c r="H411" t="s">
        <v>48</v>
      </c>
      <c r="I411">
        <v>1169</v>
      </c>
      <c r="J411">
        <v>1020</v>
      </c>
      <c r="K411">
        <v>956</v>
      </c>
      <c r="L411">
        <v>88</v>
      </c>
      <c r="M411">
        <v>40</v>
      </c>
      <c r="N411">
        <v>2</v>
      </c>
      <c r="O411">
        <v>74.19</v>
      </c>
      <c r="P411">
        <v>1682.04</v>
      </c>
      <c r="Q411" s="5">
        <f t="shared" si="48"/>
        <v>0.93725490196078431</v>
      </c>
      <c r="R411" s="5">
        <f t="shared" si="49"/>
        <v>9.2050209205020925E-2</v>
      </c>
      <c r="S411" s="5">
        <f t="shared" si="50"/>
        <v>0.45454545454545453</v>
      </c>
      <c r="T411" s="5">
        <f t="shared" si="51"/>
        <v>0.05</v>
      </c>
      <c r="U411" s="5">
        <f t="shared" si="52"/>
        <v>2.0920502092050207E-3</v>
      </c>
      <c r="V411" s="6">
        <f t="shared" si="53"/>
        <v>1.8547499999999999</v>
      </c>
      <c r="W411" s="7">
        <f t="shared" si="54"/>
        <v>0.84306818181818177</v>
      </c>
      <c r="X411" s="5">
        <f t="shared" si="55"/>
        <v>21.672058228871816</v>
      </c>
    </row>
    <row r="412" spans="1:24" x14ac:dyDescent="0.35">
      <c r="A412" s="3">
        <v>46092</v>
      </c>
      <c r="B412" t="s">
        <v>565</v>
      </c>
      <c r="C412" t="s">
        <v>621</v>
      </c>
      <c r="D412" t="s">
        <v>31</v>
      </c>
      <c r="E412" t="s">
        <v>56</v>
      </c>
      <c r="F412" t="s">
        <v>26</v>
      </c>
      <c r="G412" t="s">
        <v>41</v>
      </c>
      <c r="H412" t="s">
        <v>48</v>
      </c>
      <c r="I412">
        <v>2931</v>
      </c>
      <c r="J412">
        <v>2758</v>
      </c>
      <c r="K412">
        <v>2605</v>
      </c>
      <c r="L412">
        <v>119</v>
      </c>
      <c r="M412">
        <v>58</v>
      </c>
      <c r="N412">
        <v>4</v>
      </c>
      <c r="O412">
        <v>578.97</v>
      </c>
      <c r="P412">
        <v>3633.94</v>
      </c>
      <c r="Q412" s="5">
        <f t="shared" si="48"/>
        <v>0.94452501812907907</v>
      </c>
      <c r="R412" s="5">
        <f t="shared" si="49"/>
        <v>4.5681381957773513E-2</v>
      </c>
      <c r="S412" s="5">
        <f t="shared" si="50"/>
        <v>0.48739495798319327</v>
      </c>
      <c r="T412" s="5">
        <f t="shared" si="51"/>
        <v>6.8965517241379309E-2</v>
      </c>
      <c r="U412" s="5">
        <f t="shared" si="52"/>
        <v>1.5355086372360845E-3</v>
      </c>
      <c r="V412" s="6">
        <f t="shared" si="53"/>
        <v>9.9822413793103451</v>
      </c>
      <c r="W412" s="7">
        <f t="shared" si="54"/>
        <v>4.8652941176470588</v>
      </c>
      <c r="X412" s="5">
        <f t="shared" si="55"/>
        <v>5.2765600981052563</v>
      </c>
    </row>
    <row r="413" spans="1:24" x14ac:dyDescent="0.35">
      <c r="A413" s="3">
        <v>46092</v>
      </c>
      <c r="B413" t="s">
        <v>618</v>
      </c>
      <c r="C413" t="s">
        <v>622</v>
      </c>
      <c r="D413" t="s">
        <v>40</v>
      </c>
      <c r="E413" t="s">
        <v>56</v>
      </c>
      <c r="F413" t="s">
        <v>26</v>
      </c>
      <c r="G413" t="s">
        <v>21</v>
      </c>
      <c r="H413" t="s">
        <v>22</v>
      </c>
      <c r="I413">
        <v>3767</v>
      </c>
      <c r="J413">
        <v>2828</v>
      </c>
      <c r="K413">
        <v>2662</v>
      </c>
      <c r="L413">
        <v>200</v>
      </c>
      <c r="M413">
        <v>118</v>
      </c>
      <c r="N413">
        <v>7</v>
      </c>
      <c r="O413">
        <v>465.62</v>
      </c>
      <c r="P413">
        <v>7712.34</v>
      </c>
      <c r="Q413" s="5">
        <f t="shared" si="48"/>
        <v>0.94130127298444133</v>
      </c>
      <c r="R413" s="5">
        <f t="shared" si="49"/>
        <v>7.5131480090157771E-2</v>
      </c>
      <c r="S413" s="5">
        <f t="shared" si="50"/>
        <v>0.59</v>
      </c>
      <c r="T413" s="5">
        <f t="shared" si="51"/>
        <v>5.9322033898305086E-2</v>
      </c>
      <c r="U413" s="5">
        <f t="shared" si="52"/>
        <v>2.6296018031555222E-3</v>
      </c>
      <c r="V413" s="6">
        <f t="shared" si="53"/>
        <v>3.9459322033898308</v>
      </c>
      <c r="W413" s="7">
        <f t="shared" si="54"/>
        <v>2.3281000000000001</v>
      </c>
      <c r="X413" s="5">
        <f t="shared" si="55"/>
        <v>15.563592629182596</v>
      </c>
    </row>
    <row r="414" spans="1:24" x14ac:dyDescent="0.35">
      <c r="A414" s="3">
        <v>46092</v>
      </c>
      <c r="B414" t="s">
        <v>540</v>
      </c>
      <c r="C414" t="s">
        <v>623</v>
      </c>
      <c r="D414" t="s">
        <v>34</v>
      </c>
      <c r="E414" t="s">
        <v>35</v>
      </c>
      <c r="F414" t="s">
        <v>20</v>
      </c>
      <c r="G414" t="s">
        <v>21</v>
      </c>
      <c r="H414" t="s">
        <v>51</v>
      </c>
      <c r="I414">
        <v>1831</v>
      </c>
      <c r="J414">
        <v>1348</v>
      </c>
      <c r="K414">
        <v>1247</v>
      </c>
      <c r="L414">
        <v>75</v>
      </c>
      <c r="M414">
        <v>35</v>
      </c>
      <c r="N414">
        <v>2</v>
      </c>
      <c r="O414">
        <v>101.08</v>
      </c>
      <c r="P414">
        <v>1943.33</v>
      </c>
      <c r="Q414" s="5">
        <f t="shared" si="48"/>
        <v>0.92507418397626118</v>
      </c>
      <c r="R414" s="5">
        <f t="shared" si="49"/>
        <v>6.0144346431435444E-2</v>
      </c>
      <c r="S414" s="5">
        <f t="shared" si="50"/>
        <v>0.46666666666666667</v>
      </c>
      <c r="T414" s="5">
        <f t="shared" si="51"/>
        <v>5.7142857142857141E-2</v>
      </c>
      <c r="U414" s="5">
        <f t="shared" si="52"/>
        <v>1.6038492381716118E-3</v>
      </c>
      <c r="V414" s="6">
        <f t="shared" si="53"/>
        <v>2.8879999999999999</v>
      </c>
      <c r="W414" s="7">
        <f t="shared" si="54"/>
        <v>1.3477333333333332</v>
      </c>
      <c r="X414" s="5">
        <f t="shared" si="55"/>
        <v>18.22566284131381</v>
      </c>
    </row>
    <row r="415" spans="1:24" x14ac:dyDescent="0.35">
      <c r="A415" s="3">
        <v>46092</v>
      </c>
      <c r="B415" t="s">
        <v>557</v>
      </c>
      <c r="C415" t="s">
        <v>624</v>
      </c>
      <c r="D415" t="s">
        <v>18</v>
      </c>
      <c r="E415" t="s">
        <v>25</v>
      </c>
      <c r="F415" t="s">
        <v>20</v>
      </c>
      <c r="G415" t="s">
        <v>41</v>
      </c>
      <c r="H415" t="s">
        <v>48</v>
      </c>
      <c r="I415">
        <v>2044</v>
      </c>
      <c r="J415">
        <v>1619</v>
      </c>
      <c r="K415">
        <v>1465</v>
      </c>
      <c r="L415">
        <v>73</v>
      </c>
      <c r="M415">
        <v>39</v>
      </c>
      <c r="N415">
        <v>2</v>
      </c>
      <c r="O415">
        <v>217.33</v>
      </c>
      <c r="P415">
        <v>1792.05</v>
      </c>
      <c r="Q415" s="5">
        <f t="shared" si="48"/>
        <v>0.9048795552810377</v>
      </c>
      <c r="R415" s="5">
        <f t="shared" si="49"/>
        <v>4.9829351535836175E-2</v>
      </c>
      <c r="S415" s="5">
        <f t="shared" si="50"/>
        <v>0.53424657534246578</v>
      </c>
      <c r="T415" s="5">
        <f t="shared" si="51"/>
        <v>5.128205128205128E-2</v>
      </c>
      <c r="U415" s="5">
        <f t="shared" si="52"/>
        <v>1.3651877133105802E-3</v>
      </c>
      <c r="V415" s="6">
        <f t="shared" si="53"/>
        <v>5.5725641025641028</v>
      </c>
      <c r="W415" s="7">
        <f t="shared" si="54"/>
        <v>2.9771232876712332</v>
      </c>
      <c r="X415" s="5">
        <f t="shared" si="55"/>
        <v>7.2457553029954447</v>
      </c>
    </row>
    <row r="416" spans="1:24" x14ac:dyDescent="0.35">
      <c r="A416" s="3">
        <v>46092</v>
      </c>
      <c r="B416" t="s">
        <v>580</v>
      </c>
      <c r="C416" t="s">
        <v>625</v>
      </c>
      <c r="D416" t="s">
        <v>40</v>
      </c>
      <c r="E416" t="s">
        <v>56</v>
      </c>
      <c r="F416" t="s">
        <v>26</v>
      </c>
      <c r="G416" t="s">
        <v>36</v>
      </c>
      <c r="H416" t="s">
        <v>28</v>
      </c>
      <c r="I416">
        <v>2680</v>
      </c>
      <c r="J416">
        <v>2479</v>
      </c>
      <c r="K416">
        <v>2349</v>
      </c>
      <c r="L416">
        <v>182</v>
      </c>
      <c r="M416">
        <v>96</v>
      </c>
      <c r="N416">
        <v>6</v>
      </c>
      <c r="O416">
        <v>382.71</v>
      </c>
      <c r="P416">
        <v>7057.2</v>
      </c>
      <c r="Q416" s="5">
        <f t="shared" si="48"/>
        <v>0.94755949979830578</v>
      </c>
      <c r="R416" s="5">
        <f t="shared" si="49"/>
        <v>7.747977862920391E-2</v>
      </c>
      <c r="S416" s="5">
        <f t="shared" si="50"/>
        <v>0.52747252747252749</v>
      </c>
      <c r="T416" s="5">
        <f t="shared" si="51"/>
        <v>6.25E-2</v>
      </c>
      <c r="U416" s="5">
        <f t="shared" si="52"/>
        <v>2.554278416347382E-3</v>
      </c>
      <c r="V416" s="6">
        <f t="shared" si="53"/>
        <v>3.9865624999999998</v>
      </c>
      <c r="W416" s="7">
        <f t="shared" si="54"/>
        <v>2.1028021978021978</v>
      </c>
      <c r="X416" s="5">
        <f t="shared" si="55"/>
        <v>17.440072117268951</v>
      </c>
    </row>
    <row r="417" spans="1:24" x14ac:dyDescent="0.35">
      <c r="A417" s="3">
        <v>46093</v>
      </c>
      <c r="B417" t="s">
        <v>561</v>
      </c>
      <c r="C417" t="s">
        <v>626</v>
      </c>
      <c r="D417" t="s">
        <v>18</v>
      </c>
      <c r="E417" t="s">
        <v>56</v>
      </c>
      <c r="F417" t="s">
        <v>26</v>
      </c>
      <c r="G417" t="s">
        <v>36</v>
      </c>
      <c r="H417" t="s">
        <v>37</v>
      </c>
      <c r="I417">
        <v>1291</v>
      </c>
      <c r="J417">
        <v>1130</v>
      </c>
      <c r="K417">
        <v>998</v>
      </c>
      <c r="L417">
        <v>76</v>
      </c>
      <c r="M417">
        <v>46</v>
      </c>
      <c r="N417">
        <v>2</v>
      </c>
      <c r="O417">
        <v>154.91999999999999</v>
      </c>
      <c r="P417">
        <v>3075.34</v>
      </c>
      <c r="Q417" s="5">
        <f t="shared" si="48"/>
        <v>0.88318584070796458</v>
      </c>
      <c r="R417" s="5">
        <f t="shared" si="49"/>
        <v>7.6152304609218444E-2</v>
      </c>
      <c r="S417" s="5">
        <f t="shared" si="50"/>
        <v>0.60526315789473684</v>
      </c>
      <c r="T417" s="5">
        <f t="shared" si="51"/>
        <v>4.3478260869565216E-2</v>
      </c>
      <c r="U417" s="5">
        <f t="shared" si="52"/>
        <v>2.004008016032064E-3</v>
      </c>
      <c r="V417" s="6">
        <f t="shared" si="53"/>
        <v>3.3678260869565215</v>
      </c>
      <c r="W417" s="7">
        <f t="shared" si="54"/>
        <v>2.0384210526315787</v>
      </c>
      <c r="X417" s="5">
        <f t="shared" si="55"/>
        <v>18.851148980118772</v>
      </c>
    </row>
    <row r="418" spans="1:24" x14ac:dyDescent="0.35">
      <c r="A418" s="3">
        <v>46093</v>
      </c>
      <c r="B418" t="s">
        <v>627</v>
      </c>
      <c r="C418" t="s">
        <v>628</v>
      </c>
      <c r="D418" t="s">
        <v>31</v>
      </c>
      <c r="E418" t="s">
        <v>19</v>
      </c>
      <c r="F418" t="s">
        <v>20</v>
      </c>
      <c r="G418" t="s">
        <v>27</v>
      </c>
      <c r="H418" t="s">
        <v>51</v>
      </c>
      <c r="I418">
        <v>2159</v>
      </c>
      <c r="J418">
        <v>2011</v>
      </c>
      <c r="K418">
        <v>1988</v>
      </c>
      <c r="L418">
        <v>23</v>
      </c>
      <c r="M418">
        <v>9</v>
      </c>
      <c r="N418">
        <v>0</v>
      </c>
      <c r="O418">
        <v>318.33999999999997</v>
      </c>
      <c r="P418">
        <v>0</v>
      </c>
      <c r="Q418" s="5">
        <f t="shared" si="48"/>
        <v>0.98856290402784686</v>
      </c>
      <c r="R418" s="5">
        <f t="shared" si="49"/>
        <v>1.1569416498993963E-2</v>
      </c>
      <c r="S418" s="5">
        <f t="shared" si="50"/>
        <v>0.39130434782608697</v>
      </c>
      <c r="T418" s="5">
        <f t="shared" si="51"/>
        <v>0</v>
      </c>
      <c r="U418" s="5">
        <f t="shared" si="52"/>
        <v>0</v>
      </c>
      <c r="V418" s="6">
        <f t="shared" si="53"/>
        <v>35.371111111111105</v>
      </c>
      <c r="W418" s="7">
        <f t="shared" si="54"/>
        <v>13.840869565217391</v>
      </c>
      <c r="X418" s="5">
        <f t="shared" si="55"/>
        <v>-1</v>
      </c>
    </row>
    <row r="419" spans="1:24" x14ac:dyDescent="0.35">
      <c r="A419" s="3">
        <v>46093</v>
      </c>
      <c r="B419" t="s">
        <v>569</v>
      </c>
      <c r="C419" t="s">
        <v>629</v>
      </c>
      <c r="D419" t="s">
        <v>40</v>
      </c>
      <c r="E419" t="s">
        <v>56</v>
      </c>
      <c r="F419" t="s">
        <v>20</v>
      </c>
      <c r="G419" t="s">
        <v>59</v>
      </c>
      <c r="H419" t="s">
        <v>51</v>
      </c>
      <c r="I419">
        <v>2404</v>
      </c>
      <c r="J419">
        <v>2403</v>
      </c>
      <c r="K419">
        <v>2270</v>
      </c>
      <c r="L419">
        <v>159</v>
      </c>
      <c r="M419">
        <v>74</v>
      </c>
      <c r="N419">
        <v>4</v>
      </c>
      <c r="O419">
        <v>423.04</v>
      </c>
      <c r="P419">
        <v>3733.59</v>
      </c>
      <c r="Q419" s="5">
        <f t="shared" si="48"/>
        <v>0.9446525176862256</v>
      </c>
      <c r="R419" s="5">
        <f t="shared" si="49"/>
        <v>7.0044052863436124E-2</v>
      </c>
      <c r="S419" s="5">
        <f t="shared" si="50"/>
        <v>0.46540880503144655</v>
      </c>
      <c r="T419" s="5">
        <f t="shared" si="51"/>
        <v>5.4054054054054057E-2</v>
      </c>
      <c r="U419" s="5">
        <f t="shared" si="52"/>
        <v>1.762114537444934E-3</v>
      </c>
      <c r="V419" s="6">
        <f t="shared" si="53"/>
        <v>5.716756756756757</v>
      </c>
      <c r="W419" s="7">
        <f t="shared" si="54"/>
        <v>2.6606289308176101</v>
      </c>
      <c r="X419" s="5">
        <f t="shared" si="55"/>
        <v>7.82561932677761</v>
      </c>
    </row>
    <row r="420" spans="1:24" x14ac:dyDescent="0.35">
      <c r="A420" s="3">
        <v>46093</v>
      </c>
      <c r="B420" t="s">
        <v>630</v>
      </c>
      <c r="C420" t="s">
        <v>631</v>
      </c>
      <c r="D420" t="s">
        <v>31</v>
      </c>
      <c r="E420" t="s">
        <v>35</v>
      </c>
      <c r="F420" t="s">
        <v>20</v>
      </c>
      <c r="G420" t="s">
        <v>41</v>
      </c>
      <c r="H420" t="s">
        <v>48</v>
      </c>
      <c r="I420">
        <v>2203</v>
      </c>
      <c r="J420">
        <v>1860</v>
      </c>
      <c r="K420">
        <v>1796</v>
      </c>
      <c r="L420">
        <v>104</v>
      </c>
      <c r="M420">
        <v>44</v>
      </c>
      <c r="N420">
        <v>3</v>
      </c>
      <c r="O420">
        <v>304.87</v>
      </c>
      <c r="P420">
        <v>2877.43</v>
      </c>
      <c r="Q420" s="5">
        <f t="shared" si="48"/>
        <v>0.96559139784946235</v>
      </c>
      <c r="R420" s="5">
        <f t="shared" si="49"/>
        <v>5.7906458797327393E-2</v>
      </c>
      <c r="S420" s="5">
        <f t="shared" si="50"/>
        <v>0.42307692307692307</v>
      </c>
      <c r="T420" s="5">
        <f t="shared" si="51"/>
        <v>6.8181818181818177E-2</v>
      </c>
      <c r="U420" s="5">
        <f t="shared" si="52"/>
        <v>1.6703786191536749E-3</v>
      </c>
      <c r="V420" s="6">
        <f t="shared" si="53"/>
        <v>6.9288636363636362</v>
      </c>
      <c r="W420" s="7">
        <f t="shared" si="54"/>
        <v>2.9314423076923077</v>
      </c>
      <c r="X420" s="5">
        <f t="shared" si="55"/>
        <v>8.4382195689966206</v>
      </c>
    </row>
    <row r="421" spans="1:24" x14ac:dyDescent="0.35">
      <c r="A421" s="3">
        <v>46093</v>
      </c>
      <c r="B421" t="s">
        <v>632</v>
      </c>
      <c r="C421" t="s">
        <v>633</v>
      </c>
      <c r="D421" t="s">
        <v>34</v>
      </c>
      <c r="E421" t="s">
        <v>56</v>
      </c>
      <c r="F421" t="s">
        <v>26</v>
      </c>
      <c r="G421" t="s">
        <v>41</v>
      </c>
      <c r="H421" t="s">
        <v>48</v>
      </c>
      <c r="I421">
        <v>4476</v>
      </c>
      <c r="J421">
        <v>3612</v>
      </c>
      <c r="K421">
        <v>3396</v>
      </c>
      <c r="L421">
        <v>197</v>
      </c>
      <c r="M421">
        <v>102</v>
      </c>
      <c r="N421">
        <v>6</v>
      </c>
      <c r="O421">
        <v>292.54000000000002</v>
      </c>
      <c r="P421">
        <v>4902.95</v>
      </c>
      <c r="Q421" s="5">
        <f t="shared" si="48"/>
        <v>0.94019933554817281</v>
      </c>
      <c r="R421" s="5">
        <f t="shared" si="49"/>
        <v>5.8009422850412252E-2</v>
      </c>
      <c r="S421" s="5">
        <f t="shared" si="50"/>
        <v>0.51776649746192893</v>
      </c>
      <c r="T421" s="5">
        <f t="shared" si="51"/>
        <v>5.8823529411764705E-2</v>
      </c>
      <c r="U421" s="5">
        <f t="shared" si="52"/>
        <v>1.7667844522968198E-3</v>
      </c>
      <c r="V421" s="6">
        <f t="shared" si="53"/>
        <v>2.8680392156862746</v>
      </c>
      <c r="W421" s="7">
        <f t="shared" si="54"/>
        <v>1.4849746192893403</v>
      </c>
      <c r="X421" s="5">
        <f t="shared" si="55"/>
        <v>15.759930265946535</v>
      </c>
    </row>
    <row r="422" spans="1:24" x14ac:dyDescent="0.35">
      <c r="A422" s="3">
        <v>46093</v>
      </c>
      <c r="B422" t="s">
        <v>573</v>
      </c>
      <c r="C422" t="s">
        <v>634</v>
      </c>
      <c r="D422" t="s">
        <v>31</v>
      </c>
      <c r="E422" t="s">
        <v>25</v>
      </c>
      <c r="F422" t="s">
        <v>20</v>
      </c>
      <c r="G422" t="s">
        <v>59</v>
      </c>
      <c r="H422" t="s">
        <v>22</v>
      </c>
      <c r="I422">
        <v>2830</v>
      </c>
      <c r="J422">
        <v>2678</v>
      </c>
      <c r="K422">
        <v>2616</v>
      </c>
      <c r="L422">
        <v>56</v>
      </c>
      <c r="M422">
        <v>25</v>
      </c>
      <c r="N422">
        <v>1</v>
      </c>
      <c r="O422">
        <v>465.97</v>
      </c>
      <c r="P422">
        <v>1002.11</v>
      </c>
      <c r="Q422" s="5">
        <f t="shared" si="48"/>
        <v>0.97684839432412252</v>
      </c>
      <c r="R422" s="5">
        <f t="shared" si="49"/>
        <v>2.1406727828746176E-2</v>
      </c>
      <c r="S422" s="5">
        <f t="shared" si="50"/>
        <v>0.44642857142857145</v>
      </c>
      <c r="T422" s="5">
        <f t="shared" si="51"/>
        <v>0.04</v>
      </c>
      <c r="U422" s="5">
        <f t="shared" si="52"/>
        <v>3.8226299694189603E-4</v>
      </c>
      <c r="V422" s="6">
        <f t="shared" si="53"/>
        <v>18.6388</v>
      </c>
      <c r="W422" s="7">
        <f t="shared" si="54"/>
        <v>8.3208928571428569</v>
      </c>
      <c r="X422" s="5">
        <f t="shared" si="55"/>
        <v>1.1505890937184797</v>
      </c>
    </row>
    <row r="423" spans="1:24" x14ac:dyDescent="0.35">
      <c r="A423" s="3">
        <v>46094</v>
      </c>
      <c r="B423" t="s">
        <v>635</v>
      </c>
      <c r="C423" t="s">
        <v>636</v>
      </c>
      <c r="D423" t="s">
        <v>31</v>
      </c>
      <c r="E423" t="s">
        <v>25</v>
      </c>
      <c r="F423" t="s">
        <v>20</v>
      </c>
      <c r="G423" t="s">
        <v>41</v>
      </c>
      <c r="H423" t="s">
        <v>48</v>
      </c>
      <c r="I423">
        <v>3933</v>
      </c>
      <c r="J423">
        <v>3861</v>
      </c>
      <c r="K423">
        <v>3701</v>
      </c>
      <c r="L423">
        <v>114</v>
      </c>
      <c r="M423">
        <v>59</v>
      </c>
      <c r="N423">
        <v>2</v>
      </c>
      <c r="O423">
        <v>687.79</v>
      </c>
      <c r="P423">
        <v>1387.62</v>
      </c>
      <c r="Q423" s="5">
        <f t="shared" si="48"/>
        <v>0.95855995855995857</v>
      </c>
      <c r="R423" s="5">
        <f t="shared" si="49"/>
        <v>3.0802485814644689E-2</v>
      </c>
      <c r="S423" s="5">
        <f t="shared" si="50"/>
        <v>0.51754385964912286</v>
      </c>
      <c r="T423" s="5">
        <f t="shared" si="51"/>
        <v>3.3898305084745763E-2</v>
      </c>
      <c r="U423" s="5">
        <f t="shared" si="52"/>
        <v>5.4039448797622261E-4</v>
      </c>
      <c r="V423" s="6">
        <f t="shared" si="53"/>
        <v>11.657457627118644</v>
      </c>
      <c r="W423" s="7">
        <f t="shared" si="54"/>
        <v>6.0332456140350876</v>
      </c>
      <c r="X423" s="5">
        <f t="shared" si="55"/>
        <v>1.0175053432006862</v>
      </c>
    </row>
    <row r="424" spans="1:24" x14ac:dyDescent="0.35">
      <c r="A424" s="3">
        <v>46094</v>
      </c>
      <c r="B424" t="s">
        <v>637</v>
      </c>
      <c r="C424" t="s">
        <v>638</v>
      </c>
      <c r="D424" t="s">
        <v>31</v>
      </c>
      <c r="E424" t="s">
        <v>35</v>
      </c>
      <c r="F424" t="s">
        <v>20</v>
      </c>
      <c r="G424" t="s">
        <v>36</v>
      </c>
      <c r="H424" t="s">
        <v>28</v>
      </c>
      <c r="I424">
        <v>3941</v>
      </c>
      <c r="J424">
        <v>3562</v>
      </c>
      <c r="K424">
        <v>3463</v>
      </c>
      <c r="L424">
        <v>142</v>
      </c>
      <c r="M424">
        <v>63</v>
      </c>
      <c r="N424">
        <v>4</v>
      </c>
      <c r="O424">
        <v>575.66</v>
      </c>
      <c r="P424">
        <v>4209.33</v>
      </c>
      <c r="Q424" s="5">
        <f t="shared" si="48"/>
        <v>0.97220662549129699</v>
      </c>
      <c r="R424" s="5">
        <f t="shared" si="49"/>
        <v>4.1004909038406007E-2</v>
      </c>
      <c r="S424" s="5">
        <f t="shared" si="50"/>
        <v>0.44366197183098594</v>
      </c>
      <c r="T424" s="5">
        <f t="shared" si="51"/>
        <v>6.3492063492063489E-2</v>
      </c>
      <c r="U424" s="5">
        <f t="shared" si="52"/>
        <v>1.155067860236789E-3</v>
      </c>
      <c r="V424" s="6">
        <f t="shared" si="53"/>
        <v>9.1374603174603166</v>
      </c>
      <c r="W424" s="7">
        <f t="shared" si="54"/>
        <v>4.0539436619718305</v>
      </c>
      <c r="X424" s="5">
        <f t="shared" si="55"/>
        <v>6.3121808011673561</v>
      </c>
    </row>
    <row r="425" spans="1:24" x14ac:dyDescent="0.35">
      <c r="A425" s="3">
        <v>46094</v>
      </c>
      <c r="B425" t="s">
        <v>639</v>
      </c>
      <c r="C425" t="s">
        <v>640</v>
      </c>
      <c r="D425" t="s">
        <v>34</v>
      </c>
      <c r="E425" t="s">
        <v>56</v>
      </c>
      <c r="F425" t="s">
        <v>20</v>
      </c>
      <c r="G425" t="s">
        <v>27</v>
      </c>
      <c r="H425" t="s">
        <v>48</v>
      </c>
      <c r="I425">
        <v>722</v>
      </c>
      <c r="J425">
        <v>656</v>
      </c>
      <c r="K425">
        <v>616</v>
      </c>
      <c r="L425">
        <v>24</v>
      </c>
      <c r="M425">
        <v>10</v>
      </c>
      <c r="N425">
        <v>0</v>
      </c>
      <c r="O425">
        <v>59.32</v>
      </c>
      <c r="P425">
        <v>0</v>
      </c>
      <c r="Q425" s="5">
        <f t="shared" si="48"/>
        <v>0.93902439024390238</v>
      </c>
      <c r="R425" s="5">
        <f t="shared" si="49"/>
        <v>3.896103896103896E-2</v>
      </c>
      <c r="S425" s="5">
        <f t="shared" si="50"/>
        <v>0.41666666666666669</v>
      </c>
      <c r="T425" s="5">
        <f t="shared" si="51"/>
        <v>0</v>
      </c>
      <c r="U425" s="5">
        <f t="shared" si="52"/>
        <v>0</v>
      </c>
      <c r="V425" s="6">
        <f t="shared" si="53"/>
        <v>5.9320000000000004</v>
      </c>
      <c r="W425" s="7">
        <f t="shared" si="54"/>
        <v>2.4716666666666667</v>
      </c>
      <c r="X425" s="5">
        <f t="shared" si="55"/>
        <v>-1</v>
      </c>
    </row>
    <row r="426" spans="1:24" x14ac:dyDescent="0.35">
      <c r="A426" s="3">
        <v>46094</v>
      </c>
      <c r="B426" t="s">
        <v>641</v>
      </c>
      <c r="C426" t="s">
        <v>642</v>
      </c>
      <c r="D426" t="s">
        <v>18</v>
      </c>
      <c r="E426" t="s">
        <v>35</v>
      </c>
      <c r="F426" t="s">
        <v>20</v>
      </c>
      <c r="G426" t="s">
        <v>27</v>
      </c>
      <c r="H426" t="s">
        <v>28</v>
      </c>
      <c r="I426">
        <v>4121</v>
      </c>
      <c r="J426">
        <v>3120</v>
      </c>
      <c r="K426">
        <v>2870</v>
      </c>
      <c r="L426">
        <v>233</v>
      </c>
      <c r="M426">
        <v>113</v>
      </c>
      <c r="N426">
        <v>8</v>
      </c>
      <c r="O426">
        <v>375.98</v>
      </c>
      <c r="P426">
        <v>10555.35</v>
      </c>
      <c r="Q426" s="5">
        <f t="shared" si="48"/>
        <v>0.91987179487179482</v>
      </c>
      <c r="R426" s="5">
        <f t="shared" si="49"/>
        <v>8.1184668989547043E-2</v>
      </c>
      <c r="S426" s="5">
        <f t="shared" si="50"/>
        <v>0.48497854077253216</v>
      </c>
      <c r="T426" s="5">
        <f t="shared" si="51"/>
        <v>7.0796460176991149E-2</v>
      </c>
      <c r="U426" s="5">
        <f t="shared" si="52"/>
        <v>2.7874564459930314E-3</v>
      </c>
      <c r="V426" s="6">
        <f t="shared" si="53"/>
        <v>3.3272566371681416</v>
      </c>
      <c r="W426" s="7">
        <f t="shared" si="54"/>
        <v>1.613648068669528</v>
      </c>
      <c r="X426" s="5">
        <f t="shared" si="55"/>
        <v>27.074232671950636</v>
      </c>
    </row>
    <row r="427" spans="1:24" x14ac:dyDescent="0.35">
      <c r="A427" s="3">
        <v>46094</v>
      </c>
      <c r="B427" t="s">
        <v>643</v>
      </c>
      <c r="C427" t="s">
        <v>644</v>
      </c>
      <c r="D427" t="s">
        <v>31</v>
      </c>
      <c r="E427" t="s">
        <v>25</v>
      </c>
      <c r="F427" t="s">
        <v>20</v>
      </c>
      <c r="G427" t="s">
        <v>36</v>
      </c>
      <c r="H427" t="s">
        <v>22</v>
      </c>
      <c r="I427">
        <v>1481</v>
      </c>
      <c r="J427">
        <v>1120</v>
      </c>
      <c r="K427">
        <v>1089</v>
      </c>
      <c r="L427">
        <v>30</v>
      </c>
      <c r="M427">
        <v>12</v>
      </c>
      <c r="N427">
        <v>0</v>
      </c>
      <c r="O427">
        <v>184.35</v>
      </c>
      <c r="P427">
        <v>0</v>
      </c>
      <c r="Q427" s="5">
        <f t="shared" si="48"/>
        <v>0.97232142857142856</v>
      </c>
      <c r="R427" s="5">
        <f t="shared" si="49"/>
        <v>2.7548209366391185E-2</v>
      </c>
      <c r="S427" s="5">
        <f t="shared" si="50"/>
        <v>0.4</v>
      </c>
      <c r="T427" s="5">
        <f t="shared" si="51"/>
        <v>0</v>
      </c>
      <c r="U427" s="5">
        <f t="shared" si="52"/>
        <v>0</v>
      </c>
      <c r="V427" s="6">
        <f t="shared" si="53"/>
        <v>15.362499999999999</v>
      </c>
      <c r="W427" s="7">
        <f t="shared" si="54"/>
        <v>6.1449999999999996</v>
      </c>
      <c r="X427" s="5">
        <f t="shared" si="55"/>
        <v>-1</v>
      </c>
    </row>
    <row r="428" spans="1:24" x14ac:dyDescent="0.35">
      <c r="A428" s="3">
        <v>46094</v>
      </c>
      <c r="B428" t="s">
        <v>643</v>
      </c>
      <c r="C428" t="s">
        <v>645</v>
      </c>
      <c r="D428" t="s">
        <v>18</v>
      </c>
      <c r="E428" t="s">
        <v>35</v>
      </c>
      <c r="F428" t="s">
        <v>20</v>
      </c>
      <c r="G428" t="s">
        <v>27</v>
      </c>
      <c r="H428" t="s">
        <v>28</v>
      </c>
      <c r="I428">
        <v>2493</v>
      </c>
      <c r="J428">
        <v>2176</v>
      </c>
      <c r="K428">
        <v>2031</v>
      </c>
      <c r="L428">
        <v>158</v>
      </c>
      <c r="M428">
        <v>74</v>
      </c>
      <c r="N428">
        <v>5</v>
      </c>
      <c r="O428">
        <v>275.81</v>
      </c>
      <c r="P428">
        <v>4424.1400000000003</v>
      </c>
      <c r="Q428" s="5">
        <f t="shared" si="48"/>
        <v>0.93336397058823528</v>
      </c>
      <c r="R428" s="5">
        <f t="shared" si="49"/>
        <v>7.7794190054160509E-2</v>
      </c>
      <c r="S428" s="5">
        <f t="shared" si="50"/>
        <v>0.46835443037974683</v>
      </c>
      <c r="T428" s="5">
        <f t="shared" si="51"/>
        <v>6.7567567567567571E-2</v>
      </c>
      <c r="U428" s="5">
        <f t="shared" si="52"/>
        <v>2.461841457410143E-3</v>
      </c>
      <c r="V428" s="6">
        <f t="shared" si="53"/>
        <v>3.7271621621621622</v>
      </c>
      <c r="W428" s="7">
        <f t="shared" si="54"/>
        <v>1.7456329113924052</v>
      </c>
      <c r="X428" s="5">
        <f t="shared" si="55"/>
        <v>15.040535151009752</v>
      </c>
    </row>
    <row r="429" spans="1:24" x14ac:dyDescent="0.35">
      <c r="A429" s="3">
        <v>46094</v>
      </c>
      <c r="B429" t="s">
        <v>586</v>
      </c>
      <c r="C429" t="s">
        <v>646</v>
      </c>
      <c r="D429" t="s">
        <v>18</v>
      </c>
      <c r="E429" t="s">
        <v>25</v>
      </c>
      <c r="F429" t="s">
        <v>20</v>
      </c>
      <c r="G429" t="s">
        <v>21</v>
      </c>
      <c r="H429" t="s">
        <v>48</v>
      </c>
      <c r="I429">
        <v>2157</v>
      </c>
      <c r="J429">
        <v>2069</v>
      </c>
      <c r="K429">
        <v>1803</v>
      </c>
      <c r="L429">
        <v>67</v>
      </c>
      <c r="M429">
        <v>34</v>
      </c>
      <c r="N429">
        <v>2</v>
      </c>
      <c r="O429">
        <v>261.14</v>
      </c>
      <c r="P429">
        <v>2194.0300000000002</v>
      </c>
      <c r="Q429" s="5">
        <f t="shared" si="48"/>
        <v>0.87143547607539873</v>
      </c>
      <c r="R429" s="5">
        <f t="shared" si="49"/>
        <v>3.7160288408208543E-2</v>
      </c>
      <c r="S429" s="5">
        <f t="shared" si="50"/>
        <v>0.5074626865671642</v>
      </c>
      <c r="T429" s="5">
        <f t="shared" si="51"/>
        <v>5.8823529411764705E-2</v>
      </c>
      <c r="U429" s="5">
        <f t="shared" si="52"/>
        <v>1.1092623405435386E-3</v>
      </c>
      <c r="V429" s="6">
        <f t="shared" si="53"/>
        <v>7.6805882352941168</v>
      </c>
      <c r="W429" s="7">
        <f t="shared" si="54"/>
        <v>3.8976119402985074</v>
      </c>
      <c r="X429" s="5">
        <f t="shared" si="55"/>
        <v>7.4017385310561403</v>
      </c>
    </row>
    <row r="430" spans="1:24" x14ac:dyDescent="0.35">
      <c r="A430" s="3">
        <v>46094</v>
      </c>
      <c r="B430" t="s">
        <v>647</v>
      </c>
      <c r="C430" t="s">
        <v>648</v>
      </c>
      <c r="D430" t="s">
        <v>18</v>
      </c>
      <c r="E430" t="s">
        <v>25</v>
      </c>
      <c r="F430" t="s">
        <v>20</v>
      </c>
      <c r="G430" t="s">
        <v>21</v>
      </c>
      <c r="H430" t="s">
        <v>48</v>
      </c>
      <c r="I430">
        <v>2157</v>
      </c>
      <c r="J430">
        <v>1658</v>
      </c>
      <c r="K430">
        <v>1497</v>
      </c>
      <c r="L430">
        <v>68</v>
      </c>
      <c r="M430">
        <v>36</v>
      </c>
      <c r="N430">
        <v>2</v>
      </c>
      <c r="O430">
        <v>237.15</v>
      </c>
      <c r="P430">
        <v>1736.52</v>
      </c>
      <c r="Q430" s="5">
        <f t="shared" si="48"/>
        <v>0.90289505428226779</v>
      </c>
      <c r="R430" s="5">
        <f t="shared" si="49"/>
        <v>4.5424181696726788E-2</v>
      </c>
      <c r="S430" s="5">
        <f t="shared" si="50"/>
        <v>0.52941176470588236</v>
      </c>
      <c r="T430" s="5">
        <f t="shared" si="51"/>
        <v>5.5555555555555552E-2</v>
      </c>
      <c r="U430" s="5">
        <f t="shared" si="52"/>
        <v>1.3360053440213762E-3</v>
      </c>
      <c r="V430" s="6">
        <f t="shared" si="53"/>
        <v>6.5875000000000004</v>
      </c>
      <c r="W430" s="7">
        <f t="shared" si="54"/>
        <v>3.4875000000000003</v>
      </c>
      <c r="X430" s="5">
        <f t="shared" si="55"/>
        <v>6.3224541429475014</v>
      </c>
    </row>
    <row r="431" spans="1:24" x14ac:dyDescent="0.35">
      <c r="A431" s="3">
        <v>46094</v>
      </c>
      <c r="B431" t="s">
        <v>649</v>
      </c>
      <c r="C431" t="s">
        <v>650</v>
      </c>
      <c r="D431" t="s">
        <v>34</v>
      </c>
      <c r="E431" t="s">
        <v>35</v>
      </c>
      <c r="F431" t="s">
        <v>20</v>
      </c>
      <c r="G431" t="s">
        <v>27</v>
      </c>
      <c r="H431" t="s">
        <v>37</v>
      </c>
      <c r="I431">
        <v>2521</v>
      </c>
      <c r="J431">
        <v>2228</v>
      </c>
      <c r="K431">
        <v>2046</v>
      </c>
      <c r="L431">
        <v>117</v>
      </c>
      <c r="M431">
        <v>47</v>
      </c>
      <c r="N431">
        <v>4</v>
      </c>
      <c r="O431">
        <v>167.42</v>
      </c>
      <c r="P431">
        <v>4342.49</v>
      </c>
      <c r="Q431" s="5">
        <f t="shared" si="48"/>
        <v>0.91831238779174151</v>
      </c>
      <c r="R431" s="5">
        <f t="shared" si="49"/>
        <v>5.7184750733137828E-2</v>
      </c>
      <c r="S431" s="5">
        <f t="shared" si="50"/>
        <v>0.40170940170940173</v>
      </c>
      <c r="T431" s="5">
        <f t="shared" si="51"/>
        <v>8.5106382978723402E-2</v>
      </c>
      <c r="U431" s="5">
        <f t="shared" si="52"/>
        <v>1.9550342130987292E-3</v>
      </c>
      <c r="V431" s="6">
        <f t="shared" si="53"/>
        <v>3.5621276595744678</v>
      </c>
      <c r="W431" s="7">
        <f t="shared" si="54"/>
        <v>1.4309401709401708</v>
      </c>
      <c r="X431" s="5">
        <f t="shared" si="55"/>
        <v>24.937701588818541</v>
      </c>
    </row>
    <row r="432" spans="1:24" x14ac:dyDescent="0.35">
      <c r="A432" s="3">
        <v>46094</v>
      </c>
      <c r="B432" t="s">
        <v>651</v>
      </c>
      <c r="C432" t="s">
        <v>652</v>
      </c>
      <c r="D432" t="s">
        <v>34</v>
      </c>
      <c r="E432" t="s">
        <v>25</v>
      </c>
      <c r="F432" t="s">
        <v>20</v>
      </c>
      <c r="G432" t="s">
        <v>21</v>
      </c>
      <c r="H432" t="s">
        <v>22</v>
      </c>
      <c r="I432">
        <v>3416</v>
      </c>
      <c r="J432">
        <v>3201</v>
      </c>
      <c r="K432">
        <v>3027</v>
      </c>
      <c r="L432">
        <v>99</v>
      </c>
      <c r="M432">
        <v>50</v>
      </c>
      <c r="N432">
        <v>1</v>
      </c>
      <c r="O432">
        <v>224.84</v>
      </c>
      <c r="P432">
        <v>843.86</v>
      </c>
      <c r="Q432" s="5">
        <f t="shared" si="48"/>
        <v>0.94564198687910028</v>
      </c>
      <c r="R432" s="5">
        <f t="shared" si="49"/>
        <v>3.2705649157581763E-2</v>
      </c>
      <c r="S432" s="5">
        <f t="shared" si="50"/>
        <v>0.50505050505050508</v>
      </c>
      <c r="T432" s="5">
        <f t="shared" si="51"/>
        <v>0.02</v>
      </c>
      <c r="U432" s="5">
        <f t="shared" si="52"/>
        <v>3.3036009250082588E-4</v>
      </c>
      <c r="V432" s="6">
        <f t="shared" si="53"/>
        <v>4.4968000000000004</v>
      </c>
      <c r="W432" s="7">
        <f t="shared" si="54"/>
        <v>2.2711111111111113</v>
      </c>
      <c r="X432" s="5">
        <f t="shared" si="55"/>
        <v>2.7531578011030065</v>
      </c>
    </row>
    <row r="433" spans="1:24" x14ac:dyDescent="0.35">
      <c r="A433" s="3">
        <v>46094</v>
      </c>
      <c r="B433" t="s">
        <v>653</v>
      </c>
      <c r="C433" t="s">
        <v>654</v>
      </c>
      <c r="D433" t="s">
        <v>34</v>
      </c>
      <c r="E433" t="s">
        <v>25</v>
      </c>
      <c r="F433" t="s">
        <v>26</v>
      </c>
      <c r="G433" t="s">
        <v>41</v>
      </c>
      <c r="H433" t="s">
        <v>51</v>
      </c>
      <c r="I433">
        <v>1017</v>
      </c>
      <c r="J433">
        <v>908</v>
      </c>
      <c r="K433">
        <v>828</v>
      </c>
      <c r="L433">
        <v>48</v>
      </c>
      <c r="M433">
        <v>26</v>
      </c>
      <c r="N433">
        <v>1</v>
      </c>
      <c r="O433">
        <v>76.34</v>
      </c>
      <c r="P433">
        <v>1071.9100000000001</v>
      </c>
      <c r="Q433" s="5">
        <f t="shared" si="48"/>
        <v>0.91189427312775329</v>
      </c>
      <c r="R433" s="5">
        <f t="shared" si="49"/>
        <v>5.7971014492753624E-2</v>
      </c>
      <c r="S433" s="5">
        <f t="shared" si="50"/>
        <v>0.54166666666666663</v>
      </c>
      <c r="T433" s="5">
        <f t="shared" si="51"/>
        <v>3.8461538461538464E-2</v>
      </c>
      <c r="U433" s="5">
        <f t="shared" si="52"/>
        <v>1.2077294685990338E-3</v>
      </c>
      <c r="V433" s="6">
        <f t="shared" si="53"/>
        <v>2.9361538461538461</v>
      </c>
      <c r="W433" s="7">
        <f t="shared" si="54"/>
        <v>1.5904166666666668</v>
      </c>
      <c r="X433" s="5">
        <f t="shared" si="55"/>
        <v>13.041262771810322</v>
      </c>
    </row>
    <row r="434" spans="1:24" x14ac:dyDescent="0.35">
      <c r="A434" s="3">
        <v>46094</v>
      </c>
      <c r="B434" t="s">
        <v>573</v>
      </c>
      <c r="C434" t="s">
        <v>655</v>
      </c>
      <c r="D434" t="s">
        <v>18</v>
      </c>
      <c r="E434" t="s">
        <v>35</v>
      </c>
      <c r="F434" t="s">
        <v>20</v>
      </c>
      <c r="G434" t="s">
        <v>21</v>
      </c>
      <c r="H434" t="s">
        <v>37</v>
      </c>
      <c r="I434">
        <v>1309</v>
      </c>
      <c r="J434">
        <v>970</v>
      </c>
      <c r="K434">
        <v>863</v>
      </c>
      <c r="L434">
        <v>67</v>
      </c>
      <c r="M434">
        <v>40</v>
      </c>
      <c r="N434">
        <v>3</v>
      </c>
      <c r="O434">
        <v>121.62</v>
      </c>
      <c r="P434">
        <v>4168.54</v>
      </c>
      <c r="Q434" s="5">
        <f t="shared" si="48"/>
        <v>0.88969072164948448</v>
      </c>
      <c r="R434" s="5">
        <f t="shared" si="49"/>
        <v>7.7636152954808801E-2</v>
      </c>
      <c r="S434" s="5">
        <f t="shared" si="50"/>
        <v>0.59701492537313428</v>
      </c>
      <c r="T434" s="5">
        <f t="shared" si="51"/>
        <v>7.4999999999999997E-2</v>
      </c>
      <c r="U434" s="5">
        <f t="shared" si="52"/>
        <v>3.4762456546929316E-3</v>
      </c>
      <c r="V434" s="6">
        <f t="shared" si="53"/>
        <v>3.0405000000000002</v>
      </c>
      <c r="W434" s="7">
        <f t="shared" si="54"/>
        <v>1.8152238805970149</v>
      </c>
      <c r="X434" s="5">
        <f t="shared" si="55"/>
        <v>33.27511922381187</v>
      </c>
    </row>
    <row r="435" spans="1:24" x14ac:dyDescent="0.35">
      <c r="A435" s="3">
        <v>46094</v>
      </c>
      <c r="B435" t="s">
        <v>656</v>
      </c>
      <c r="C435" t="s">
        <v>657</v>
      </c>
      <c r="D435" t="s">
        <v>34</v>
      </c>
      <c r="E435" t="s">
        <v>56</v>
      </c>
      <c r="F435" t="s">
        <v>20</v>
      </c>
      <c r="G435" t="s">
        <v>41</v>
      </c>
      <c r="H435" t="s">
        <v>48</v>
      </c>
      <c r="I435">
        <v>2975</v>
      </c>
      <c r="J435">
        <v>2971</v>
      </c>
      <c r="K435">
        <v>2850</v>
      </c>
      <c r="L435">
        <v>149</v>
      </c>
      <c r="M435">
        <v>58</v>
      </c>
      <c r="N435">
        <v>2</v>
      </c>
      <c r="O435">
        <v>235.53</v>
      </c>
      <c r="P435">
        <v>2376.0100000000002</v>
      </c>
      <c r="Q435" s="5">
        <f t="shared" si="48"/>
        <v>0.95927297206327833</v>
      </c>
      <c r="R435" s="5">
        <f t="shared" si="49"/>
        <v>5.2280701754385962E-2</v>
      </c>
      <c r="S435" s="5">
        <f t="shared" si="50"/>
        <v>0.38926174496644295</v>
      </c>
      <c r="T435" s="5">
        <f t="shared" si="51"/>
        <v>3.4482758620689655E-2</v>
      </c>
      <c r="U435" s="5">
        <f t="shared" si="52"/>
        <v>7.0175438596491223E-4</v>
      </c>
      <c r="V435" s="6">
        <f t="shared" si="53"/>
        <v>4.060862068965517</v>
      </c>
      <c r="W435" s="7">
        <f t="shared" si="54"/>
        <v>1.5807382550335571</v>
      </c>
      <c r="X435" s="5">
        <f t="shared" si="55"/>
        <v>9.0879293508257977</v>
      </c>
    </row>
    <row r="436" spans="1:24" x14ac:dyDescent="0.35">
      <c r="A436" s="3">
        <v>46094</v>
      </c>
      <c r="B436" t="s">
        <v>658</v>
      </c>
      <c r="C436" t="s">
        <v>659</v>
      </c>
      <c r="D436" t="s">
        <v>18</v>
      </c>
      <c r="E436" t="s">
        <v>56</v>
      </c>
      <c r="F436" t="s">
        <v>20</v>
      </c>
      <c r="G436" t="s">
        <v>27</v>
      </c>
      <c r="H436" t="s">
        <v>28</v>
      </c>
      <c r="I436">
        <v>794</v>
      </c>
      <c r="J436">
        <v>701</v>
      </c>
      <c r="K436">
        <v>631</v>
      </c>
      <c r="L436">
        <v>41</v>
      </c>
      <c r="M436">
        <v>19</v>
      </c>
      <c r="N436">
        <v>1</v>
      </c>
      <c r="O436">
        <v>83.61</v>
      </c>
      <c r="P436">
        <v>1188.17</v>
      </c>
      <c r="Q436" s="5">
        <f t="shared" si="48"/>
        <v>0.90014265335235377</v>
      </c>
      <c r="R436" s="5">
        <f t="shared" si="49"/>
        <v>6.4976228209191758E-2</v>
      </c>
      <c r="S436" s="5">
        <f t="shared" si="50"/>
        <v>0.46341463414634149</v>
      </c>
      <c r="T436" s="5">
        <f t="shared" si="51"/>
        <v>5.2631578947368418E-2</v>
      </c>
      <c r="U436" s="5">
        <f t="shared" si="52"/>
        <v>1.5847860538827259E-3</v>
      </c>
      <c r="V436" s="6">
        <f t="shared" si="53"/>
        <v>4.4005263157894738</v>
      </c>
      <c r="W436" s="7">
        <f t="shared" si="54"/>
        <v>2.0392682926829266</v>
      </c>
      <c r="X436" s="5">
        <f t="shared" si="55"/>
        <v>13.21085994498266</v>
      </c>
    </row>
    <row r="437" spans="1:24" x14ac:dyDescent="0.35">
      <c r="A437" s="3">
        <v>46095</v>
      </c>
      <c r="B437" t="s">
        <v>544</v>
      </c>
      <c r="C437" t="s">
        <v>660</v>
      </c>
      <c r="D437" t="s">
        <v>34</v>
      </c>
      <c r="E437" t="s">
        <v>35</v>
      </c>
      <c r="F437" t="s">
        <v>20</v>
      </c>
      <c r="G437" t="s">
        <v>21</v>
      </c>
      <c r="H437" t="s">
        <v>51</v>
      </c>
      <c r="I437">
        <v>3294</v>
      </c>
      <c r="J437">
        <v>3143</v>
      </c>
      <c r="K437">
        <v>3061</v>
      </c>
      <c r="L437">
        <v>179</v>
      </c>
      <c r="M437">
        <v>87</v>
      </c>
      <c r="N437">
        <v>6</v>
      </c>
      <c r="O437">
        <v>277.57</v>
      </c>
      <c r="P437">
        <v>9342.64</v>
      </c>
      <c r="Q437" s="5">
        <f t="shared" si="48"/>
        <v>0.97391027680559972</v>
      </c>
      <c r="R437" s="5">
        <f t="shared" si="49"/>
        <v>5.8477621692257432E-2</v>
      </c>
      <c r="S437" s="5">
        <f t="shared" si="50"/>
        <v>0.48603351955307261</v>
      </c>
      <c r="T437" s="5">
        <f t="shared" si="51"/>
        <v>6.8965517241379309E-2</v>
      </c>
      <c r="U437" s="5">
        <f t="shared" si="52"/>
        <v>1.9601437438745506E-3</v>
      </c>
      <c r="V437" s="6">
        <f t="shared" si="53"/>
        <v>3.1904597701149426</v>
      </c>
      <c r="W437" s="7">
        <f t="shared" si="54"/>
        <v>1.5506703910614525</v>
      </c>
      <c r="X437" s="5">
        <f t="shared" si="55"/>
        <v>32.65868069315848</v>
      </c>
    </row>
    <row r="438" spans="1:24" x14ac:dyDescent="0.35">
      <c r="A438" s="3">
        <v>46095</v>
      </c>
      <c r="B438" t="s">
        <v>546</v>
      </c>
      <c r="C438" t="s">
        <v>661</v>
      </c>
      <c r="D438" t="s">
        <v>34</v>
      </c>
      <c r="E438" t="s">
        <v>35</v>
      </c>
      <c r="F438" t="s">
        <v>20</v>
      </c>
      <c r="G438" t="s">
        <v>27</v>
      </c>
      <c r="H438" t="s">
        <v>51</v>
      </c>
      <c r="I438">
        <v>4366</v>
      </c>
      <c r="J438">
        <v>3654</v>
      </c>
      <c r="K438">
        <v>3427</v>
      </c>
      <c r="L438">
        <v>187</v>
      </c>
      <c r="M438">
        <v>86</v>
      </c>
      <c r="N438">
        <v>6</v>
      </c>
      <c r="O438">
        <v>316.2</v>
      </c>
      <c r="P438">
        <v>6740.14</v>
      </c>
      <c r="Q438" s="5">
        <f t="shared" si="48"/>
        <v>0.93787629994526545</v>
      </c>
      <c r="R438" s="5">
        <f t="shared" si="49"/>
        <v>5.4566676393346954E-2</v>
      </c>
      <c r="S438" s="5">
        <f t="shared" si="50"/>
        <v>0.45989304812834225</v>
      </c>
      <c r="T438" s="5">
        <f t="shared" si="51"/>
        <v>6.9767441860465115E-2</v>
      </c>
      <c r="U438" s="5">
        <f t="shared" si="52"/>
        <v>1.7508024511234317E-3</v>
      </c>
      <c r="V438" s="6">
        <f t="shared" si="53"/>
        <v>3.6767441860465113</v>
      </c>
      <c r="W438" s="7">
        <f t="shared" si="54"/>
        <v>1.6909090909090909</v>
      </c>
      <c r="X438" s="5">
        <f t="shared" si="55"/>
        <v>20.316065781151174</v>
      </c>
    </row>
    <row r="439" spans="1:24" x14ac:dyDescent="0.35">
      <c r="A439" s="3">
        <v>46095</v>
      </c>
      <c r="B439" t="s">
        <v>597</v>
      </c>
      <c r="C439" t="s">
        <v>662</v>
      </c>
      <c r="D439" t="s">
        <v>40</v>
      </c>
      <c r="E439" t="s">
        <v>19</v>
      </c>
      <c r="F439" t="s">
        <v>20</v>
      </c>
      <c r="G439" t="s">
        <v>36</v>
      </c>
      <c r="H439" t="s">
        <v>22</v>
      </c>
      <c r="I439">
        <v>2269</v>
      </c>
      <c r="J439">
        <v>1816</v>
      </c>
      <c r="K439">
        <v>1690</v>
      </c>
      <c r="L439">
        <v>36</v>
      </c>
      <c r="M439">
        <v>18</v>
      </c>
      <c r="N439">
        <v>0</v>
      </c>
      <c r="O439">
        <v>274.74</v>
      </c>
      <c r="P439">
        <v>0</v>
      </c>
      <c r="Q439" s="5">
        <f t="shared" si="48"/>
        <v>0.93061674008810569</v>
      </c>
      <c r="R439" s="5">
        <f t="shared" si="49"/>
        <v>2.1301775147928994E-2</v>
      </c>
      <c r="S439" s="5">
        <f t="shared" si="50"/>
        <v>0.5</v>
      </c>
      <c r="T439" s="5">
        <f t="shared" si="51"/>
        <v>0</v>
      </c>
      <c r="U439" s="5">
        <f t="shared" si="52"/>
        <v>0</v>
      </c>
      <c r="V439" s="6">
        <f t="shared" si="53"/>
        <v>15.263333333333334</v>
      </c>
      <c r="W439" s="7">
        <f t="shared" si="54"/>
        <v>7.6316666666666668</v>
      </c>
      <c r="X439" s="5">
        <f t="shared" si="55"/>
        <v>-1</v>
      </c>
    </row>
    <row r="440" spans="1:24" x14ac:dyDescent="0.35">
      <c r="A440" s="3">
        <v>46095</v>
      </c>
      <c r="B440" t="s">
        <v>606</v>
      </c>
      <c r="C440" t="s">
        <v>663</v>
      </c>
      <c r="D440" t="s">
        <v>18</v>
      </c>
      <c r="E440" t="s">
        <v>35</v>
      </c>
      <c r="F440" t="s">
        <v>20</v>
      </c>
      <c r="G440" t="s">
        <v>59</v>
      </c>
      <c r="H440" t="s">
        <v>37</v>
      </c>
      <c r="I440">
        <v>1535</v>
      </c>
      <c r="J440">
        <v>1185</v>
      </c>
      <c r="K440">
        <v>1076</v>
      </c>
      <c r="L440">
        <v>76</v>
      </c>
      <c r="M440">
        <v>35</v>
      </c>
      <c r="N440">
        <v>3</v>
      </c>
      <c r="O440">
        <v>134.63999999999999</v>
      </c>
      <c r="P440">
        <v>3684.36</v>
      </c>
      <c r="Q440" s="5">
        <f t="shared" si="48"/>
        <v>0.90801687763713079</v>
      </c>
      <c r="R440" s="5">
        <f t="shared" si="49"/>
        <v>7.0631970260223054E-2</v>
      </c>
      <c r="S440" s="5">
        <f t="shared" si="50"/>
        <v>0.46052631578947367</v>
      </c>
      <c r="T440" s="5">
        <f t="shared" si="51"/>
        <v>8.5714285714285715E-2</v>
      </c>
      <c r="U440" s="5">
        <f t="shared" si="52"/>
        <v>2.7881040892193307E-3</v>
      </c>
      <c r="V440" s="6">
        <f t="shared" si="53"/>
        <v>3.8468571428571425</v>
      </c>
      <c r="W440" s="7">
        <f t="shared" si="54"/>
        <v>1.7715789473684209</v>
      </c>
      <c r="X440" s="5">
        <f t="shared" si="55"/>
        <v>26.364527629233518</v>
      </c>
    </row>
    <row r="441" spans="1:24" x14ac:dyDescent="0.35">
      <c r="A441" s="3">
        <v>46095</v>
      </c>
      <c r="B441" t="s">
        <v>664</v>
      </c>
      <c r="C441" t="s">
        <v>665</v>
      </c>
      <c r="D441" t="s">
        <v>34</v>
      </c>
      <c r="E441" t="s">
        <v>56</v>
      </c>
      <c r="F441" t="s">
        <v>20</v>
      </c>
      <c r="G441" t="s">
        <v>36</v>
      </c>
      <c r="H441" t="s">
        <v>48</v>
      </c>
      <c r="I441">
        <v>2893</v>
      </c>
      <c r="J441">
        <v>2634</v>
      </c>
      <c r="K441">
        <v>2442</v>
      </c>
      <c r="L441">
        <v>97</v>
      </c>
      <c r="M441">
        <v>37</v>
      </c>
      <c r="N441">
        <v>2</v>
      </c>
      <c r="O441">
        <v>180.61</v>
      </c>
      <c r="P441">
        <v>2199.4299999999998</v>
      </c>
      <c r="Q441" s="5">
        <f t="shared" si="48"/>
        <v>0.92710706150341682</v>
      </c>
      <c r="R441" s="5">
        <f t="shared" si="49"/>
        <v>3.9721539721539724E-2</v>
      </c>
      <c r="S441" s="5">
        <f t="shared" si="50"/>
        <v>0.38144329896907214</v>
      </c>
      <c r="T441" s="5">
        <f t="shared" si="51"/>
        <v>5.4054054054054057E-2</v>
      </c>
      <c r="U441" s="5">
        <f t="shared" si="52"/>
        <v>8.1900081900081905E-4</v>
      </c>
      <c r="V441" s="6">
        <f t="shared" si="53"/>
        <v>4.881351351351352</v>
      </c>
      <c r="W441" s="7">
        <f t="shared" si="54"/>
        <v>1.8619587628865981</v>
      </c>
      <c r="X441" s="5">
        <f t="shared" si="55"/>
        <v>11.177786390565304</v>
      </c>
    </row>
    <row r="442" spans="1:24" x14ac:dyDescent="0.35">
      <c r="A442" s="3">
        <v>46095</v>
      </c>
      <c r="B442" t="s">
        <v>627</v>
      </c>
      <c r="C442" t="s">
        <v>666</v>
      </c>
      <c r="D442" t="s">
        <v>18</v>
      </c>
      <c r="E442" t="s">
        <v>19</v>
      </c>
      <c r="F442" t="s">
        <v>20</v>
      </c>
      <c r="G442" t="s">
        <v>21</v>
      </c>
      <c r="H442" t="s">
        <v>48</v>
      </c>
      <c r="I442">
        <v>2968</v>
      </c>
      <c r="J442">
        <v>2294</v>
      </c>
      <c r="K442">
        <v>2097</v>
      </c>
      <c r="L442">
        <v>15</v>
      </c>
      <c r="M442">
        <v>7</v>
      </c>
      <c r="N442">
        <v>0</v>
      </c>
      <c r="O442">
        <v>242.15</v>
      </c>
      <c r="P442">
        <v>0</v>
      </c>
      <c r="Q442" s="5">
        <f t="shared" si="48"/>
        <v>0.91412380122057546</v>
      </c>
      <c r="R442" s="5">
        <f t="shared" si="49"/>
        <v>7.1530758226037196E-3</v>
      </c>
      <c r="S442" s="5">
        <f t="shared" si="50"/>
        <v>0.46666666666666667</v>
      </c>
      <c r="T442" s="5">
        <f t="shared" si="51"/>
        <v>0</v>
      </c>
      <c r="U442" s="5">
        <f t="shared" si="52"/>
        <v>0</v>
      </c>
      <c r="V442" s="6">
        <f t="shared" si="53"/>
        <v>34.592857142857142</v>
      </c>
      <c r="W442" s="7">
        <f t="shared" si="54"/>
        <v>16.143333333333334</v>
      </c>
      <c r="X442" s="5">
        <f t="shared" si="55"/>
        <v>-1</v>
      </c>
    </row>
    <row r="443" spans="1:24" x14ac:dyDescent="0.35">
      <c r="A443" s="3">
        <v>46096</v>
      </c>
      <c r="B443" t="s">
        <v>554</v>
      </c>
      <c r="C443" t="s">
        <v>667</v>
      </c>
      <c r="D443" t="s">
        <v>31</v>
      </c>
      <c r="E443" t="s">
        <v>56</v>
      </c>
      <c r="F443" t="s">
        <v>20</v>
      </c>
      <c r="G443" t="s">
        <v>59</v>
      </c>
      <c r="H443" t="s">
        <v>51</v>
      </c>
      <c r="I443">
        <v>2150</v>
      </c>
      <c r="J443">
        <v>1984</v>
      </c>
      <c r="K443">
        <v>1906</v>
      </c>
      <c r="L443">
        <v>68</v>
      </c>
      <c r="M443">
        <v>27</v>
      </c>
      <c r="N443">
        <v>2</v>
      </c>
      <c r="O443">
        <v>390.19</v>
      </c>
      <c r="P443">
        <v>1382.55</v>
      </c>
      <c r="Q443" s="5">
        <f t="shared" si="48"/>
        <v>0.96068548387096775</v>
      </c>
      <c r="R443" s="5">
        <f t="shared" si="49"/>
        <v>3.5676810073452254E-2</v>
      </c>
      <c r="S443" s="5">
        <f t="shared" si="50"/>
        <v>0.39705882352941174</v>
      </c>
      <c r="T443" s="5">
        <f t="shared" si="51"/>
        <v>7.407407407407407E-2</v>
      </c>
      <c r="U443" s="5">
        <f t="shared" si="52"/>
        <v>1.0493179433368311E-3</v>
      </c>
      <c r="V443" s="6">
        <f t="shared" si="53"/>
        <v>14.451481481481482</v>
      </c>
      <c r="W443" s="7">
        <f t="shared" si="54"/>
        <v>5.7380882352941178</v>
      </c>
      <c r="X443" s="5">
        <f t="shared" si="55"/>
        <v>2.5432737896922011</v>
      </c>
    </row>
    <row r="444" spans="1:24" x14ac:dyDescent="0.35">
      <c r="A444" s="3">
        <v>46096</v>
      </c>
      <c r="B444" t="s">
        <v>639</v>
      </c>
      <c r="C444" t="s">
        <v>668</v>
      </c>
      <c r="D444" t="s">
        <v>40</v>
      </c>
      <c r="E444" t="s">
        <v>35</v>
      </c>
      <c r="F444" t="s">
        <v>20</v>
      </c>
      <c r="G444" t="s">
        <v>59</v>
      </c>
      <c r="H444" t="s">
        <v>22</v>
      </c>
      <c r="I444">
        <v>1374</v>
      </c>
      <c r="J444">
        <v>1173</v>
      </c>
      <c r="K444">
        <v>1094</v>
      </c>
      <c r="L444">
        <v>78</v>
      </c>
      <c r="M444">
        <v>33</v>
      </c>
      <c r="N444">
        <v>3</v>
      </c>
      <c r="O444">
        <v>204.21</v>
      </c>
      <c r="P444">
        <v>4807.04</v>
      </c>
      <c r="Q444" s="5">
        <f t="shared" si="48"/>
        <v>0.93265132139812446</v>
      </c>
      <c r="R444" s="5">
        <f t="shared" si="49"/>
        <v>7.1297989031078604E-2</v>
      </c>
      <c r="S444" s="5">
        <f t="shared" si="50"/>
        <v>0.42307692307692307</v>
      </c>
      <c r="T444" s="5">
        <f t="shared" si="51"/>
        <v>9.0909090909090912E-2</v>
      </c>
      <c r="U444" s="5">
        <f t="shared" si="52"/>
        <v>2.7422303473491772E-3</v>
      </c>
      <c r="V444" s="6">
        <f t="shared" si="53"/>
        <v>6.1881818181818184</v>
      </c>
      <c r="W444" s="7">
        <f t="shared" si="54"/>
        <v>2.6180769230769232</v>
      </c>
      <c r="X444" s="5">
        <f t="shared" si="55"/>
        <v>22.539689535282307</v>
      </c>
    </row>
    <row r="445" spans="1:24" x14ac:dyDescent="0.35">
      <c r="A445" s="3">
        <v>46096</v>
      </c>
      <c r="B445" t="s">
        <v>641</v>
      </c>
      <c r="C445" t="s">
        <v>669</v>
      </c>
      <c r="D445" t="s">
        <v>34</v>
      </c>
      <c r="E445" t="s">
        <v>56</v>
      </c>
      <c r="F445" t="s">
        <v>20</v>
      </c>
      <c r="G445" t="s">
        <v>27</v>
      </c>
      <c r="H445" t="s">
        <v>48</v>
      </c>
      <c r="I445">
        <v>4902</v>
      </c>
      <c r="J445">
        <v>3993</v>
      </c>
      <c r="K445">
        <v>3694</v>
      </c>
      <c r="L445">
        <v>204</v>
      </c>
      <c r="M445">
        <v>93</v>
      </c>
      <c r="N445">
        <v>3</v>
      </c>
      <c r="O445">
        <v>307.26</v>
      </c>
      <c r="P445">
        <v>2352.29</v>
      </c>
      <c r="Q445" s="5">
        <f t="shared" si="48"/>
        <v>0.92511895817680945</v>
      </c>
      <c r="R445" s="5">
        <f t="shared" si="49"/>
        <v>5.5224688684353006E-2</v>
      </c>
      <c r="S445" s="5">
        <f t="shared" si="50"/>
        <v>0.45588235294117646</v>
      </c>
      <c r="T445" s="5">
        <f t="shared" si="51"/>
        <v>3.2258064516129031E-2</v>
      </c>
      <c r="U445" s="5">
        <f t="shared" si="52"/>
        <v>8.1212777476989716E-4</v>
      </c>
      <c r="V445" s="6">
        <f t="shared" si="53"/>
        <v>3.3038709677419353</v>
      </c>
      <c r="W445" s="7">
        <f t="shared" si="54"/>
        <v>1.5061764705882352</v>
      </c>
      <c r="X445" s="5">
        <f t="shared" si="55"/>
        <v>6.655698756753238</v>
      </c>
    </row>
    <row r="446" spans="1:24" x14ac:dyDescent="0.35">
      <c r="A446" s="3">
        <v>46096</v>
      </c>
      <c r="B446" t="s">
        <v>670</v>
      </c>
      <c r="C446" t="s">
        <v>671</v>
      </c>
      <c r="D446" t="s">
        <v>40</v>
      </c>
      <c r="E446" t="s">
        <v>56</v>
      </c>
      <c r="F446" t="s">
        <v>26</v>
      </c>
      <c r="G446" t="s">
        <v>21</v>
      </c>
      <c r="H446" t="s">
        <v>22</v>
      </c>
      <c r="I446">
        <v>1865</v>
      </c>
      <c r="J446">
        <v>1623</v>
      </c>
      <c r="K446">
        <v>1526</v>
      </c>
      <c r="L446">
        <v>128</v>
      </c>
      <c r="M446">
        <v>82</v>
      </c>
      <c r="N446">
        <v>5</v>
      </c>
      <c r="O446">
        <v>220.78</v>
      </c>
      <c r="P446">
        <v>7810.63</v>
      </c>
      <c r="Q446" s="5">
        <f t="shared" si="48"/>
        <v>0.94023413431916203</v>
      </c>
      <c r="R446" s="5">
        <f t="shared" si="49"/>
        <v>8.3879423328964614E-2</v>
      </c>
      <c r="S446" s="5">
        <f t="shared" si="50"/>
        <v>0.640625</v>
      </c>
      <c r="T446" s="5">
        <f t="shared" si="51"/>
        <v>6.097560975609756E-2</v>
      </c>
      <c r="U446" s="5">
        <f t="shared" si="52"/>
        <v>3.27653997378768E-3</v>
      </c>
      <c r="V446" s="6">
        <f t="shared" si="53"/>
        <v>2.6924390243902439</v>
      </c>
      <c r="W446" s="7">
        <f t="shared" si="54"/>
        <v>1.72484375</v>
      </c>
      <c r="X446" s="5">
        <f t="shared" si="55"/>
        <v>34.377434550231001</v>
      </c>
    </row>
    <row r="447" spans="1:24" x14ac:dyDescent="0.35">
      <c r="A447" s="3">
        <v>46096</v>
      </c>
      <c r="B447" t="s">
        <v>672</v>
      </c>
      <c r="C447" t="s">
        <v>673</v>
      </c>
      <c r="D447" t="s">
        <v>18</v>
      </c>
      <c r="E447" t="s">
        <v>35</v>
      </c>
      <c r="F447" t="s">
        <v>26</v>
      </c>
      <c r="G447" t="s">
        <v>27</v>
      </c>
      <c r="H447" t="s">
        <v>48</v>
      </c>
      <c r="I447">
        <v>3277</v>
      </c>
      <c r="J447">
        <v>2410</v>
      </c>
      <c r="K447">
        <v>2247</v>
      </c>
      <c r="L447">
        <v>244</v>
      </c>
      <c r="M447">
        <v>156</v>
      </c>
      <c r="N447">
        <v>11</v>
      </c>
      <c r="O447">
        <v>282.08999999999997</v>
      </c>
      <c r="P447">
        <v>17460.45</v>
      </c>
      <c r="Q447" s="5">
        <f t="shared" si="48"/>
        <v>0.93236514522821579</v>
      </c>
      <c r="R447" s="5">
        <f t="shared" si="49"/>
        <v>0.10858923008455719</v>
      </c>
      <c r="S447" s="5">
        <f t="shared" si="50"/>
        <v>0.63934426229508201</v>
      </c>
      <c r="T447" s="5">
        <f t="shared" si="51"/>
        <v>7.0512820512820512E-2</v>
      </c>
      <c r="U447" s="5">
        <f t="shared" si="52"/>
        <v>4.8954161103693817E-3</v>
      </c>
      <c r="V447" s="6">
        <f t="shared" si="53"/>
        <v>1.8082692307692305</v>
      </c>
      <c r="W447" s="7">
        <f t="shared" si="54"/>
        <v>1.156106557377049</v>
      </c>
      <c r="X447" s="5">
        <f t="shared" si="55"/>
        <v>60.896735084547494</v>
      </c>
    </row>
    <row r="448" spans="1:24" x14ac:dyDescent="0.35">
      <c r="A448" s="3">
        <v>46096</v>
      </c>
      <c r="B448" t="s">
        <v>674</v>
      </c>
      <c r="C448" t="s">
        <v>675</v>
      </c>
      <c r="D448" t="s">
        <v>31</v>
      </c>
      <c r="E448" t="s">
        <v>35</v>
      </c>
      <c r="F448" t="s">
        <v>20</v>
      </c>
      <c r="G448" t="s">
        <v>59</v>
      </c>
      <c r="H448" t="s">
        <v>28</v>
      </c>
      <c r="I448">
        <v>435</v>
      </c>
      <c r="J448">
        <v>365</v>
      </c>
      <c r="K448">
        <v>353</v>
      </c>
      <c r="L448">
        <v>11</v>
      </c>
      <c r="M448">
        <v>4</v>
      </c>
      <c r="N448">
        <v>0</v>
      </c>
      <c r="O448">
        <v>69.489999999999995</v>
      </c>
      <c r="P448">
        <v>0</v>
      </c>
      <c r="Q448" s="5">
        <f t="shared" si="48"/>
        <v>0.9671232876712329</v>
      </c>
      <c r="R448" s="5">
        <f t="shared" si="49"/>
        <v>3.1161473087818695E-2</v>
      </c>
      <c r="S448" s="5">
        <f t="shared" si="50"/>
        <v>0.36363636363636365</v>
      </c>
      <c r="T448" s="5">
        <f t="shared" si="51"/>
        <v>0</v>
      </c>
      <c r="U448" s="5">
        <f t="shared" si="52"/>
        <v>0</v>
      </c>
      <c r="V448" s="6">
        <f t="shared" si="53"/>
        <v>17.372499999999999</v>
      </c>
      <c r="W448" s="7">
        <f t="shared" si="54"/>
        <v>6.3172727272727265</v>
      </c>
      <c r="X448" s="5">
        <f t="shared" si="55"/>
        <v>-1</v>
      </c>
    </row>
    <row r="449" spans="1:24" x14ac:dyDescent="0.35">
      <c r="A449" s="3">
        <v>46096</v>
      </c>
      <c r="B449" t="s">
        <v>649</v>
      </c>
      <c r="C449" t="s">
        <v>676</v>
      </c>
      <c r="D449" t="s">
        <v>18</v>
      </c>
      <c r="E449" t="s">
        <v>35</v>
      </c>
      <c r="F449" t="s">
        <v>20</v>
      </c>
      <c r="G449" t="s">
        <v>41</v>
      </c>
      <c r="H449" t="s">
        <v>37</v>
      </c>
      <c r="I449">
        <v>2665</v>
      </c>
      <c r="J449">
        <v>2356</v>
      </c>
      <c r="K449">
        <v>2230</v>
      </c>
      <c r="L449">
        <v>175</v>
      </c>
      <c r="M449">
        <v>89</v>
      </c>
      <c r="N449">
        <v>7</v>
      </c>
      <c r="O449">
        <v>309.25</v>
      </c>
      <c r="P449">
        <v>10881.92</v>
      </c>
      <c r="Q449" s="5">
        <f t="shared" si="48"/>
        <v>0.9465195246179966</v>
      </c>
      <c r="R449" s="5">
        <f t="shared" si="49"/>
        <v>7.847533632286996E-2</v>
      </c>
      <c r="S449" s="5">
        <f t="shared" si="50"/>
        <v>0.50857142857142856</v>
      </c>
      <c r="T449" s="5">
        <f t="shared" si="51"/>
        <v>7.8651685393258425E-2</v>
      </c>
      <c r="U449" s="5">
        <f t="shared" si="52"/>
        <v>3.1390134529147981E-3</v>
      </c>
      <c r="V449" s="6">
        <f t="shared" si="53"/>
        <v>3.4747191011235956</v>
      </c>
      <c r="W449" s="7">
        <f t="shared" si="54"/>
        <v>1.7671428571428571</v>
      </c>
      <c r="X449" s="5">
        <f t="shared" si="55"/>
        <v>34.188100242522232</v>
      </c>
    </row>
    <row r="450" spans="1:24" x14ac:dyDescent="0.35">
      <c r="A450" s="3">
        <v>46096</v>
      </c>
      <c r="B450" t="s">
        <v>677</v>
      </c>
      <c r="C450" t="s">
        <v>678</v>
      </c>
      <c r="D450" t="s">
        <v>18</v>
      </c>
      <c r="E450" t="s">
        <v>35</v>
      </c>
      <c r="F450" t="s">
        <v>26</v>
      </c>
      <c r="G450" t="s">
        <v>59</v>
      </c>
      <c r="H450" t="s">
        <v>51</v>
      </c>
      <c r="I450">
        <v>2971</v>
      </c>
      <c r="J450">
        <v>2643</v>
      </c>
      <c r="K450">
        <v>2425</v>
      </c>
      <c r="L450">
        <v>237</v>
      </c>
      <c r="M450">
        <v>164</v>
      </c>
      <c r="N450">
        <v>17</v>
      </c>
      <c r="O450">
        <v>360.06</v>
      </c>
      <c r="P450">
        <v>27407.46</v>
      </c>
      <c r="Q450" s="5">
        <f t="shared" si="48"/>
        <v>0.91751797200151342</v>
      </c>
      <c r="R450" s="5">
        <f t="shared" si="49"/>
        <v>9.7731958762886595E-2</v>
      </c>
      <c r="S450" s="5">
        <f t="shared" si="50"/>
        <v>0.69198312236286919</v>
      </c>
      <c r="T450" s="5">
        <f t="shared" si="51"/>
        <v>0.10365853658536585</v>
      </c>
      <c r="U450" s="5">
        <f t="shared" si="52"/>
        <v>7.0103092783505155E-3</v>
      </c>
      <c r="V450" s="6">
        <f t="shared" si="53"/>
        <v>2.1954878048780486</v>
      </c>
      <c r="W450" s="7">
        <f t="shared" si="54"/>
        <v>1.5192405063291139</v>
      </c>
      <c r="X450" s="5">
        <f t="shared" si="55"/>
        <v>75.119146808865182</v>
      </c>
    </row>
    <row r="451" spans="1:24" x14ac:dyDescent="0.35">
      <c r="A451" s="3">
        <v>46096</v>
      </c>
      <c r="B451" t="s">
        <v>656</v>
      </c>
      <c r="C451" t="s">
        <v>679</v>
      </c>
      <c r="D451" t="s">
        <v>18</v>
      </c>
      <c r="E451" t="s">
        <v>56</v>
      </c>
      <c r="F451" t="s">
        <v>26</v>
      </c>
      <c r="G451" t="s">
        <v>21</v>
      </c>
      <c r="H451" t="s">
        <v>48</v>
      </c>
      <c r="I451">
        <v>2911</v>
      </c>
      <c r="J451">
        <v>2489</v>
      </c>
      <c r="K451">
        <v>2270</v>
      </c>
      <c r="L451">
        <v>218</v>
      </c>
      <c r="M451">
        <v>154</v>
      </c>
      <c r="N451">
        <v>10</v>
      </c>
      <c r="O451">
        <v>332.9</v>
      </c>
      <c r="P451">
        <v>11196.6</v>
      </c>
      <c r="Q451" s="5">
        <f t="shared" ref="Q451:Q514" si="56">K451/J451</f>
        <v>0.91201285656890319</v>
      </c>
      <c r="R451" s="5">
        <f t="shared" ref="R451:R514" si="57">L451/K451</f>
        <v>9.6035242290748904E-2</v>
      </c>
      <c r="S451" s="5">
        <f t="shared" ref="S451:S514" si="58">M451/L451</f>
        <v>0.70642201834862384</v>
      </c>
      <c r="T451" s="5">
        <f t="shared" ref="T451:T514" si="59">N451/M451</f>
        <v>6.4935064935064929E-2</v>
      </c>
      <c r="U451" s="5">
        <f t="shared" ref="U451:U514" si="60">N451/K451</f>
        <v>4.4052863436123352E-3</v>
      </c>
      <c r="V451" s="6">
        <f t="shared" ref="V451:V514" si="61">O451/M451</f>
        <v>2.1616883116883114</v>
      </c>
      <c r="W451" s="7">
        <f t="shared" ref="W451:W514" si="62">O451/L451</f>
        <v>1.5270642201834861</v>
      </c>
      <c r="X451" s="5">
        <f t="shared" ref="X451:X514" si="63">(P451-O451)/O451</f>
        <v>32.633523580654852</v>
      </c>
    </row>
    <row r="452" spans="1:24" x14ac:dyDescent="0.35">
      <c r="A452" s="3">
        <v>46097</v>
      </c>
      <c r="B452" t="s">
        <v>546</v>
      </c>
      <c r="C452" t="s">
        <v>680</v>
      </c>
      <c r="D452" t="s">
        <v>18</v>
      </c>
      <c r="E452" t="s">
        <v>35</v>
      </c>
      <c r="F452" t="s">
        <v>20</v>
      </c>
      <c r="G452" t="s">
        <v>41</v>
      </c>
      <c r="H452" t="s">
        <v>48</v>
      </c>
      <c r="I452">
        <v>1087</v>
      </c>
      <c r="J452">
        <v>883</v>
      </c>
      <c r="K452">
        <v>819</v>
      </c>
      <c r="L452">
        <v>69</v>
      </c>
      <c r="M452">
        <v>38</v>
      </c>
      <c r="N452">
        <v>2</v>
      </c>
      <c r="O452">
        <v>94.95</v>
      </c>
      <c r="P452">
        <v>2719.43</v>
      </c>
      <c r="Q452" s="5">
        <f t="shared" si="56"/>
        <v>0.92751981879954704</v>
      </c>
      <c r="R452" s="5">
        <f t="shared" si="57"/>
        <v>8.4249084249084255E-2</v>
      </c>
      <c r="S452" s="5">
        <f t="shared" si="58"/>
        <v>0.55072463768115942</v>
      </c>
      <c r="T452" s="5">
        <f t="shared" si="59"/>
        <v>5.2631578947368418E-2</v>
      </c>
      <c r="U452" s="5">
        <f t="shared" si="60"/>
        <v>2.442002442002442E-3</v>
      </c>
      <c r="V452" s="6">
        <f t="shared" si="61"/>
        <v>2.4986842105263158</v>
      </c>
      <c r="W452" s="7">
        <f t="shared" si="62"/>
        <v>1.3760869565217391</v>
      </c>
      <c r="X452" s="5">
        <f t="shared" si="63"/>
        <v>27.640652975250131</v>
      </c>
    </row>
    <row r="453" spans="1:24" x14ac:dyDescent="0.35">
      <c r="A453" s="3">
        <v>46097</v>
      </c>
      <c r="B453" t="s">
        <v>546</v>
      </c>
      <c r="C453" t="s">
        <v>681</v>
      </c>
      <c r="D453" t="s">
        <v>40</v>
      </c>
      <c r="E453" t="s">
        <v>25</v>
      </c>
      <c r="F453" t="s">
        <v>26</v>
      </c>
      <c r="G453" t="s">
        <v>27</v>
      </c>
      <c r="H453" t="s">
        <v>51</v>
      </c>
      <c r="I453">
        <v>2083</v>
      </c>
      <c r="J453">
        <v>1640</v>
      </c>
      <c r="K453">
        <v>1519</v>
      </c>
      <c r="L453">
        <v>90</v>
      </c>
      <c r="M453">
        <v>59</v>
      </c>
      <c r="N453">
        <v>3</v>
      </c>
      <c r="O453">
        <v>254.03</v>
      </c>
      <c r="P453">
        <v>2607.4899999999998</v>
      </c>
      <c r="Q453" s="5">
        <f t="shared" si="56"/>
        <v>0.926219512195122</v>
      </c>
      <c r="R453" s="5">
        <f t="shared" si="57"/>
        <v>5.9249506254114549E-2</v>
      </c>
      <c r="S453" s="5">
        <f t="shared" si="58"/>
        <v>0.65555555555555556</v>
      </c>
      <c r="T453" s="5">
        <f t="shared" si="59"/>
        <v>5.0847457627118647E-2</v>
      </c>
      <c r="U453" s="5">
        <f t="shared" si="60"/>
        <v>1.9749835418038184E-3</v>
      </c>
      <c r="V453" s="6">
        <f t="shared" si="61"/>
        <v>4.3055932203389835</v>
      </c>
      <c r="W453" s="7">
        <f t="shared" si="62"/>
        <v>2.8225555555555557</v>
      </c>
      <c r="X453" s="5">
        <f t="shared" si="63"/>
        <v>9.2644963193323608</v>
      </c>
    </row>
    <row r="454" spans="1:24" x14ac:dyDescent="0.35">
      <c r="A454" s="3">
        <v>46097</v>
      </c>
      <c r="B454" t="s">
        <v>578</v>
      </c>
      <c r="C454" t="s">
        <v>682</v>
      </c>
      <c r="D454" t="s">
        <v>31</v>
      </c>
      <c r="E454" t="s">
        <v>35</v>
      </c>
      <c r="F454" t="s">
        <v>20</v>
      </c>
      <c r="G454" t="s">
        <v>59</v>
      </c>
      <c r="H454" t="s">
        <v>28</v>
      </c>
      <c r="I454">
        <v>2535</v>
      </c>
      <c r="J454">
        <v>2524</v>
      </c>
      <c r="K454">
        <v>2458</v>
      </c>
      <c r="L454">
        <v>106</v>
      </c>
      <c r="M454">
        <v>38</v>
      </c>
      <c r="N454">
        <v>3</v>
      </c>
      <c r="O454">
        <v>507.5</v>
      </c>
      <c r="P454">
        <v>2637.11</v>
      </c>
      <c r="Q454" s="5">
        <f t="shared" si="56"/>
        <v>0.97385103011093499</v>
      </c>
      <c r="R454" s="5">
        <f t="shared" si="57"/>
        <v>4.3124491456468676E-2</v>
      </c>
      <c r="S454" s="5">
        <f t="shared" si="58"/>
        <v>0.35849056603773582</v>
      </c>
      <c r="T454" s="5">
        <f t="shared" si="59"/>
        <v>7.8947368421052627E-2</v>
      </c>
      <c r="U454" s="5">
        <f t="shared" si="60"/>
        <v>1.2205044751830757E-3</v>
      </c>
      <c r="V454" s="6">
        <f t="shared" si="61"/>
        <v>13.355263157894736</v>
      </c>
      <c r="W454" s="7">
        <f t="shared" si="62"/>
        <v>4.7877358490566042</v>
      </c>
      <c r="X454" s="5">
        <f t="shared" si="63"/>
        <v>4.1962758620689655</v>
      </c>
    </row>
    <row r="455" spans="1:24" x14ac:dyDescent="0.35">
      <c r="A455" s="3">
        <v>46097</v>
      </c>
      <c r="B455" t="s">
        <v>643</v>
      </c>
      <c r="C455" t="s">
        <v>683</v>
      </c>
      <c r="D455" t="s">
        <v>40</v>
      </c>
      <c r="E455" t="s">
        <v>25</v>
      </c>
      <c r="F455" t="s">
        <v>26</v>
      </c>
      <c r="G455" t="s">
        <v>27</v>
      </c>
      <c r="H455" t="s">
        <v>48</v>
      </c>
      <c r="I455">
        <v>2904</v>
      </c>
      <c r="J455">
        <v>2553</v>
      </c>
      <c r="K455">
        <v>2436</v>
      </c>
      <c r="L455">
        <v>135</v>
      </c>
      <c r="M455">
        <v>78</v>
      </c>
      <c r="N455">
        <v>3</v>
      </c>
      <c r="O455">
        <v>403.32</v>
      </c>
      <c r="P455">
        <v>4353.57</v>
      </c>
      <c r="Q455" s="5">
        <f t="shared" si="56"/>
        <v>0.95417156286721505</v>
      </c>
      <c r="R455" s="5">
        <f t="shared" si="57"/>
        <v>5.5418719211822662E-2</v>
      </c>
      <c r="S455" s="5">
        <f t="shared" si="58"/>
        <v>0.57777777777777772</v>
      </c>
      <c r="T455" s="5">
        <f t="shared" si="59"/>
        <v>3.8461538461538464E-2</v>
      </c>
      <c r="U455" s="5">
        <f t="shared" si="60"/>
        <v>1.2315270935960591E-3</v>
      </c>
      <c r="V455" s="6">
        <f t="shared" si="61"/>
        <v>5.1707692307692303</v>
      </c>
      <c r="W455" s="7">
        <f t="shared" si="62"/>
        <v>2.9875555555555553</v>
      </c>
      <c r="X455" s="5">
        <f t="shared" si="63"/>
        <v>9.7943320440345119</v>
      </c>
    </row>
    <row r="456" spans="1:24" x14ac:dyDescent="0.35">
      <c r="A456" s="3">
        <v>46098</v>
      </c>
      <c r="B456" t="s">
        <v>684</v>
      </c>
      <c r="C456" t="s">
        <v>685</v>
      </c>
      <c r="D456" t="s">
        <v>18</v>
      </c>
      <c r="E456" t="s">
        <v>56</v>
      </c>
      <c r="F456" t="s">
        <v>26</v>
      </c>
      <c r="G456" t="s">
        <v>21</v>
      </c>
      <c r="H456" t="s">
        <v>22</v>
      </c>
      <c r="I456">
        <v>3269</v>
      </c>
      <c r="J456">
        <v>2721</v>
      </c>
      <c r="K456">
        <v>2462</v>
      </c>
      <c r="L456">
        <v>196</v>
      </c>
      <c r="M456">
        <v>140</v>
      </c>
      <c r="N456">
        <v>9</v>
      </c>
      <c r="O456">
        <v>340.39</v>
      </c>
      <c r="P456">
        <v>8414.69</v>
      </c>
      <c r="Q456" s="5">
        <f t="shared" si="56"/>
        <v>0.90481440646821021</v>
      </c>
      <c r="R456" s="5">
        <f t="shared" si="57"/>
        <v>7.9610073111291632E-2</v>
      </c>
      <c r="S456" s="5">
        <f t="shared" si="58"/>
        <v>0.7142857142857143</v>
      </c>
      <c r="T456" s="5">
        <f t="shared" si="59"/>
        <v>6.4285714285714279E-2</v>
      </c>
      <c r="U456" s="5">
        <f t="shared" si="60"/>
        <v>3.6555645816409425E-3</v>
      </c>
      <c r="V456" s="6">
        <f t="shared" si="61"/>
        <v>2.4313571428571428</v>
      </c>
      <c r="W456" s="7">
        <f t="shared" si="62"/>
        <v>1.7366836734693878</v>
      </c>
      <c r="X456" s="5">
        <f t="shared" si="63"/>
        <v>23.720732101413088</v>
      </c>
    </row>
    <row r="457" spans="1:24" x14ac:dyDescent="0.35">
      <c r="A457" s="3">
        <v>46098</v>
      </c>
      <c r="B457" t="s">
        <v>592</v>
      </c>
      <c r="C457" t="s">
        <v>686</v>
      </c>
      <c r="D457" t="s">
        <v>34</v>
      </c>
      <c r="E457" t="s">
        <v>19</v>
      </c>
      <c r="F457" t="s">
        <v>26</v>
      </c>
      <c r="G457" t="s">
        <v>41</v>
      </c>
      <c r="H457" t="s">
        <v>22</v>
      </c>
      <c r="I457">
        <v>1881</v>
      </c>
      <c r="J457">
        <v>1595</v>
      </c>
      <c r="K457">
        <v>1516</v>
      </c>
      <c r="L457">
        <v>43</v>
      </c>
      <c r="M457">
        <v>26</v>
      </c>
      <c r="N457">
        <v>0</v>
      </c>
      <c r="O457">
        <v>143.09</v>
      </c>
      <c r="P457">
        <v>0</v>
      </c>
      <c r="Q457" s="5">
        <f t="shared" si="56"/>
        <v>0.95047021943573673</v>
      </c>
      <c r="R457" s="5">
        <f t="shared" si="57"/>
        <v>2.8364116094986808E-2</v>
      </c>
      <c r="S457" s="5">
        <f t="shared" si="58"/>
        <v>0.60465116279069764</v>
      </c>
      <c r="T457" s="5">
        <f t="shared" si="59"/>
        <v>0</v>
      </c>
      <c r="U457" s="5">
        <f t="shared" si="60"/>
        <v>0</v>
      </c>
      <c r="V457" s="6">
        <f t="shared" si="61"/>
        <v>5.5034615384615382</v>
      </c>
      <c r="W457" s="7">
        <f t="shared" si="62"/>
        <v>3.3276744186046514</v>
      </c>
      <c r="X457" s="5">
        <f t="shared" si="63"/>
        <v>-1</v>
      </c>
    </row>
    <row r="458" spans="1:24" x14ac:dyDescent="0.35">
      <c r="A458" s="3">
        <v>46098</v>
      </c>
      <c r="B458" t="s">
        <v>569</v>
      </c>
      <c r="C458" t="s">
        <v>687</v>
      </c>
      <c r="D458" t="s">
        <v>34</v>
      </c>
      <c r="E458" t="s">
        <v>35</v>
      </c>
      <c r="F458" t="s">
        <v>20</v>
      </c>
      <c r="G458" t="s">
        <v>27</v>
      </c>
      <c r="H458" t="s">
        <v>48</v>
      </c>
      <c r="I458">
        <v>1100</v>
      </c>
      <c r="J458">
        <v>1093</v>
      </c>
      <c r="K458">
        <v>1009</v>
      </c>
      <c r="L458">
        <v>66</v>
      </c>
      <c r="M458">
        <v>36</v>
      </c>
      <c r="N458">
        <v>2</v>
      </c>
      <c r="O458">
        <v>99.79</v>
      </c>
      <c r="P458">
        <v>2278.11</v>
      </c>
      <c r="Q458" s="5">
        <f t="shared" si="56"/>
        <v>0.92314730100640441</v>
      </c>
      <c r="R458" s="5">
        <f t="shared" si="57"/>
        <v>6.5411298315163527E-2</v>
      </c>
      <c r="S458" s="5">
        <f t="shared" si="58"/>
        <v>0.54545454545454541</v>
      </c>
      <c r="T458" s="5">
        <f t="shared" si="59"/>
        <v>5.5555555555555552E-2</v>
      </c>
      <c r="U458" s="5">
        <f t="shared" si="60"/>
        <v>1.9821605550049554E-3</v>
      </c>
      <c r="V458" s="6">
        <f t="shared" si="61"/>
        <v>2.7719444444444448</v>
      </c>
      <c r="W458" s="7">
        <f t="shared" si="62"/>
        <v>1.511969696969697</v>
      </c>
      <c r="X458" s="5">
        <f t="shared" si="63"/>
        <v>21.829040986070748</v>
      </c>
    </row>
    <row r="459" spans="1:24" x14ac:dyDescent="0.35">
      <c r="A459" s="3">
        <v>46098</v>
      </c>
      <c r="B459" t="s">
        <v>688</v>
      </c>
      <c r="C459" t="s">
        <v>689</v>
      </c>
      <c r="D459" t="s">
        <v>40</v>
      </c>
      <c r="E459" t="s">
        <v>25</v>
      </c>
      <c r="F459" t="s">
        <v>20</v>
      </c>
      <c r="G459" t="s">
        <v>27</v>
      </c>
      <c r="H459" t="s">
        <v>48</v>
      </c>
      <c r="I459">
        <v>2433</v>
      </c>
      <c r="J459">
        <v>2110</v>
      </c>
      <c r="K459">
        <v>1947</v>
      </c>
      <c r="L459">
        <v>98</v>
      </c>
      <c r="M459">
        <v>39</v>
      </c>
      <c r="N459">
        <v>2</v>
      </c>
      <c r="O459">
        <v>302.39</v>
      </c>
      <c r="P459">
        <v>2225.17</v>
      </c>
      <c r="Q459" s="5">
        <f t="shared" si="56"/>
        <v>0.92274881516587681</v>
      </c>
      <c r="R459" s="5">
        <f t="shared" si="57"/>
        <v>5.0333846944016436E-2</v>
      </c>
      <c r="S459" s="5">
        <f t="shared" si="58"/>
        <v>0.39795918367346939</v>
      </c>
      <c r="T459" s="5">
        <f t="shared" si="59"/>
        <v>5.128205128205128E-2</v>
      </c>
      <c r="U459" s="5">
        <f t="shared" si="60"/>
        <v>1.0272213662044171E-3</v>
      </c>
      <c r="V459" s="6">
        <f t="shared" si="61"/>
        <v>7.7535897435897434</v>
      </c>
      <c r="W459" s="7">
        <f t="shared" si="62"/>
        <v>3.085612244897959</v>
      </c>
      <c r="X459" s="5">
        <f t="shared" si="63"/>
        <v>6.3586097423856618</v>
      </c>
    </row>
    <row r="460" spans="1:24" x14ac:dyDescent="0.35">
      <c r="A460" s="3">
        <v>46098</v>
      </c>
      <c r="B460" t="s">
        <v>677</v>
      </c>
      <c r="C460" t="s">
        <v>690</v>
      </c>
      <c r="D460" t="s">
        <v>18</v>
      </c>
      <c r="E460" t="s">
        <v>56</v>
      </c>
      <c r="F460" t="s">
        <v>20</v>
      </c>
      <c r="G460" t="s">
        <v>59</v>
      </c>
      <c r="H460" t="s">
        <v>51</v>
      </c>
      <c r="I460">
        <v>1199</v>
      </c>
      <c r="J460">
        <v>928</v>
      </c>
      <c r="K460">
        <v>856</v>
      </c>
      <c r="L460">
        <v>61</v>
      </c>
      <c r="M460">
        <v>31</v>
      </c>
      <c r="N460">
        <v>1</v>
      </c>
      <c r="O460">
        <v>104.25</v>
      </c>
      <c r="P460">
        <v>1340.96</v>
      </c>
      <c r="Q460" s="5">
        <f t="shared" si="56"/>
        <v>0.92241379310344829</v>
      </c>
      <c r="R460" s="5">
        <f t="shared" si="57"/>
        <v>7.1261682242990648E-2</v>
      </c>
      <c r="S460" s="5">
        <f t="shared" si="58"/>
        <v>0.50819672131147542</v>
      </c>
      <c r="T460" s="5">
        <f t="shared" si="59"/>
        <v>3.2258064516129031E-2</v>
      </c>
      <c r="U460" s="5">
        <f t="shared" si="60"/>
        <v>1.1682242990654205E-3</v>
      </c>
      <c r="V460" s="6">
        <f t="shared" si="61"/>
        <v>3.3629032258064515</v>
      </c>
      <c r="W460" s="7">
        <f t="shared" si="62"/>
        <v>1.709016393442623</v>
      </c>
      <c r="X460" s="5">
        <f t="shared" si="63"/>
        <v>11.862925659472422</v>
      </c>
    </row>
    <row r="461" spans="1:24" x14ac:dyDescent="0.35">
      <c r="A461" s="3">
        <v>46098</v>
      </c>
      <c r="B461" t="s">
        <v>691</v>
      </c>
      <c r="C461" t="s">
        <v>692</v>
      </c>
      <c r="D461" t="s">
        <v>34</v>
      </c>
      <c r="E461" t="s">
        <v>56</v>
      </c>
      <c r="F461" t="s">
        <v>20</v>
      </c>
      <c r="G461" t="s">
        <v>59</v>
      </c>
      <c r="H461" t="s">
        <v>51</v>
      </c>
      <c r="I461">
        <v>420</v>
      </c>
      <c r="J461">
        <v>337</v>
      </c>
      <c r="K461">
        <v>313</v>
      </c>
      <c r="L461">
        <v>11</v>
      </c>
      <c r="M461">
        <v>5</v>
      </c>
      <c r="N461">
        <v>0</v>
      </c>
      <c r="O461">
        <v>25.33</v>
      </c>
      <c r="P461">
        <v>0</v>
      </c>
      <c r="Q461" s="5">
        <f t="shared" si="56"/>
        <v>0.92878338278931749</v>
      </c>
      <c r="R461" s="5">
        <f t="shared" si="57"/>
        <v>3.5143769968051117E-2</v>
      </c>
      <c r="S461" s="5">
        <f t="shared" si="58"/>
        <v>0.45454545454545453</v>
      </c>
      <c r="T461" s="5">
        <f t="shared" si="59"/>
        <v>0</v>
      </c>
      <c r="U461" s="5">
        <f t="shared" si="60"/>
        <v>0</v>
      </c>
      <c r="V461" s="6">
        <f t="shared" si="61"/>
        <v>5.0659999999999998</v>
      </c>
      <c r="W461" s="7">
        <f t="shared" si="62"/>
        <v>2.3027272727272727</v>
      </c>
      <c r="X461" s="5">
        <f t="shared" si="63"/>
        <v>-1</v>
      </c>
    </row>
    <row r="462" spans="1:24" x14ac:dyDescent="0.35">
      <c r="A462" s="3">
        <v>46098</v>
      </c>
      <c r="B462" t="s">
        <v>656</v>
      </c>
      <c r="C462" t="s">
        <v>693</v>
      </c>
      <c r="D462" t="s">
        <v>34</v>
      </c>
      <c r="E462" t="s">
        <v>35</v>
      </c>
      <c r="F462" t="s">
        <v>20</v>
      </c>
      <c r="G462" t="s">
        <v>41</v>
      </c>
      <c r="H462" t="s">
        <v>22</v>
      </c>
      <c r="I462">
        <v>1398</v>
      </c>
      <c r="J462">
        <v>1101</v>
      </c>
      <c r="K462">
        <v>1036</v>
      </c>
      <c r="L462">
        <v>70</v>
      </c>
      <c r="M462">
        <v>30</v>
      </c>
      <c r="N462">
        <v>2</v>
      </c>
      <c r="O462">
        <v>87.5</v>
      </c>
      <c r="P462">
        <v>3208.97</v>
      </c>
      <c r="Q462" s="5">
        <f t="shared" si="56"/>
        <v>0.94096276112624888</v>
      </c>
      <c r="R462" s="5">
        <f t="shared" si="57"/>
        <v>6.7567567567567571E-2</v>
      </c>
      <c r="S462" s="5">
        <f t="shared" si="58"/>
        <v>0.42857142857142855</v>
      </c>
      <c r="T462" s="5">
        <f t="shared" si="59"/>
        <v>6.6666666666666666E-2</v>
      </c>
      <c r="U462" s="5">
        <f t="shared" si="60"/>
        <v>1.9305019305019305E-3</v>
      </c>
      <c r="V462" s="6">
        <f t="shared" si="61"/>
        <v>2.9166666666666665</v>
      </c>
      <c r="W462" s="7">
        <f t="shared" si="62"/>
        <v>1.25</v>
      </c>
      <c r="X462" s="5">
        <f t="shared" si="63"/>
        <v>35.673942857142855</v>
      </c>
    </row>
    <row r="463" spans="1:24" x14ac:dyDescent="0.35">
      <c r="A463" s="3">
        <v>46099</v>
      </c>
      <c r="B463" t="s">
        <v>618</v>
      </c>
      <c r="C463" t="s">
        <v>694</v>
      </c>
      <c r="D463" t="s">
        <v>31</v>
      </c>
      <c r="E463" t="s">
        <v>25</v>
      </c>
      <c r="F463" t="s">
        <v>20</v>
      </c>
      <c r="G463" t="s">
        <v>27</v>
      </c>
      <c r="H463" t="s">
        <v>22</v>
      </c>
      <c r="I463">
        <v>2956</v>
      </c>
      <c r="J463">
        <v>2173</v>
      </c>
      <c r="K463">
        <v>2083</v>
      </c>
      <c r="L463">
        <v>39</v>
      </c>
      <c r="M463">
        <v>17</v>
      </c>
      <c r="N463">
        <v>0</v>
      </c>
      <c r="O463">
        <v>419.29</v>
      </c>
      <c r="P463">
        <v>0</v>
      </c>
      <c r="Q463" s="5">
        <f t="shared" si="56"/>
        <v>0.9585826046939715</v>
      </c>
      <c r="R463" s="5">
        <f t="shared" si="57"/>
        <v>1.8722995679308688E-2</v>
      </c>
      <c r="S463" s="5">
        <f t="shared" si="58"/>
        <v>0.4358974358974359</v>
      </c>
      <c r="T463" s="5">
        <f t="shared" si="59"/>
        <v>0</v>
      </c>
      <c r="U463" s="5">
        <f t="shared" si="60"/>
        <v>0</v>
      </c>
      <c r="V463" s="6">
        <f t="shared" si="61"/>
        <v>24.664117647058823</v>
      </c>
      <c r="W463" s="7">
        <f t="shared" si="62"/>
        <v>10.751025641025642</v>
      </c>
      <c r="X463" s="5">
        <f t="shared" si="63"/>
        <v>-1</v>
      </c>
    </row>
    <row r="464" spans="1:24" x14ac:dyDescent="0.35">
      <c r="A464" s="3">
        <v>46099</v>
      </c>
      <c r="B464" t="s">
        <v>540</v>
      </c>
      <c r="C464" t="s">
        <v>695</v>
      </c>
      <c r="D464" t="s">
        <v>18</v>
      </c>
      <c r="E464" t="s">
        <v>25</v>
      </c>
      <c r="F464" t="s">
        <v>20</v>
      </c>
      <c r="G464" t="s">
        <v>41</v>
      </c>
      <c r="H464" t="s">
        <v>48</v>
      </c>
      <c r="I464">
        <v>3387</v>
      </c>
      <c r="J464">
        <v>2638</v>
      </c>
      <c r="K464">
        <v>2448</v>
      </c>
      <c r="L464">
        <v>84</v>
      </c>
      <c r="M464">
        <v>36</v>
      </c>
      <c r="N464">
        <v>1</v>
      </c>
      <c r="O464">
        <v>346.07</v>
      </c>
      <c r="P464">
        <v>1103.9100000000001</v>
      </c>
      <c r="Q464" s="5">
        <f t="shared" si="56"/>
        <v>0.92797573919636089</v>
      </c>
      <c r="R464" s="5">
        <f t="shared" si="57"/>
        <v>3.4313725490196081E-2</v>
      </c>
      <c r="S464" s="5">
        <f t="shared" si="58"/>
        <v>0.42857142857142855</v>
      </c>
      <c r="T464" s="5">
        <f t="shared" si="59"/>
        <v>2.7777777777777776E-2</v>
      </c>
      <c r="U464" s="5">
        <f t="shared" si="60"/>
        <v>4.084967320261438E-4</v>
      </c>
      <c r="V464" s="6">
        <f t="shared" si="61"/>
        <v>9.6130555555555546</v>
      </c>
      <c r="W464" s="7">
        <f t="shared" si="62"/>
        <v>4.1198809523809521</v>
      </c>
      <c r="X464" s="5">
        <f t="shared" si="63"/>
        <v>2.1898459849163467</v>
      </c>
    </row>
    <row r="465" spans="1:24" x14ac:dyDescent="0.35">
      <c r="A465" s="3">
        <v>46100</v>
      </c>
      <c r="B465" t="s">
        <v>696</v>
      </c>
      <c r="C465" t="s">
        <v>697</v>
      </c>
      <c r="D465" t="s">
        <v>40</v>
      </c>
      <c r="E465" t="s">
        <v>56</v>
      </c>
      <c r="F465" t="s">
        <v>20</v>
      </c>
      <c r="G465" t="s">
        <v>59</v>
      </c>
      <c r="H465" t="s">
        <v>22</v>
      </c>
      <c r="I465">
        <v>1857</v>
      </c>
      <c r="J465">
        <v>1653</v>
      </c>
      <c r="K465">
        <v>1573</v>
      </c>
      <c r="L465">
        <v>101</v>
      </c>
      <c r="M465">
        <v>52</v>
      </c>
      <c r="N465">
        <v>4</v>
      </c>
      <c r="O465">
        <v>296.36</v>
      </c>
      <c r="P465">
        <v>4943.33</v>
      </c>
      <c r="Q465" s="5">
        <f t="shared" si="56"/>
        <v>0.9516031457955233</v>
      </c>
      <c r="R465" s="5">
        <f t="shared" si="57"/>
        <v>6.4208518753973293E-2</v>
      </c>
      <c r="S465" s="5">
        <f t="shared" si="58"/>
        <v>0.51485148514851486</v>
      </c>
      <c r="T465" s="5">
        <f t="shared" si="59"/>
        <v>7.6923076923076927E-2</v>
      </c>
      <c r="U465" s="5">
        <f t="shared" si="60"/>
        <v>2.5429116338207248E-3</v>
      </c>
      <c r="V465" s="6">
        <f t="shared" si="61"/>
        <v>5.6992307692307698</v>
      </c>
      <c r="W465" s="7">
        <f t="shared" si="62"/>
        <v>2.9342574257425742</v>
      </c>
      <c r="X465" s="5">
        <f t="shared" si="63"/>
        <v>15.6801525172088</v>
      </c>
    </row>
    <row r="466" spans="1:24" x14ac:dyDescent="0.35">
      <c r="A466" s="3">
        <v>46100</v>
      </c>
      <c r="B466" t="s">
        <v>635</v>
      </c>
      <c r="C466" t="s">
        <v>698</v>
      </c>
      <c r="D466" t="s">
        <v>40</v>
      </c>
      <c r="E466" t="s">
        <v>56</v>
      </c>
      <c r="F466" t="s">
        <v>26</v>
      </c>
      <c r="G466" t="s">
        <v>27</v>
      </c>
      <c r="H466" t="s">
        <v>22</v>
      </c>
      <c r="I466">
        <v>2398</v>
      </c>
      <c r="J466">
        <v>2198</v>
      </c>
      <c r="K466">
        <v>2059</v>
      </c>
      <c r="L466">
        <v>170</v>
      </c>
      <c r="M466">
        <v>102</v>
      </c>
      <c r="N466">
        <v>4</v>
      </c>
      <c r="O466">
        <v>384.69</v>
      </c>
      <c r="P466">
        <v>4990.7299999999996</v>
      </c>
      <c r="Q466" s="5">
        <f t="shared" si="56"/>
        <v>0.93676069153776165</v>
      </c>
      <c r="R466" s="5">
        <f t="shared" si="57"/>
        <v>8.2564351627003402E-2</v>
      </c>
      <c r="S466" s="5">
        <f t="shared" si="58"/>
        <v>0.6</v>
      </c>
      <c r="T466" s="5">
        <f t="shared" si="59"/>
        <v>3.9215686274509803E-2</v>
      </c>
      <c r="U466" s="5">
        <f t="shared" si="60"/>
        <v>1.942690626517727E-3</v>
      </c>
      <c r="V466" s="6">
        <f t="shared" si="61"/>
        <v>3.7714705882352941</v>
      </c>
      <c r="W466" s="7">
        <f t="shared" si="62"/>
        <v>2.2628823529411766</v>
      </c>
      <c r="X466" s="5">
        <f t="shared" si="63"/>
        <v>11.973381164054173</v>
      </c>
    </row>
    <row r="467" spans="1:24" x14ac:dyDescent="0.35">
      <c r="A467" s="3">
        <v>46100</v>
      </c>
      <c r="B467" t="s">
        <v>584</v>
      </c>
      <c r="C467" t="s">
        <v>699</v>
      </c>
      <c r="D467" t="s">
        <v>18</v>
      </c>
      <c r="E467" t="s">
        <v>35</v>
      </c>
      <c r="F467" t="s">
        <v>20</v>
      </c>
      <c r="G467" t="s">
        <v>59</v>
      </c>
      <c r="H467" t="s">
        <v>37</v>
      </c>
      <c r="I467">
        <v>505</v>
      </c>
      <c r="J467">
        <v>450</v>
      </c>
      <c r="K467">
        <v>403</v>
      </c>
      <c r="L467">
        <v>34</v>
      </c>
      <c r="M467">
        <v>15</v>
      </c>
      <c r="N467">
        <v>1</v>
      </c>
      <c r="O467">
        <v>49.32</v>
      </c>
      <c r="P467">
        <v>1338.28</v>
      </c>
      <c r="Q467" s="5">
        <f t="shared" si="56"/>
        <v>0.89555555555555555</v>
      </c>
      <c r="R467" s="5">
        <f t="shared" si="57"/>
        <v>8.4367245657568243E-2</v>
      </c>
      <c r="S467" s="5">
        <f t="shared" si="58"/>
        <v>0.44117647058823528</v>
      </c>
      <c r="T467" s="5">
        <f t="shared" si="59"/>
        <v>6.6666666666666666E-2</v>
      </c>
      <c r="U467" s="5">
        <f t="shared" si="60"/>
        <v>2.4813895781637717E-3</v>
      </c>
      <c r="V467" s="6">
        <f t="shared" si="61"/>
        <v>3.2879999999999998</v>
      </c>
      <c r="W467" s="7">
        <f t="shared" si="62"/>
        <v>1.4505882352941177</v>
      </c>
      <c r="X467" s="5">
        <f t="shared" si="63"/>
        <v>26.134630981346309</v>
      </c>
    </row>
    <row r="468" spans="1:24" x14ac:dyDescent="0.35">
      <c r="A468" s="3">
        <v>46100</v>
      </c>
      <c r="B468" t="s">
        <v>700</v>
      </c>
      <c r="C468" t="s">
        <v>701</v>
      </c>
      <c r="D468" t="s">
        <v>31</v>
      </c>
      <c r="E468" t="s">
        <v>19</v>
      </c>
      <c r="F468" t="s">
        <v>26</v>
      </c>
      <c r="G468" t="s">
        <v>59</v>
      </c>
      <c r="H468" t="s">
        <v>28</v>
      </c>
      <c r="I468">
        <v>4825</v>
      </c>
      <c r="J468">
        <v>3590</v>
      </c>
      <c r="K468">
        <v>3464</v>
      </c>
      <c r="L468">
        <v>21</v>
      </c>
      <c r="M468">
        <v>11</v>
      </c>
      <c r="N468">
        <v>0</v>
      </c>
      <c r="O468">
        <v>734.15</v>
      </c>
      <c r="P468">
        <v>0</v>
      </c>
      <c r="Q468" s="5">
        <f t="shared" si="56"/>
        <v>0.96490250696378832</v>
      </c>
      <c r="R468" s="5">
        <f t="shared" si="57"/>
        <v>6.0623556581986147E-3</v>
      </c>
      <c r="S468" s="5">
        <f t="shared" si="58"/>
        <v>0.52380952380952384</v>
      </c>
      <c r="T468" s="5">
        <f t="shared" si="59"/>
        <v>0</v>
      </c>
      <c r="U468" s="5">
        <f t="shared" si="60"/>
        <v>0</v>
      </c>
      <c r="V468" s="6">
        <f t="shared" si="61"/>
        <v>66.740909090909085</v>
      </c>
      <c r="W468" s="7">
        <f t="shared" si="62"/>
        <v>34.959523809523809</v>
      </c>
      <c r="X468" s="5">
        <f t="shared" si="63"/>
        <v>-1</v>
      </c>
    </row>
    <row r="469" spans="1:24" x14ac:dyDescent="0.35">
      <c r="A469" s="3">
        <v>46100</v>
      </c>
      <c r="B469" t="s">
        <v>586</v>
      </c>
      <c r="C469" t="s">
        <v>702</v>
      </c>
      <c r="D469" t="s">
        <v>31</v>
      </c>
      <c r="E469" t="s">
        <v>56</v>
      </c>
      <c r="F469" t="s">
        <v>20</v>
      </c>
      <c r="G469" t="s">
        <v>41</v>
      </c>
      <c r="H469" t="s">
        <v>37</v>
      </c>
      <c r="I469">
        <v>3735</v>
      </c>
      <c r="J469">
        <v>3590</v>
      </c>
      <c r="K469">
        <v>3438</v>
      </c>
      <c r="L469">
        <v>137</v>
      </c>
      <c r="M469">
        <v>59</v>
      </c>
      <c r="N469">
        <v>2</v>
      </c>
      <c r="O469">
        <v>641.71</v>
      </c>
      <c r="P469">
        <v>1340.62</v>
      </c>
      <c r="Q469" s="5">
        <f t="shared" si="56"/>
        <v>0.95766016713091917</v>
      </c>
      <c r="R469" s="5">
        <f t="shared" si="57"/>
        <v>3.9848749272833044E-2</v>
      </c>
      <c r="S469" s="5">
        <f t="shared" si="58"/>
        <v>0.43065693430656932</v>
      </c>
      <c r="T469" s="5">
        <f t="shared" si="59"/>
        <v>3.3898305084745763E-2</v>
      </c>
      <c r="U469" s="5">
        <f t="shared" si="60"/>
        <v>5.8173356602675972E-4</v>
      </c>
      <c r="V469" s="6">
        <f t="shared" si="61"/>
        <v>10.876440677966102</v>
      </c>
      <c r="W469" s="7">
        <f t="shared" si="62"/>
        <v>4.6840145985401467</v>
      </c>
      <c r="X469" s="5">
        <f t="shared" si="63"/>
        <v>1.0891368375122716</v>
      </c>
    </row>
    <row r="470" spans="1:24" x14ac:dyDescent="0.35">
      <c r="A470" s="3">
        <v>46100</v>
      </c>
      <c r="B470" t="s">
        <v>627</v>
      </c>
      <c r="C470" t="s">
        <v>703</v>
      </c>
      <c r="D470" t="s">
        <v>31</v>
      </c>
      <c r="E470" t="s">
        <v>56</v>
      </c>
      <c r="F470" t="s">
        <v>20</v>
      </c>
      <c r="G470" t="s">
        <v>21</v>
      </c>
      <c r="H470" t="s">
        <v>22</v>
      </c>
      <c r="I470">
        <v>4718</v>
      </c>
      <c r="J470">
        <v>3518</v>
      </c>
      <c r="K470">
        <v>3341</v>
      </c>
      <c r="L470">
        <v>69</v>
      </c>
      <c r="M470">
        <v>29</v>
      </c>
      <c r="N470">
        <v>1</v>
      </c>
      <c r="O470">
        <v>550.52</v>
      </c>
      <c r="P470">
        <v>765.66</v>
      </c>
      <c r="Q470" s="5">
        <f t="shared" si="56"/>
        <v>0.94968732234223996</v>
      </c>
      <c r="R470" s="5">
        <f t="shared" si="57"/>
        <v>2.0652499251721041E-2</v>
      </c>
      <c r="S470" s="5">
        <f t="shared" si="58"/>
        <v>0.42028985507246375</v>
      </c>
      <c r="T470" s="5">
        <f t="shared" si="59"/>
        <v>3.4482758620689655E-2</v>
      </c>
      <c r="U470" s="5">
        <f t="shared" si="60"/>
        <v>2.9931158335827599E-4</v>
      </c>
      <c r="V470" s="6">
        <f t="shared" si="61"/>
        <v>18.983448275862067</v>
      </c>
      <c r="W470" s="7">
        <f t="shared" si="62"/>
        <v>7.9785507246376808</v>
      </c>
      <c r="X470" s="5">
        <f t="shared" si="63"/>
        <v>0.39079415825038144</v>
      </c>
    </row>
    <row r="471" spans="1:24" x14ac:dyDescent="0.35">
      <c r="A471" s="3">
        <v>46100</v>
      </c>
      <c r="B471" t="s">
        <v>630</v>
      </c>
      <c r="C471" t="s">
        <v>704</v>
      </c>
      <c r="D471" t="s">
        <v>18</v>
      </c>
      <c r="E471" t="s">
        <v>25</v>
      </c>
      <c r="F471" t="s">
        <v>26</v>
      </c>
      <c r="G471" t="s">
        <v>36</v>
      </c>
      <c r="H471" t="s">
        <v>37</v>
      </c>
      <c r="I471">
        <v>2084</v>
      </c>
      <c r="J471">
        <v>1670</v>
      </c>
      <c r="K471">
        <v>1480</v>
      </c>
      <c r="L471">
        <v>95</v>
      </c>
      <c r="M471">
        <v>60</v>
      </c>
      <c r="N471">
        <v>3</v>
      </c>
      <c r="O471">
        <v>180.65</v>
      </c>
      <c r="P471">
        <v>4483.07</v>
      </c>
      <c r="Q471" s="5">
        <f t="shared" si="56"/>
        <v>0.88622754491017963</v>
      </c>
      <c r="R471" s="5">
        <f t="shared" si="57"/>
        <v>6.4189189189189186E-2</v>
      </c>
      <c r="S471" s="5">
        <f t="shared" si="58"/>
        <v>0.63157894736842102</v>
      </c>
      <c r="T471" s="5">
        <f t="shared" si="59"/>
        <v>0.05</v>
      </c>
      <c r="U471" s="5">
        <f t="shared" si="60"/>
        <v>2.0270270270270271E-3</v>
      </c>
      <c r="V471" s="6">
        <f t="shared" si="61"/>
        <v>3.0108333333333333</v>
      </c>
      <c r="W471" s="7">
        <f t="shared" si="62"/>
        <v>1.901578947368421</v>
      </c>
      <c r="X471" s="5">
        <f t="shared" si="63"/>
        <v>23.816329919734294</v>
      </c>
    </row>
    <row r="472" spans="1:24" x14ac:dyDescent="0.35">
      <c r="A472" s="3">
        <v>46100</v>
      </c>
      <c r="B472" t="s">
        <v>691</v>
      </c>
      <c r="C472" t="s">
        <v>705</v>
      </c>
      <c r="D472" t="s">
        <v>34</v>
      </c>
      <c r="E472" t="s">
        <v>25</v>
      </c>
      <c r="F472" t="s">
        <v>20</v>
      </c>
      <c r="G472" t="s">
        <v>36</v>
      </c>
      <c r="H472" t="s">
        <v>51</v>
      </c>
      <c r="I472">
        <v>3268</v>
      </c>
      <c r="J472">
        <v>2816</v>
      </c>
      <c r="K472">
        <v>2654</v>
      </c>
      <c r="L472">
        <v>109</v>
      </c>
      <c r="M472">
        <v>60</v>
      </c>
      <c r="N472">
        <v>2</v>
      </c>
      <c r="O472">
        <v>257.20999999999998</v>
      </c>
      <c r="P472">
        <v>1752</v>
      </c>
      <c r="Q472" s="5">
        <f t="shared" si="56"/>
        <v>0.94247159090909094</v>
      </c>
      <c r="R472" s="5">
        <f t="shared" si="57"/>
        <v>4.1070082893745287E-2</v>
      </c>
      <c r="S472" s="5">
        <f t="shared" si="58"/>
        <v>0.55045871559633031</v>
      </c>
      <c r="T472" s="5">
        <f t="shared" si="59"/>
        <v>3.3333333333333333E-2</v>
      </c>
      <c r="U472" s="5">
        <f t="shared" si="60"/>
        <v>7.5357950263752827E-4</v>
      </c>
      <c r="V472" s="6">
        <f t="shared" si="61"/>
        <v>4.2868333333333331</v>
      </c>
      <c r="W472" s="7">
        <f t="shared" si="62"/>
        <v>2.3597247706422015</v>
      </c>
      <c r="X472" s="5">
        <f t="shared" si="63"/>
        <v>5.8115547607013731</v>
      </c>
    </row>
    <row r="473" spans="1:24" x14ac:dyDescent="0.35">
      <c r="A473" s="3">
        <v>46100</v>
      </c>
      <c r="B473" t="s">
        <v>573</v>
      </c>
      <c r="C473" t="s">
        <v>706</v>
      </c>
      <c r="D473" t="s">
        <v>18</v>
      </c>
      <c r="E473" t="s">
        <v>25</v>
      </c>
      <c r="F473" t="s">
        <v>20</v>
      </c>
      <c r="G473" t="s">
        <v>27</v>
      </c>
      <c r="H473" t="s">
        <v>28</v>
      </c>
      <c r="I473">
        <v>4987</v>
      </c>
      <c r="J473">
        <v>4839</v>
      </c>
      <c r="K473">
        <v>4493</v>
      </c>
      <c r="L473">
        <v>176</v>
      </c>
      <c r="M473">
        <v>85</v>
      </c>
      <c r="N473">
        <v>4</v>
      </c>
      <c r="O473">
        <v>540.34</v>
      </c>
      <c r="P473">
        <v>3899.46</v>
      </c>
      <c r="Q473" s="5">
        <f t="shared" si="56"/>
        <v>0.92849762347592479</v>
      </c>
      <c r="R473" s="5">
        <f t="shared" si="57"/>
        <v>3.9172045403961721E-2</v>
      </c>
      <c r="S473" s="5">
        <f t="shared" si="58"/>
        <v>0.48295454545454547</v>
      </c>
      <c r="T473" s="5">
        <f t="shared" si="59"/>
        <v>4.7058823529411764E-2</v>
      </c>
      <c r="U473" s="5">
        <f t="shared" si="60"/>
        <v>8.9027375918094816E-4</v>
      </c>
      <c r="V473" s="6">
        <f t="shared" si="61"/>
        <v>6.3569411764705883</v>
      </c>
      <c r="W473" s="7">
        <f t="shared" si="62"/>
        <v>3.0701136363636365</v>
      </c>
      <c r="X473" s="5">
        <f t="shared" si="63"/>
        <v>6.2166783876818297</v>
      </c>
    </row>
    <row r="474" spans="1:24" x14ac:dyDescent="0.35">
      <c r="A474" s="3">
        <v>46100</v>
      </c>
      <c r="B474" t="s">
        <v>575</v>
      </c>
      <c r="C474" t="s">
        <v>707</v>
      </c>
      <c r="D474" t="s">
        <v>34</v>
      </c>
      <c r="E474" t="s">
        <v>19</v>
      </c>
      <c r="F474" t="s">
        <v>26</v>
      </c>
      <c r="G474" t="s">
        <v>36</v>
      </c>
      <c r="H474" t="s">
        <v>22</v>
      </c>
      <c r="I474">
        <v>3337</v>
      </c>
      <c r="J474">
        <v>3289</v>
      </c>
      <c r="K474">
        <v>3071</v>
      </c>
      <c r="L474">
        <v>60</v>
      </c>
      <c r="M474">
        <v>35</v>
      </c>
      <c r="N474">
        <v>0</v>
      </c>
      <c r="O474">
        <v>246.45</v>
      </c>
      <c r="P474">
        <v>0</v>
      </c>
      <c r="Q474" s="5">
        <f t="shared" si="56"/>
        <v>0.93371845545758592</v>
      </c>
      <c r="R474" s="5">
        <f t="shared" si="57"/>
        <v>1.9537609899055682E-2</v>
      </c>
      <c r="S474" s="5">
        <f t="shared" si="58"/>
        <v>0.58333333333333337</v>
      </c>
      <c r="T474" s="5">
        <f t="shared" si="59"/>
        <v>0</v>
      </c>
      <c r="U474" s="5">
        <f t="shared" si="60"/>
        <v>0</v>
      </c>
      <c r="V474" s="6">
        <f t="shared" si="61"/>
        <v>7.0414285714285709</v>
      </c>
      <c r="W474" s="7">
        <f t="shared" si="62"/>
        <v>4.1074999999999999</v>
      </c>
      <c r="X474" s="5">
        <f t="shared" si="63"/>
        <v>-1</v>
      </c>
    </row>
    <row r="475" spans="1:24" x14ac:dyDescent="0.35">
      <c r="A475" s="3">
        <v>46101</v>
      </c>
      <c r="B475" t="s">
        <v>615</v>
      </c>
      <c r="C475" t="s">
        <v>708</v>
      </c>
      <c r="D475" t="s">
        <v>40</v>
      </c>
      <c r="E475" t="s">
        <v>25</v>
      </c>
      <c r="F475" t="s">
        <v>20</v>
      </c>
      <c r="G475" t="s">
        <v>59</v>
      </c>
      <c r="H475" t="s">
        <v>28</v>
      </c>
      <c r="I475">
        <v>2099</v>
      </c>
      <c r="J475">
        <v>1629</v>
      </c>
      <c r="K475">
        <v>1507</v>
      </c>
      <c r="L475">
        <v>64</v>
      </c>
      <c r="M475">
        <v>30</v>
      </c>
      <c r="N475">
        <v>1</v>
      </c>
      <c r="O475">
        <v>227.49</v>
      </c>
      <c r="P475">
        <v>851.4</v>
      </c>
      <c r="Q475" s="5">
        <f t="shared" si="56"/>
        <v>0.92510742786985878</v>
      </c>
      <c r="R475" s="5">
        <f t="shared" si="57"/>
        <v>4.2468480424684804E-2</v>
      </c>
      <c r="S475" s="5">
        <f t="shared" si="58"/>
        <v>0.46875</v>
      </c>
      <c r="T475" s="5">
        <f t="shared" si="59"/>
        <v>3.3333333333333333E-2</v>
      </c>
      <c r="U475" s="5">
        <f t="shared" si="60"/>
        <v>6.6357000663570006E-4</v>
      </c>
      <c r="V475" s="6">
        <f t="shared" si="61"/>
        <v>7.5830000000000002</v>
      </c>
      <c r="W475" s="7">
        <f t="shared" si="62"/>
        <v>3.5545312500000001</v>
      </c>
      <c r="X475" s="5">
        <f t="shared" si="63"/>
        <v>2.7425820915205064</v>
      </c>
    </row>
    <row r="476" spans="1:24" x14ac:dyDescent="0.35">
      <c r="A476" s="3">
        <v>46101</v>
      </c>
      <c r="B476" t="s">
        <v>709</v>
      </c>
      <c r="C476" t="s">
        <v>710</v>
      </c>
      <c r="D476" t="s">
        <v>31</v>
      </c>
      <c r="E476" t="s">
        <v>35</v>
      </c>
      <c r="F476" t="s">
        <v>20</v>
      </c>
      <c r="G476" t="s">
        <v>21</v>
      </c>
      <c r="H476" t="s">
        <v>22</v>
      </c>
      <c r="I476">
        <v>3173</v>
      </c>
      <c r="J476">
        <v>2534</v>
      </c>
      <c r="K476">
        <v>2437</v>
      </c>
      <c r="L476">
        <v>142</v>
      </c>
      <c r="M476">
        <v>48</v>
      </c>
      <c r="N476">
        <v>4</v>
      </c>
      <c r="O476">
        <v>501.36</v>
      </c>
      <c r="P476">
        <v>6188.73</v>
      </c>
      <c r="Q476" s="5">
        <f t="shared" si="56"/>
        <v>0.96172059984214675</v>
      </c>
      <c r="R476" s="5">
        <f t="shared" si="57"/>
        <v>5.8268362741075094E-2</v>
      </c>
      <c r="S476" s="5">
        <f t="shared" si="58"/>
        <v>0.3380281690140845</v>
      </c>
      <c r="T476" s="5">
        <f t="shared" si="59"/>
        <v>8.3333333333333329E-2</v>
      </c>
      <c r="U476" s="5">
        <f t="shared" si="60"/>
        <v>1.6413623307345096E-3</v>
      </c>
      <c r="V476" s="6">
        <f t="shared" si="61"/>
        <v>10.445</v>
      </c>
      <c r="W476" s="7">
        <f t="shared" si="62"/>
        <v>3.5307042253521126</v>
      </c>
      <c r="X476" s="5">
        <f t="shared" si="63"/>
        <v>11.343884633796074</v>
      </c>
    </row>
    <row r="477" spans="1:24" x14ac:dyDescent="0.35">
      <c r="A477" s="3">
        <v>46101</v>
      </c>
      <c r="B477" t="s">
        <v>569</v>
      </c>
      <c r="C477" t="s">
        <v>711</v>
      </c>
      <c r="D477" t="s">
        <v>40</v>
      </c>
      <c r="E477" t="s">
        <v>35</v>
      </c>
      <c r="F477" t="s">
        <v>26</v>
      </c>
      <c r="G477" t="s">
        <v>59</v>
      </c>
      <c r="H477" t="s">
        <v>37</v>
      </c>
      <c r="I477">
        <v>705</v>
      </c>
      <c r="J477">
        <v>521</v>
      </c>
      <c r="K477">
        <v>483</v>
      </c>
      <c r="L477">
        <v>49</v>
      </c>
      <c r="M477">
        <v>31</v>
      </c>
      <c r="N477">
        <v>3</v>
      </c>
      <c r="O477">
        <v>74.739999999999995</v>
      </c>
      <c r="P477">
        <v>5087.07</v>
      </c>
      <c r="Q477" s="5">
        <f t="shared" si="56"/>
        <v>0.92706333973128596</v>
      </c>
      <c r="R477" s="5">
        <f t="shared" si="57"/>
        <v>0.10144927536231885</v>
      </c>
      <c r="S477" s="5">
        <f t="shared" si="58"/>
        <v>0.63265306122448983</v>
      </c>
      <c r="T477" s="5">
        <f t="shared" si="59"/>
        <v>9.6774193548387094E-2</v>
      </c>
      <c r="U477" s="5">
        <f t="shared" si="60"/>
        <v>6.2111801242236021E-3</v>
      </c>
      <c r="V477" s="6">
        <f t="shared" si="61"/>
        <v>2.4109677419354836</v>
      </c>
      <c r="W477" s="7">
        <f t="shared" si="62"/>
        <v>1.5253061224489795</v>
      </c>
      <c r="X477" s="5">
        <f t="shared" si="63"/>
        <v>67.063553652662563</v>
      </c>
    </row>
    <row r="478" spans="1:24" x14ac:dyDescent="0.35">
      <c r="A478" s="3">
        <v>46101</v>
      </c>
      <c r="B478" t="s">
        <v>712</v>
      </c>
      <c r="C478" t="s">
        <v>713</v>
      </c>
      <c r="D478" t="s">
        <v>40</v>
      </c>
      <c r="E478" t="s">
        <v>35</v>
      </c>
      <c r="F478" t="s">
        <v>20</v>
      </c>
      <c r="G478" t="s">
        <v>59</v>
      </c>
      <c r="H478" t="s">
        <v>22</v>
      </c>
      <c r="I478">
        <v>2738</v>
      </c>
      <c r="J478">
        <v>2660</v>
      </c>
      <c r="K478">
        <v>2527</v>
      </c>
      <c r="L478">
        <v>189</v>
      </c>
      <c r="M478">
        <v>103</v>
      </c>
      <c r="N478">
        <v>6</v>
      </c>
      <c r="O478">
        <v>477.24</v>
      </c>
      <c r="P478">
        <v>5581.51</v>
      </c>
      <c r="Q478" s="5">
        <f t="shared" si="56"/>
        <v>0.95</v>
      </c>
      <c r="R478" s="5">
        <f t="shared" si="57"/>
        <v>7.4792243767313013E-2</v>
      </c>
      <c r="S478" s="5">
        <f t="shared" si="58"/>
        <v>0.544973544973545</v>
      </c>
      <c r="T478" s="5">
        <f t="shared" si="59"/>
        <v>5.8252427184466021E-2</v>
      </c>
      <c r="U478" s="5">
        <f t="shared" si="60"/>
        <v>2.3743569449940641E-3</v>
      </c>
      <c r="V478" s="6">
        <f t="shared" si="61"/>
        <v>4.6333980582524275</v>
      </c>
      <c r="W478" s="7">
        <f t="shared" si="62"/>
        <v>2.5250793650793653</v>
      </c>
      <c r="X478" s="5">
        <f t="shared" si="63"/>
        <v>10.695394350850727</v>
      </c>
    </row>
    <row r="479" spans="1:24" x14ac:dyDescent="0.35">
      <c r="A479" s="3">
        <v>46101</v>
      </c>
      <c r="B479" t="s">
        <v>714</v>
      </c>
      <c r="C479" t="s">
        <v>715</v>
      </c>
      <c r="D479" t="s">
        <v>40</v>
      </c>
      <c r="E479" t="s">
        <v>56</v>
      </c>
      <c r="F479" t="s">
        <v>26</v>
      </c>
      <c r="G479" t="s">
        <v>59</v>
      </c>
      <c r="H479" t="s">
        <v>22</v>
      </c>
      <c r="I479">
        <v>2822</v>
      </c>
      <c r="J479">
        <v>2179</v>
      </c>
      <c r="K479">
        <v>2050</v>
      </c>
      <c r="L479">
        <v>156</v>
      </c>
      <c r="M479">
        <v>86</v>
      </c>
      <c r="N479">
        <v>6</v>
      </c>
      <c r="O479">
        <v>330.2</v>
      </c>
      <c r="P479">
        <v>6160.12</v>
      </c>
      <c r="Q479" s="5">
        <f t="shared" si="56"/>
        <v>0.94079853143643877</v>
      </c>
      <c r="R479" s="5">
        <f t="shared" si="57"/>
        <v>7.6097560975609754E-2</v>
      </c>
      <c r="S479" s="5">
        <f t="shared" si="58"/>
        <v>0.55128205128205132</v>
      </c>
      <c r="T479" s="5">
        <f t="shared" si="59"/>
        <v>6.9767441860465115E-2</v>
      </c>
      <c r="U479" s="5">
        <f t="shared" si="60"/>
        <v>2.9268292682926829E-3</v>
      </c>
      <c r="V479" s="6">
        <f t="shared" si="61"/>
        <v>3.8395348837209302</v>
      </c>
      <c r="W479" s="7">
        <f t="shared" si="62"/>
        <v>2.1166666666666667</v>
      </c>
      <c r="X479" s="5">
        <f t="shared" si="63"/>
        <v>17.655723803755301</v>
      </c>
    </row>
    <row r="480" spans="1:24" x14ac:dyDescent="0.35">
      <c r="A480" s="3">
        <v>46102</v>
      </c>
      <c r="B480" t="s">
        <v>647</v>
      </c>
      <c r="C480" t="s">
        <v>716</v>
      </c>
      <c r="D480" t="s">
        <v>31</v>
      </c>
      <c r="E480" t="s">
        <v>35</v>
      </c>
      <c r="F480" t="s">
        <v>20</v>
      </c>
      <c r="G480" t="s">
        <v>21</v>
      </c>
      <c r="H480" t="s">
        <v>22</v>
      </c>
      <c r="I480">
        <v>3829</v>
      </c>
      <c r="J480">
        <v>2757</v>
      </c>
      <c r="K480">
        <v>2580</v>
      </c>
      <c r="L480">
        <v>151</v>
      </c>
      <c r="M480">
        <v>53</v>
      </c>
      <c r="N480">
        <v>4</v>
      </c>
      <c r="O480">
        <v>506.24</v>
      </c>
      <c r="P480">
        <v>4370.99</v>
      </c>
      <c r="Q480" s="5">
        <f t="shared" si="56"/>
        <v>0.93579978237214367</v>
      </c>
      <c r="R480" s="5">
        <f t="shared" si="57"/>
        <v>5.8527131782945739E-2</v>
      </c>
      <c r="S480" s="5">
        <f t="shared" si="58"/>
        <v>0.35099337748344372</v>
      </c>
      <c r="T480" s="5">
        <f t="shared" si="59"/>
        <v>7.5471698113207544E-2</v>
      </c>
      <c r="U480" s="5">
        <f t="shared" si="60"/>
        <v>1.5503875968992248E-3</v>
      </c>
      <c r="V480" s="6">
        <f t="shared" si="61"/>
        <v>9.5516981132075465</v>
      </c>
      <c r="W480" s="7">
        <f t="shared" si="62"/>
        <v>3.3525827814569538</v>
      </c>
      <c r="X480" s="5">
        <f t="shared" si="63"/>
        <v>7.6342248735777494</v>
      </c>
    </row>
    <row r="481" spans="1:24" x14ac:dyDescent="0.35">
      <c r="A481" s="3">
        <v>46102</v>
      </c>
      <c r="B481" t="s">
        <v>557</v>
      </c>
      <c r="C481" t="s">
        <v>717</v>
      </c>
      <c r="D481" t="s">
        <v>31</v>
      </c>
      <c r="E481" t="s">
        <v>35</v>
      </c>
      <c r="F481" t="s">
        <v>20</v>
      </c>
      <c r="G481" t="s">
        <v>59</v>
      </c>
      <c r="H481" t="s">
        <v>51</v>
      </c>
      <c r="I481">
        <v>3158</v>
      </c>
      <c r="J481">
        <v>2826</v>
      </c>
      <c r="K481">
        <v>2678</v>
      </c>
      <c r="L481">
        <v>99</v>
      </c>
      <c r="M481">
        <v>40</v>
      </c>
      <c r="N481">
        <v>2</v>
      </c>
      <c r="O481">
        <v>522.09</v>
      </c>
      <c r="P481">
        <v>2726.11</v>
      </c>
      <c r="Q481" s="5">
        <f t="shared" si="56"/>
        <v>0.9476291578202406</v>
      </c>
      <c r="R481" s="5">
        <f t="shared" si="57"/>
        <v>3.6967886482449593E-2</v>
      </c>
      <c r="S481" s="5">
        <f t="shared" si="58"/>
        <v>0.40404040404040403</v>
      </c>
      <c r="T481" s="5">
        <f t="shared" si="59"/>
        <v>0.05</v>
      </c>
      <c r="U481" s="5">
        <f t="shared" si="60"/>
        <v>7.468259895444362E-4</v>
      </c>
      <c r="V481" s="6">
        <f t="shared" si="61"/>
        <v>13.052250000000001</v>
      </c>
      <c r="W481" s="7">
        <f t="shared" si="62"/>
        <v>5.2736363636363643</v>
      </c>
      <c r="X481" s="5">
        <f t="shared" si="63"/>
        <v>4.221532685935375</v>
      </c>
    </row>
    <row r="482" spans="1:24" x14ac:dyDescent="0.35">
      <c r="A482" s="3">
        <v>46103</v>
      </c>
      <c r="B482" t="s">
        <v>597</v>
      </c>
      <c r="C482" t="s">
        <v>718</v>
      </c>
      <c r="D482" t="s">
        <v>40</v>
      </c>
      <c r="E482" t="s">
        <v>35</v>
      </c>
      <c r="F482" t="s">
        <v>20</v>
      </c>
      <c r="G482" t="s">
        <v>59</v>
      </c>
      <c r="H482" t="s">
        <v>28</v>
      </c>
      <c r="I482">
        <v>1072</v>
      </c>
      <c r="J482">
        <v>810</v>
      </c>
      <c r="K482">
        <v>740</v>
      </c>
      <c r="L482">
        <v>52</v>
      </c>
      <c r="M482">
        <v>22</v>
      </c>
      <c r="N482">
        <v>2</v>
      </c>
      <c r="O482">
        <v>105.77</v>
      </c>
      <c r="P482">
        <v>2445.84</v>
      </c>
      <c r="Q482" s="5">
        <f t="shared" si="56"/>
        <v>0.9135802469135802</v>
      </c>
      <c r="R482" s="5">
        <f t="shared" si="57"/>
        <v>7.0270270270270274E-2</v>
      </c>
      <c r="S482" s="5">
        <f t="shared" si="58"/>
        <v>0.42307692307692307</v>
      </c>
      <c r="T482" s="5">
        <f t="shared" si="59"/>
        <v>9.0909090909090912E-2</v>
      </c>
      <c r="U482" s="5">
        <f t="shared" si="60"/>
        <v>2.7027027027027029E-3</v>
      </c>
      <c r="V482" s="6">
        <f t="shared" si="61"/>
        <v>4.8077272727272726</v>
      </c>
      <c r="W482" s="7">
        <f t="shared" si="62"/>
        <v>2.0340384615384615</v>
      </c>
      <c r="X482" s="5">
        <f t="shared" si="63"/>
        <v>22.124137279001609</v>
      </c>
    </row>
    <row r="483" spans="1:24" x14ac:dyDescent="0.35">
      <c r="A483" s="3">
        <v>46103</v>
      </c>
      <c r="B483" t="s">
        <v>606</v>
      </c>
      <c r="C483" t="s">
        <v>719</v>
      </c>
      <c r="D483" t="s">
        <v>34</v>
      </c>
      <c r="E483" t="s">
        <v>35</v>
      </c>
      <c r="F483" t="s">
        <v>20</v>
      </c>
      <c r="G483" t="s">
        <v>36</v>
      </c>
      <c r="H483" t="s">
        <v>48</v>
      </c>
      <c r="I483">
        <v>2679</v>
      </c>
      <c r="J483">
        <v>2503</v>
      </c>
      <c r="K483">
        <v>2337</v>
      </c>
      <c r="L483">
        <v>114</v>
      </c>
      <c r="M483">
        <v>48</v>
      </c>
      <c r="N483">
        <v>3</v>
      </c>
      <c r="O483">
        <v>224.74</v>
      </c>
      <c r="P483">
        <v>4587.01</v>
      </c>
      <c r="Q483" s="5">
        <f t="shared" si="56"/>
        <v>0.93367958449860167</v>
      </c>
      <c r="R483" s="5">
        <f t="shared" si="57"/>
        <v>4.878048780487805E-2</v>
      </c>
      <c r="S483" s="5">
        <f t="shared" si="58"/>
        <v>0.42105263157894735</v>
      </c>
      <c r="T483" s="5">
        <f t="shared" si="59"/>
        <v>6.25E-2</v>
      </c>
      <c r="U483" s="5">
        <f t="shared" si="60"/>
        <v>1.2836970474967907E-3</v>
      </c>
      <c r="V483" s="6">
        <f t="shared" si="61"/>
        <v>4.6820833333333338</v>
      </c>
      <c r="W483" s="7">
        <f t="shared" si="62"/>
        <v>1.9714035087719299</v>
      </c>
      <c r="X483" s="5">
        <f t="shared" si="63"/>
        <v>19.410296342440155</v>
      </c>
    </row>
    <row r="484" spans="1:24" x14ac:dyDescent="0.35">
      <c r="A484" s="3">
        <v>46103</v>
      </c>
      <c r="B484" t="s">
        <v>608</v>
      </c>
      <c r="C484" t="s">
        <v>720</v>
      </c>
      <c r="D484" t="s">
        <v>18</v>
      </c>
      <c r="E484" t="s">
        <v>35</v>
      </c>
      <c r="F484" t="s">
        <v>20</v>
      </c>
      <c r="G484" t="s">
        <v>27</v>
      </c>
      <c r="H484" t="s">
        <v>22</v>
      </c>
      <c r="I484">
        <v>2983</v>
      </c>
      <c r="J484">
        <v>2548</v>
      </c>
      <c r="K484">
        <v>2294</v>
      </c>
      <c r="L484">
        <v>169</v>
      </c>
      <c r="M484">
        <v>88</v>
      </c>
      <c r="N484">
        <v>6</v>
      </c>
      <c r="O484">
        <v>271.41000000000003</v>
      </c>
      <c r="P484">
        <v>5410.84</v>
      </c>
      <c r="Q484" s="5">
        <f t="shared" si="56"/>
        <v>0.90031397174254313</v>
      </c>
      <c r="R484" s="5">
        <f t="shared" si="57"/>
        <v>7.3670444638186575E-2</v>
      </c>
      <c r="S484" s="5">
        <f t="shared" si="58"/>
        <v>0.52071005917159763</v>
      </c>
      <c r="T484" s="5">
        <f t="shared" si="59"/>
        <v>6.8181818181818177E-2</v>
      </c>
      <c r="U484" s="5">
        <f t="shared" si="60"/>
        <v>2.6155187445510027E-3</v>
      </c>
      <c r="V484" s="6">
        <f t="shared" si="61"/>
        <v>3.0842045454545457</v>
      </c>
      <c r="W484" s="7">
        <f t="shared" si="62"/>
        <v>1.605976331360947</v>
      </c>
      <c r="X484" s="5">
        <f t="shared" si="63"/>
        <v>18.93603772889724</v>
      </c>
    </row>
    <row r="485" spans="1:24" x14ac:dyDescent="0.35">
      <c r="A485" s="3">
        <v>46103</v>
      </c>
      <c r="B485" t="s">
        <v>721</v>
      </c>
      <c r="C485" t="s">
        <v>722</v>
      </c>
      <c r="D485" t="s">
        <v>34</v>
      </c>
      <c r="E485" t="s">
        <v>19</v>
      </c>
      <c r="F485" t="s">
        <v>20</v>
      </c>
      <c r="G485" t="s">
        <v>21</v>
      </c>
      <c r="H485" t="s">
        <v>51</v>
      </c>
      <c r="I485">
        <v>2454</v>
      </c>
      <c r="J485">
        <v>2117</v>
      </c>
      <c r="K485">
        <v>1963</v>
      </c>
      <c r="L485">
        <v>64</v>
      </c>
      <c r="M485">
        <v>35</v>
      </c>
      <c r="N485">
        <v>1</v>
      </c>
      <c r="O485">
        <v>149.97999999999999</v>
      </c>
      <c r="P485">
        <v>803.16</v>
      </c>
      <c r="Q485" s="5">
        <f t="shared" si="56"/>
        <v>0.92725555030703821</v>
      </c>
      <c r="R485" s="5">
        <f t="shared" si="57"/>
        <v>3.2603158430973E-2</v>
      </c>
      <c r="S485" s="5">
        <f t="shared" si="58"/>
        <v>0.546875</v>
      </c>
      <c r="T485" s="5">
        <f t="shared" si="59"/>
        <v>2.8571428571428571E-2</v>
      </c>
      <c r="U485" s="5">
        <f t="shared" si="60"/>
        <v>5.0942435048395313E-4</v>
      </c>
      <c r="V485" s="6">
        <f t="shared" si="61"/>
        <v>4.2851428571428567</v>
      </c>
      <c r="W485" s="7">
        <f t="shared" si="62"/>
        <v>2.3434374999999998</v>
      </c>
      <c r="X485" s="5">
        <f t="shared" si="63"/>
        <v>4.3551140152020267</v>
      </c>
    </row>
    <row r="486" spans="1:24" x14ac:dyDescent="0.35">
      <c r="A486" s="3">
        <v>46103</v>
      </c>
      <c r="B486" t="s">
        <v>714</v>
      </c>
      <c r="C486" t="s">
        <v>723</v>
      </c>
      <c r="D486" t="s">
        <v>18</v>
      </c>
      <c r="E486" t="s">
        <v>35</v>
      </c>
      <c r="F486" t="s">
        <v>20</v>
      </c>
      <c r="G486" t="s">
        <v>27</v>
      </c>
      <c r="H486" t="s">
        <v>51</v>
      </c>
      <c r="I486">
        <v>853</v>
      </c>
      <c r="J486">
        <v>833</v>
      </c>
      <c r="K486">
        <v>747</v>
      </c>
      <c r="L486">
        <v>70</v>
      </c>
      <c r="M486">
        <v>35</v>
      </c>
      <c r="N486">
        <v>2</v>
      </c>
      <c r="O486">
        <v>100.36</v>
      </c>
      <c r="P486">
        <v>1676.96</v>
      </c>
      <c r="Q486" s="5">
        <f t="shared" si="56"/>
        <v>0.89675870348139253</v>
      </c>
      <c r="R486" s="5">
        <f t="shared" si="57"/>
        <v>9.3708165997322623E-2</v>
      </c>
      <c r="S486" s="5">
        <f t="shared" si="58"/>
        <v>0.5</v>
      </c>
      <c r="T486" s="5">
        <f t="shared" si="59"/>
        <v>5.7142857142857141E-2</v>
      </c>
      <c r="U486" s="5">
        <f t="shared" si="60"/>
        <v>2.6773761713520749E-3</v>
      </c>
      <c r="V486" s="6">
        <f t="shared" si="61"/>
        <v>2.8674285714285714</v>
      </c>
      <c r="W486" s="7">
        <f t="shared" si="62"/>
        <v>1.4337142857142857</v>
      </c>
      <c r="X486" s="5">
        <f t="shared" si="63"/>
        <v>15.70944599442009</v>
      </c>
    </row>
    <row r="487" spans="1:24" x14ac:dyDescent="0.35">
      <c r="A487" s="3">
        <v>46104</v>
      </c>
      <c r="B487" t="s">
        <v>561</v>
      </c>
      <c r="C487" t="s">
        <v>724</v>
      </c>
      <c r="D487" t="s">
        <v>34</v>
      </c>
      <c r="E487" t="s">
        <v>19</v>
      </c>
      <c r="F487" t="s">
        <v>20</v>
      </c>
      <c r="G487" t="s">
        <v>27</v>
      </c>
      <c r="H487" t="s">
        <v>22</v>
      </c>
      <c r="I487">
        <v>3676</v>
      </c>
      <c r="J487">
        <v>2911</v>
      </c>
      <c r="K487">
        <v>2669</v>
      </c>
      <c r="L487">
        <v>39</v>
      </c>
      <c r="M487">
        <v>18</v>
      </c>
      <c r="N487">
        <v>0</v>
      </c>
      <c r="O487">
        <v>232.49</v>
      </c>
      <c r="P487">
        <v>0</v>
      </c>
      <c r="Q487" s="5">
        <f t="shared" si="56"/>
        <v>0.91686705599450358</v>
      </c>
      <c r="R487" s="5">
        <f t="shared" si="57"/>
        <v>1.4612214312476583E-2</v>
      </c>
      <c r="S487" s="5">
        <f t="shared" si="58"/>
        <v>0.46153846153846156</v>
      </c>
      <c r="T487" s="5">
        <f t="shared" si="59"/>
        <v>0</v>
      </c>
      <c r="U487" s="5">
        <f t="shared" si="60"/>
        <v>0</v>
      </c>
      <c r="V487" s="6">
        <f t="shared" si="61"/>
        <v>12.916111111111112</v>
      </c>
      <c r="W487" s="7">
        <f t="shared" si="62"/>
        <v>5.9612820512820512</v>
      </c>
      <c r="X487" s="5">
        <f t="shared" si="63"/>
        <v>-1</v>
      </c>
    </row>
    <row r="488" spans="1:24" x14ac:dyDescent="0.35">
      <c r="A488" s="3">
        <v>46104</v>
      </c>
      <c r="B488" t="s">
        <v>635</v>
      </c>
      <c r="C488" t="s">
        <v>725</v>
      </c>
      <c r="D488" t="s">
        <v>31</v>
      </c>
      <c r="E488" t="s">
        <v>35</v>
      </c>
      <c r="F488" t="s">
        <v>20</v>
      </c>
      <c r="G488" t="s">
        <v>21</v>
      </c>
      <c r="H488" t="s">
        <v>22</v>
      </c>
      <c r="I488">
        <v>652</v>
      </c>
      <c r="J488">
        <v>527</v>
      </c>
      <c r="K488">
        <v>505</v>
      </c>
      <c r="L488">
        <v>26</v>
      </c>
      <c r="M488">
        <v>11</v>
      </c>
      <c r="N488">
        <v>1</v>
      </c>
      <c r="O488">
        <v>112.87</v>
      </c>
      <c r="P488">
        <v>1608.84</v>
      </c>
      <c r="Q488" s="5">
        <f t="shared" si="56"/>
        <v>0.95825426944971537</v>
      </c>
      <c r="R488" s="5">
        <f t="shared" si="57"/>
        <v>5.1485148514851482E-2</v>
      </c>
      <c r="S488" s="5">
        <f t="shared" si="58"/>
        <v>0.42307692307692307</v>
      </c>
      <c r="T488" s="5">
        <f t="shared" si="59"/>
        <v>9.0909090909090912E-2</v>
      </c>
      <c r="U488" s="5">
        <f t="shared" si="60"/>
        <v>1.9801980198019802E-3</v>
      </c>
      <c r="V488" s="6">
        <f t="shared" si="61"/>
        <v>10.260909090909092</v>
      </c>
      <c r="W488" s="7">
        <f t="shared" si="62"/>
        <v>4.3411538461538459</v>
      </c>
      <c r="X488" s="5">
        <f t="shared" si="63"/>
        <v>13.253920439443606</v>
      </c>
    </row>
    <row r="489" spans="1:24" x14ac:dyDescent="0.35">
      <c r="A489" s="3">
        <v>46104</v>
      </c>
      <c r="B489" t="s">
        <v>606</v>
      </c>
      <c r="C489" t="s">
        <v>726</v>
      </c>
      <c r="D489" t="s">
        <v>31</v>
      </c>
      <c r="E489" t="s">
        <v>25</v>
      </c>
      <c r="F489" t="s">
        <v>20</v>
      </c>
      <c r="G489" t="s">
        <v>59</v>
      </c>
      <c r="H489" t="s">
        <v>28</v>
      </c>
      <c r="I489">
        <v>1925</v>
      </c>
      <c r="J489">
        <v>1599</v>
      </c>
      <c r="K489">
        <v>1559</v>
      </c>
      <c r="L489">
        <v>19</v>
      </c>
      <c r="M489">
        <v>8</v>
      </c>
      <c r="N489">
        <v>0</v>
      </c>
      <c r="O489">
        <v>252.18</v>
      </c>
      <c r="P489">
        <v>0</v>
      </c>
      <c r="Q489" s="5">
        <f t="shared" si="56"/>
        <v>0.9749843652282677</v>
      </c>
      <c r="R489" s="5">
        <f t="shared" si="57"/>
        <v>1.2187299550994226E-2</v>
      </c>
      <c r="S489" s="5">
        <f t="shared" si="58"/>
        <v>0.42105263157894735</v>
      </c>
      <c r="T489" s="5">
        <f t="shared" si="59"/>
        <v>0</v>
      </c>
      <c r="U489" s="5">
        <f t="shared" si="60"/>
        <v>0</v>
      </c>
      <c r="V489" s="6">
        <f t="shared" si="61"/>
        <v>31.522500000000001</v>
      </c>
      <c r="W489" s="7">
        <f t="shared" si="62"/>
        <v>13.272631578947369</v>
      </c>
      <c r="X489" s="5">
        <f t="shared" si="63"/>
        <v>-1</v>
      </c>
    </row>
    <row r="490" spans="1:24" x14ac:dyDescent="0.35">
      <c r="A490" s="3">
        <v>46104</v>
      </c>
      <c r="B490" t="s">
        <v>627</v>
      </c>
      <c r="C490" t="s">
        <v>727</v>
      </c>
      <c r="D490" t="s">
        <v>31</v>
      </c>
      <c r="E490" t="s">
        <v>35</v>
      </c>
      <c r="F490" t="s">
        <v>20</v>
      </c>
      <c r="G490" t="s">
        <v>27</v>
      </c>
      <c r="H490" t="s">
        <v>37</v>
      </c>
      <c r="I490">
        <v>1776</v>
      </c>
      <c r="J490">
        <v>1449</v>
      </c>
      <c r="K490">
        <v>1423</v>
      </c>
      <c r="L490">
        <v>69</v>
      </c>
      <c r="M490">
        <v>28</v>
      </c>
      <c r="N490">
        <v>2</v>
      </c>
      <c r="O490">
        <v>251.24</v>
      </c>
      <c r="P490">
        <v>2067.4299999999998</v>
      </c>
      <c r="Q490" s="5">
        <f t="shared" si="56"/>
        <v>0.98205659075224294</v>
      </c>
      <c r="R490" s="5">
        <f t="shared" si="57"/>
        <v>4.8489107519325371E-2</v>
      </c>
      <c r="S490" s="5">
        <f t="shared" si="58"/>
        <v>0.40579710144927539</v>
      </c>
      <c r="T490" s="5">
        <f t="shared" si="59"/>
        <v>7.1428571428571425E-2</v>
      </c>
      <c r="U490" s="5">
        <f t="shared" si="60"/>
        <v>1.4054813773717498E-3</v>
      </c>
      <c r="V490" s="6">
        <f t="shared" si="61"/>
        <v>8.9728571428571424</v>
      </c>
      <c r="W490" s="7">
        <f t="shared" si="62"/>
        <v>3.6411594202898554</v>
      </c>
      <c r="X490" s="5">
        <f t="shared" si="63"/>
        <v>7.2289046330202185</v>
      </c>
    </row>
    <row r="491" spans="1:24" x14ac:dyDescent="0.35">
      <c r="A491" s="3">
        <v>46104</v>
      </c>
      <c r="B491" t="s">
        <v>630</v>
      </c>
      <c r="C491" t="s">
        <v>728</v>
      </c>
      <c r="D491" t="s">
        <v>34</v>
      </c>
      <c r="E491" t="s">
        <v>19</v>
      </c>
      <c r="F491" t="s">
        <v>20</v>
      </c>
      <c r="G491" t="s">
        <v>27</v>
      </c>
      <c r="H491" t="s">
        <v>51</v>
      </c>
      <c r="I491">
        <v>1391</v>
      </c>
      <c r="J491">
        <v>1211</v>
      </c>
      <c r="K491">
        <v>1152</v>
      </c>
      <c r="L491">
        <v>29</v>
      </c>
      <c r="M491">
        <v>15</v>
      </c>
      <c r="N491">
        <v>0</v>
      </c>
      <c r="O491">
        <v>104.33</v>
      </c>
      <c r="P491">
        <v>0</v>
      </c>
      <c r="Q491" s="5">
        <f t="shared" si="56"/>
        <v>0.95127993393889343</v>
      </c>
      <c r="R491" s="5">
        <f t="shared" si="57"/>
        <v>2.5173611111111112E-2</v>
      </c>
      <c r="S491" s="5">
        <f t="shared" si="58"/>
        <v>0.51724137931034486</v>
      </c>
      <c r="T491" s="5">
        <f t="shared" si="59"/>
        <v>0</v>
      </c>
      <c r="U491" s="5">
        <f t="shared" si="60"/>
        <v>0</v>
      </c>
      <c r="V491" s="6">
        <f t="shared" si="61"/>
        <v>6.9553333333333329</v>
      </c>
      <c r="W491" s="7">
        <f t="shared" si="62"/>
        <v>3.5975862068965516</v>
      </c>
      <c r="X491" s="5">
        <f t="shared" si="63"/>
        <v>-1</v>
      </c>
    </row>
    <row r="492" spans="1:24" x14ac:dyDescent="0.35">
      <c r="A492" s="3">
        <v>46104</v>
      </c>
      <c r="B492" t="s">
        <v>542</v>
      </c>
      <c r="C492" t="s">
        <v>729</v>
      </c>
      <c r="D492" t="s">
        <v>18</v>
      </c>
      <c r="E492" t="s">
        <v>19</v>
      </c>
      <c r="F492" t="s">
        <v>20</v>
      </c>
      <c r="G492" t="s">
        <v>21</v>
      </c>
      <c r="H492" t="s">
        <v>28</v>
      </c>
      <c r="I492">
        <v>4468</v>
      </c>
      <c r="J492">
        <v>4150</v>
      </c>
      <c r="K492">
        <v>3789</v>
      </c>
      <c r="L492">
        <v>60</v>
      </c>
      <c r="M492">
        <v>27</v>
      </c>
      <c r="N492">
        <v>1</v>
      </c>
      <c r="O492">
        <v>425.99</v>
      </c>
      <c r="P492">
        <v>653.07000000000005</v>
      </c>
      <c r="Q492" s="5">
        <f t="shared" si="56"/>
        <v>0.91301204819277104</v>
      </c>
      <c r="R492" s="5">
        <f t="shared" si="57"/>
        <v>1.583531274742676E-2</v>
      </c>
      <c r="S492" s="5">
        <f t="shared" si="58"/>
        <v>0.45</v>
      </c>
      <c r="T492" s="5">
        <f t="shared" si="59"/>
        <v>3.7037037037037035E-2</v>
      </c>
      <c r="U492" s="5">
        <f t="shared" si="60"/>
        <v>2.6392187912377939E-4</v>
      </c>
      <c r="V492" s="6">
        <f t="shared" si="61"/>
        <v>15.777407407407408</v>
      </c>
      <c r="W492" s="7">
        <f t="shared" si="62"/>
        <v>7.0998333333333337</v>
      </c>
      <c r="X492" s="5">
        <f t="shared" si="63"/>
        <v>0.53306415643559713</v>
      </c>
    </row>
    <row r="493" spans="1:24" x14ac:dyDescent="0.35">
      <c r="A493" s="3">
        <v>46104</v>
      </c>
      <c r="B493" t="s">
        <v>573</v>
      </c>
      <c r="C493" t="s">
        <v>730</v>
      </c>
      <c r="D493" t="s">
        <v>18</v>
      </c>
      <c r="E493" t="s">
        <v>35</v>
      </c>
      <c r="F493" t="s">
        <v>26</v>
      </c>
      <c r="G493" t="s">
        <v>41</v>
      </c>
      <c r="H493" t="s">
        <v>48</v>
      </c>
      <c r="I493">
        <v>3520</v>
      </c>
      <c r="J493">
        <v>3413</v>
      </c>
      <c r="K493">
        <v>3048</v>
      </c>
      <c r="L493">
        <v>327</v>
      </c>
      <c r="M493">
        <v>196</v>
      </c>
      <c r="N493">
        <v>17</v>
      </c>
      <c r="O493">
        <v>376.83</v>
      </c>
      <c r="P493">
        <v>14222</v>
      </c>
      <c r="Q493" s="5">
        <f t="shared" si="56"/>
        <v>0.89305596249633756</v>
      </c>
      <c r="R493" s="5">
        <f t="shared" si="57"/>
        <v>0.10728346456692914</v>
      </c>
      <c r="S493" s="5">
        <f t="shared" si="58"/>
        <v>0.59938837920489296</v>
      </c>
      <c r="T493" s="5">
        <f t="shared" si="59"/>
        <v>8.673469387755102E-2</v>
      </c>
      <c r="U493" s="5">
        <f t="shared" si="60"/>
        <v>5.5774278215223096E-3</v>
      </c>
      <c r="V493" s="6">
        <f t="shared" si="61"/>
        <v>1.9226020408163265</v>
      </c>
      <c r="W493" s="7">
        <f t="shared" si="62"/>
        <v>1.1523853211009174</v>
      </c>
      <c r="X493" s="5">
        <f t="shared" si="63"/>
        <v>36.741156489663773</v>
      </c>
    </row>
    <row r="494" spans="1:24" x14ac:dyDescent="0.35">
      <c r="A494" s="3">
        <v>46105</v>
      </c>
      <c r="B494" t="s">
        <v>597</v>
      </c>
      <c r="C494" t="s">
        <v>731</v>
      </c>
      <c r="D494" t="s">
        <v>31</v>
      </c>
      <c r="E494" t="s">
        <v>25</v>
      </c>
      <c r="F494" t="s">
        <v>26</v>
      </c>
      <c r="G494" t="s">
        <v>59</v>
      </c>
      <c r="H494" t="s">
        <v>28</v>
      </c>
      <c r="I494">
        <v>4898</v>
      </c>
      <c r="J494">
        <v>4542</v>
      </c>
      <c r="K494">
        <v>4400</v>
      </c>
      <c r="L494">
        <v>200</v>
      </c>
      <c r="M494">
        <v>103</v>
      </c>
      <c r="N494">
        <v>4</v>
      </c>
      <c r="O494">
        <v>900.98</v>
      </c>
      <c r="P494">
        <v>3105.69</v>
      </c>
      <c r="Q494" s="5">
        <f t="shared" si="56"/>
        <v>0.96873623954205201</v>
      </c>
      <c r="R494" s="5">
        <f t="shared" si="57"/>
        <v>4.5454545454545456E-2</v>
      </c>
      <c r="S494" s="5">
        <f t="shared" si="58"/>
        <v>0.51500000000000001</v>
      </c>
      <c r="T494" s="5">
        <f t="shared" si="59"/>
        <v>3.8834951456310676E-2</v>
      </c>
      <c r="U494" s="5">
        <f t="shared" si="60"/>
        <v>9.0909090909090909E-4</v>
      </c>
      <c r="V494" s="6">
        <f t="shared" si="61"/>
        <v>8.7473786407766987</v>
      </c>
      <c r="W494" s="7">
        <f t="shared" si="62"/>
        <v>4.5049000000000001</v>
      </c>
      <c r="X494" s="5">
        <f t="shared" si="63"/>
        <v>2.4470132522364536</v>
      </c>
    </row>
    <row r="495" spans="1:24" x14ac:dyDescent="0.35">
      <c r="A495" s="3">
        <v>46105</v>
      </c>
      <c r="B495" t="s">
        <v>641</v>
      </c>
      <c r="C495" t="s">
        <v>732</v>
      </c>
      <c r="D495" t="s">
        <v>34</v>
      </c>
      <c r="E495" t="s">
        <v>56</v>
      </c>
      <c r="F495" t="s">
        <v>20</v>
      </c>
      <c r="G495" t="s">
        <v>27</v>
      </c>
      <c r="H495" t="s">
        <v>22</v>
      </c>
      <c r="I495">
        <v>2409</v>
      </c>
      <c r="J495">
        <v>2256</v>
      </c>
      <c r="K495">
        <v>2131</v>
      </c>
      <c r="L495">
        <v>121</v>
      </c>
      <c r="M495">
        <v>53</v>
      </c>
      <c r="N495">
        <v>3</v>
      </c>
      <c r="O495">
        <v>163</v>
      </c>
      <c r="P495">
        <v>2381.14</v>
      </c>
      <c r="Q495" s="5">
        <f t="shared" si="56"/>
        <v>0.94459219858156029</v>
      </c>
      <c r="R495" s="5">
        <f t="shared" si="57"/>
        <v>5.6780854059127167E-2</v>
      </c>
      <c r="S495" s="5">
        <f t="shared" si="58"/>
        <v>0.43801652892561982</v>
      </c>
      <c r="T495" s="5">
        <f t="shared" si="59"/>
        <v>5.6603773584905662E-2</v>
      </c>
      <c r="U495" s="5">
        <f t="shared" si="60"/>
        <v>1.4077897700610043E-3</v>
      </c>
      <c r="V495" s="6">
        <f t="shared" si="61"/>
        <v>3.0754716981132075</v>
      </c>
      <c r="W495" s="7">
        <f t="shared" si="62"/>
        <v>1.3471074380165289</v>
      </c>
      <c r="X495" s="5">
        <f t="shared" si="63"/>
        <v>13.608220858895704</v>
      </c>
    </row>
    <row r="496" spans="1:24" x14ac:dyDescent="0.35">
      <c r="A496" s="3">
        <v>46105</v>
      </c>
      <c r="B496" t="s">
        <v>709</v>
      </c>
      <c r="C496" t="s">
        <v>733</v>
      </c>
      <c r="D496" t="s">
        <v>31</v>
      </c>
      <c r="E496" t="s">
        <v>56</v>
      </c>
      <c r="F496" t="s">
        <v>20</v>
      </c>
      <c r="G496" t="s">
        <v>27</v>
      </c>
      <c r="H496" t="s">
        <v>22</v>
      </c>
      <c r="I496">
        <v>2244</v>
      </c>
      <c r="J496">
        <v>1722</v>
      </c>
      <c r="K496">
        <v>1683</v>
      </c>
      <c r="L496">
        <v>81</v>
      </c>
      <c r="M496">
        <v>29</v>
      </c>
      <c r="N496">
        <v>2</v>
      </c>
      <c r="O496">
        <v>346.31</v>
      </c>
      <c r="P496">
        <v>2400.77</v>
      </c>
      <c r="Q496" s="5">
        <f t="shared" si="56"/>
        <v>0.97735191637630658</v>
      </c>
      <c r="R496" s="5">
        <f t="shared" si="57"/>
        <v>4.8128342245989303E-2</v>
      </c>
      <c r="S496" s="5">
        <f t="shared" si="58"/>
        <v>0.35802469135802467</v>
      </c>
      <c r="T496" s="5">
        <f t="shared" si="59"/>
        <v>6.8965517241379309E-2</v>
      </c>
      <c r="U496" s="5">
        <f t="shared" si="60"/>
        <v>1.1883541295306002E-3</v>
      </c>
      <c r="V496" s="6">
        <f t="shared" si="61"/>
        <v>11.941724137931034</v>
      </c>
      <c r="W496" s="7">
        <f t="shared" si="62"/>
        <v>4.2754320987654317</v>
      </c>
      <c r="X496" s="5">
        <f t="shared" si="63"/>
        <v>5.9324304813606306</v>
      </c>
    </row>
    <row r="497" spans="1:24" x14ac:dyDescent="0.35">
      <c r="A497" s="3">
        <v>46105</v>
      </c>
      <c r="B497" t="s">
        <v>734</v>
      </c>
      <c r="C497" t="s">
        <v>735</v>
      </c>
      <c r="D497" t="s">
        <v>34</v>
      </c>
      <c r="E497" t="s">
        <v>56</v>
      </c>
      <c r="F497" t="s">
        <v>26</v>
      </c>
      <c r="G497" t="s">
        <v>36</v>
      </c>
      <c r="H497" t="s">
        <v>28</v>
      </c>
      <c r="I497">
        <v>3379</v>
      </c>
      <c r="J497">
        <v>2569</v>
      </c>
      <c r="K497">
        <v>2366</v>
      </c>
      <c r="L497">
        <v>134</v>
      </c>
      <c r="M497">
        <v>87</v>
      </c>
      <c r="N497">
        <v>5</v>
      </c>
      <c r="O497">
        <v>232.39</v>
      </c>
      <c r="P497">
        <v>6618.91</v>
      </c>
      <c r="Q497" s="5">
        <f t="shared" si="56"/>
        <v>0.92098092643051777</v>
      </c>
      <c r="R497" s="5">
        <f t="shared" si="57"/>
        <v>5.6635672020287402E-2</v>
      </c>
      <c r="S497" s="5">
        <f t="shared" si="58"/>
        <v>0.64925373134328357</v>
      </c>
      <c r="T497" s="5">
        <f t="shared" si="59"/>
        <v>5.7471264367816091E-2</v>
      </c>
      <c r="U497" s="5">
        <f t="shared" si="60"/>
        <v>2.113271344040575E-3</v>
      </c>
      <c r="V497" s="6">
        <f t="shared" si="61"/>
        <v>2.6711494252873562</v>
      </c>
      <c r="W497" s="7">
        <f t="shared" si="62"/>
        <v>1.7342537313432835</v>
      </c>
      <c r="X497" s="5">
        <f t="shared" si="63"/>
        <v>27.481905417616936</v>
      </c>
    </row>
    <row r="498" spans="1:24" x14ac:dyDescent="0.35">
      <c r="A498" s="3">
        <v>46105</v>
      </c>
      <c r="B498" t="s">
        <v>736</v>
      </c>
      <c r="C498" t="s">
        <v>737</v>
      </c>
      <c r="D498" t="s">
        <v>40</v>
      </c>
      <c r="E498" t="s">
        <v>25</v>
      </c>
      <c r="F498" t="s">
        <v>20</v>
      </c>
      <c r="G498" t="s">
        <v>41</v>
      </c>
      <c r="H498" t="s">
        <v>28</v>
      </c>
      <c r="I498">
        <v>2147</v>
      </c>
      <c r="J498">
        <v>1567</v>
      </c>
      <c r="K498">
        <v>1459</v>
      </c>
      <c r="L498">
        <v>50</v>
      </c>
      <c r="M498">
        <v>25</v>
      </c>
      <c r="N498">
        <v>0</v>
      </c>
      <c r="O498">
        <v>213.25</v>
      </c>
      <c r="P498">
        <v>0</v>
      </c>
      <c r="Q498" s="5">
        <f t="shared" si="56"/>
        <v>0.93107849393746012</v>
      </c>
      <c r="R498" s="5">
        <f t="shared" si="57"/>
        <v>3.4270047978067167E-2</v>
      </c>
      <c r="S498" s="5">
        <f t="shared" si="58"/>
        <v>0.5</v>
      </c>
      <c r="T498" s="5">
        <f t="shared" si="59"/>
        <v>0</v>
      </c>
      <c r="U498" s="5">
        <f t="shared" si="60"/>
        <v>0</v>
      </c>
      <c r="V498" s="6">
        <f t="shared" si="61"/>
        <v>8.5299999999999994</v>
      </c>
      <c r="W498" s="7">
        <f t="shared" si="62"/>
        <v>4.2649999999999997</v>
      </c>
      <c r="X498" s="5">
        <f t="shared" si="63"/>
        <v>-1</v>
      </c>
    </row>
    <row r="499" spans="1:24" x14ac:dyDescent="0.35">
      <c r="A499" s="3">
        <v>46105</v>
      </c>
      <c r="B499" t="s">
        <v>688</v>
      </c>
      <c r="C499" t="s">
        <v>738</v>
      </c>
      <c r="D499" t="s">
        <v>18</v>
      </c>
      <c r="E499" t="s">
        <v>19</v>
      </c>
      <c r="F499" t="s">
        <v>20</v>
      </c>
      <c r="G499" t="s">
        <v>36</v>
      </c>
      <c r="H499" t="s">
        <v>28</v>
      </c>
      <c r="I499">
        <v>4047</v>
      </c>
      <c r="J499">
        <v>3904</v>
      </c>
      <c r="K499">
        <v>3529</v>
      </c>
      <c r="L499">
        <v>65</v>
      </c>
      <c r="M499">
        <v>32</v>
      </c>
      <c r="N499">
        <v>0</v>
      </c>
      <c r="O499">
        <v>467.8</v>
      </c>
      <c r="P499">
        <v>0</v>
      </c>
      <c r="Q499" s="5">
        <f t="shared" si="56"/>
        <v>0.90394467213114749</v>
      </c>
      <c r="R499" s="5">
        <f t="shared" si="57"/>
        <v>1.8418815528478322E-2</v>
      </c>
      <c r="S499" s="5">
        <f t="shared" si="58"/>
        <v>0.49230769230769234</v>
      </c>
      <c r="T499" s="5">
        <f t="shared" si="59"/>
        <v>0</v>
      </c>
      <c r="U499" s="5">
        <f t="shared" si="60"/>
        <v>0</v>
      </c>
      <c r="V499" s="6">
        <f t="shared" si="61"/>
        <v>14.61875</v>
      </c>
      <c r="W499" s="7">
        <f t="shared" si="62"/>
        <v>7.1969230769230768</v>
      </c>
      <c r="X499" s="5">
        <f t="shared" si="63"/>
        <v>-1</v>
      </c>
    </row>
    <row r="500" spans="1:24" x14ac:dyDescent="0.35">
      <c r="A500" s="3">
        <v>46106</v>
      </c>
      <c r="B500" t="s">
        <v>696</v>
      </c>
      <c r="C500" t="s">
        <v>739</v>
      </c>
      <c r="D500" t="s">
        <v>18</v>
      </c>
      <c r="E500" t="s">
        <v>56</v>
      </c>
      <c r="F500" t="s">
        <v>26</v>
      </c>
      <c r="G500" t="s">
        <v>21</v>
      </c>
      <c r="H500" t="s">
        <v>51</v>
      </c>
      <c r="I500">
        <v>3736</v>
      </c>
      <c r="J500">
        <v>2783</v>
      </c>
      <c r="K500">
        <v>2501</v>
      </c>
      <c r="L500">
        <v>194</v>
      </c>
      <c r="M500">
        <v>128</v>
      </c>
      <c r="N500">
        <v>10</v>
      </c>
      <c r="O500">
        <v>358.08</v>
      </c>
      <c r="P500">
        <v>11506.31</v>
      </c>
      <c r="Q500" s="5">
        <f t="shared" si="56"/>
        <v>0.89867049946101329</v>
      </c>
      <c r="R500" s="5">
        <f t="shared" si="57"/>
        <v>7.756897241103558E-2</v>
      </c>
      <c r="S500" s="5">
        <f t="shared" si="58"/>
        <v>0.65979381443298968</v>
      </c>
      <c r="T500" s="5">
        <f t="shared" si="59"/>
        <v>7.8125E-2</v>
      </c>
      <c r="U500" s="5">
        <f t="shared" si="60"/>
        <v>3.9984006397441024E-3</v>
      </c>
      <c r="V500" s="6">
        <f t="shared" si="61"/>
        <v>2.7974999999999999</v>
      </c>
      <c r="W500" s="7">
        <f t="shared" si="62"/>
        <v>1.8457731958762886</v>
      </c>
      <c r="X500" s="5">
        <f t="shared" si="63"/>
        <v>31.133350089365504</v>
      </c>
    </row>
    <row r="501" spans="1:24" x14ac:dyDescent="0.35">
      <c r="A501" s="3">
        <v>46106</v>
      </c>
      <c r="B501" t="s">
        <v>554</v>
      </c>
      <c r="C501" t="s">
        <v>740</v>
      </c>
      <c r="D501" t="s">
        <v>31</v>
      </c>
      <c r="E501" t="s">
        <v>25</v>
      </c>
      <c r="F501" t="s">
        <v>20</v>
      </c>
      <c r="G501" t="s">
        <v>36</v>
      </c>
      <c r="H501" t="s">
        <v>48</v>
      </c>
      <c r="I501">
        <v>2981</v>
      </c>
      <c r="J501">
        <v>2174</v>
      </c>
      <c r="K501">
        <v>2076</v>
      </c>
      <c r="L501">
        <v>59</v>
      </c>
      <c r="M501">
        <v>21</v>
      </c>
      <c r="N501">
        <v>1</v>
      </c>
      <c r="O501">
        <v>423.95</v>
      </c>
      <c r="P501">
        <v>908.42</v>
      </c>
      <c r="Q501" s="5">
        <f t="shared" si="56"/>
        <v>0.95492180312787489</v>
      </c>
      <c r="R501" s="5">
        <f t="shared" si="57"/>
        <v>2.8420038535645471E-2</v>
      </c>
      <c r="S501" s="5">
        <f t="shared" si="58"/>
        <v>0.3559322033898305</v>
      </c>
      <c r="T501" s="5">
        <f t="shared" si="59"/>
        <v>4.7619047619047616E-2</v>
      </c>
      <c r="U501" s="5">
        <f t="shared" si="60"/>
        <v>4.8169556840077071E-4</v>
      </c>
      <c r="V501" s="6">
        <f t="shared" si="61"/>
        <v>20.188095238095237</v>
      </c>
      <c r="W501" s="7">
        <f t="shared" si="62"/>
        <v>7.1855932203389825</v>
      </c>
      <c r="X501" s="5">
        <f t="shared" si="63"/>
        <v>1.1427526830994221</v>
      </c>
    </row>
    <row r="502" spans="1:24" x14ac:dyDescent="0.35">
      <c r="A502" s="3">
        <v>46106</v>
      </c>
      <c r="B502" t="s">
        <v>639</v>
      </c>
      <c r="C502" t="s">
        <v>741</v>
      </c>
      <c r="D502" t="s">
        <v>40</v>
      </c>
      <c r="E502" t="s">
        <v>35</v>
      </c>
      <c r="F502" t="s">
        <v>20</v>
      </c>
      <c r="G502" t="s">
        <v>36</v>
      </c>
      <c r="H502" t="s">
        <v>51</v>
      </c>
      <c r="I502">
        <v>4325</v>
      </c>
      <c r="J502">
        <v>3811</v>
      </c>
      <c r="K502">
        <v>3507</v>
      </c>
      <c r="L502">
        <v>208</v>
      </c>
      <c r="M502">
        <v>124</v>
      </c>
      <c r="N502">
        <v>8</v>
      </c>
      <c r="O502">
        <v>536.13</v>
      </c>
      <c r="P502">
        <v>6993.39</v>
      </c>
      <c r="Q502" s="5">
        <f t="shared" si="56"/>
        <v>0.92023091052217265</v>
      </c>
      <c r="R502" s="5">
        <f t="shared" si="57"/>
        <v>5.9309951525520391E-2</v>
      </c>
      <c r="S502" s="5">
        <f t="shared" si="58"/>
        <v>0.59615384615384615</v>
      </c>
      <c r="T502" s="5">
        <f t="shared" si="59"/>
        <v>6.4516129032258063E-2</v>
      </c>
      <c r="U502" s="5">
        <f t="shared" si="60"/>
        <v>2.2811519817507843E-3</v>
      </c>
      <c r="V502" s="6">
        <f t="shared" si="61"/>
        <v>4.3236290322580642</v>
      </c>
      <c r="W502" s="7">
        <f t="shared" si="62"/>
        <v>2.577548076923077</v>
      </c>
      <c r="X502" s="5">
        <f t="shared" si="63"/>
        <v>12.04420569637961</v>
      </c>
    </row>
    <row r="503" spans="1:24" x14ac:dyDescent="0.35">
      <c r="A503" s="3">
        <v>46106</v>
      </c>
      <c r="B503" t="s">
        <v>567</v>
      </c>
      <c r="C503" t="s">
        <v>742</v>
      </c>
      <c r="D503" t="s">
        <v>18</v>
      </c>
      <c r="E503" t="s">
        <v>25</v>
      </c>
      <c r="F503" t="s">
        <v>20</v>
      </c>
      <c r="G503" t="s">
        <v>27</v>
      </c>
      <c r="H503" t="s">
        <v>28</v>
      </c>
      <c r="I503">
        <v>705</v>
      </c>
      <c r="J503">
        <v>556</v>
      </c>
      <c r="K503">
        <v>507</v>
      </c>
      <c r="L503">
        <v>24</v>
      </c>
      <c r="M503">
        <v>13</v>
      </c>
      <c r="N503">
        <v>1</v>
      </c>
      <c r="O503">
        <v>75.8</v>
      </c>
      <c r="P503">
        <v>1131.25</v>
      </c>
      <c r="Q503" s="5">
        <f t="shared" si="56"/>
        <v>0.91187050359712229</v>
      </c>
      <c r="R503" s="5">
        <f t="shared" si="57"/>
        <v>4.7337278106508875E-2</v>
      </c>
      <c r="S503" s="5">
        <f t="shared" si="58"/>
        <v>0.54166666666666663</v>
      </c>
      <c r="T503" s="5">
        <f t="shared" si="59"/>
        <v>7.6923076923076927E-2</v>
      </c>
      <c r="U503" s="5">
        <f t="shared" si="60"/>
        <v>1.9723865877712033E-3</v>
      </c>
      <c r="V503" s="6">
        <f t="shared" si="61"/>
        <v>5.8307692307692305</v>
      </c>
      <c r="W503" s="7">
        <f t="shared" si="62"/>
        <v>3.1583333333333332</v>
      </c>
      <c r="X503" s="5">
        <f t="shared" si="63"/>
        <v>13.924142480211083</v>
      </c>
    </row>
    <row r="504" spans="1:24" x14ac:dyDescent="0.35">
      <c r="A504" s="3">
        <v>46107</v>
      </c>
      <c r="B504" t="s">
        <v>635</v>
      </c>
      <c r="C504" t="s">
        <v>743</v>
      </c>
      <c r="D504" t="s">
        <v>18</v>
      </c>
      <c r="E504" t="s">
        <v>56</v>
      </c>
      <c r="F504" t="s">
        <v>20</v>
      </c>
      <c r="G504" t="s">
        <v>36</v>
      </c>
      <c r="H504" t="s">
        <v>48</v>
      </c>
      <c r="I504">
        <v>3659</v>
      </c>
      <c r="J504">
        <v>3106</v>
      </c>
      <c r="K504">
        <v>2954</v>
      </c>
      <c r="L504">
        <v>148</v>
      </c>
      <c r="M504">
        <v>79</v>
      </c>
      <c r="N504">
        <v>5</v>
      </c>
      <c r="O504">
        <v>403.31</v>
      </c>
      <c r="P504">
        <v>5356.98</v>
      </c>
      <c r="Q504" s="5">
        <f t="shared" si="56"/>
        <v>0.95106245975531234</v>
      </c>
      <c r="R504" s="5">
        <f t="shared" si="57"/>
        <v>5.0101557210561948E-2</v>
      </c>
      <c r="S504" s="5">
        <f t="shared" si="58"/>
        <v>0.53378378378378377</v>
      </c>
      <c r="T504" s="5">
        <f t="shared" si="59"/>
        <v>6.3291139240506333E-2</v>
      </c>
      <c r="U504" s="5">
        <f t="shared" si="60"/>
        <v>1.6926201760324984E-3</v>
      </c>
      <c r="V504" s="6">
        <f t="shared" si="61"/>
        <v>5.1051898734177215</v>
      </c>
      <c r="W504" s="7">
        <f t="shared" si="62"/>
        <v>2.7250675675675677</v>
      </c>
      <c r="X504" s="5">
        <f t="shared" si="63"/>
        <v>12.282537006273088</v>
      </c>
    </row>
    <row r="505" spans="1:24" x14ac:dyDescent="0.35">
      <c r="A505" s="3">
        <v>46107</v>
      </c>
      <c r="B505" t="s">
        <v>590</v>
      </c>
      <c r="C505" t="s">
        <v>744</v>
      </c>
      <c r="D505" t="s">
        <v>40</v>
      </c>
      <c r="E505" t="s">
        <v>19</v>
      </c>
      <c r="F505" t="s">
        <v>26</v>
      </c>
      <c r="G505" t="s">
        <v>36</v>
      </c>
      <c r="H505" t="s">
        <v>28</v>
      </c>
      <c r="I505">
        <v>2007</v>
      </c>
      <c r="J505">
        <v>1896</v>
      </c>
      <c r="K505">
        <v>1782</v>
      </c>
      <c r="L505">
        <v>54</v>
      </c>
      <c r="M505">
        <v>31</v>
      </c>
      <c r="N505">
        <v>0</v>
      </c>
      <c r="O505">
        <v>300.95999999999998</v>
      </c>
      <c r="P505">
        <v>0</v>
      </c>
      <c r="Q505" s="5">
        <f t="shared" si="56"/>
        <v>0.939873417721519</v>
      </c>
      <c r="R505" s="5">
        <f t="shared" si="57"/>
        <v>3.0303030303030304E-2</v>
      </c>
      <c r="S505" s="5">
        <f t="shared" si="58"/>
        <v>0.57407407407407407</v>
      </c>
      <c r="T505" s="5">
        <f t="shared" si="59"/>
        <v>0</v>
      </c>
      <c r="U505" s="5">
        <f t="shared" si="60"/>
        <v>0</v>
      </c>
      <c r="V505" s="6">
        <f t="shared" si="61"/>
        <v>9.7083870967741923</v>
      </c>
      <c r="W505" s="7">
        <f t="shared" si="62"/>
        <v>5.5733333333333333</v>
      </c>
      <c r="X505" s="5">
        <f t="shared" si="63"/>
        <v>-1</v>
      </c>
    </row>
    <row r="506" spans="1:24" x14ac:dyDescent="0.35">
      <c r="A506" s="3">
        <v>46107</v>
      </c>
      <c r="B506" t="s">
        <v>651</v>
      </c>
      <c r="C506" t="s">
        <v>745</v>
      </c>
      <c r="D506" t="s">
        <v>18</v>
      </c>
      <c r="E506" t="s">
        <v>25</v>
      </c>
      <c r="F506" t="s">
        <v>20</v>
      </c>
      <c r="G506" t="s">
        <v>21</v>
      </c>
      <c r="H506" t="s">
        <v>51</v>
      </c>
      <c r="I506">
        <v>759</v>
      </c>
      <c r="J506">
        <v>684</v>
      </c>
      <c r="K506">
        <v>623</v>
      </c>
      <c r="L506">
        <v>27</v>
      </c>
      <c r="M506">
        <v>11</v>
      </c>
      <c r="N506">
        <v>0</v>
      </c>
      <c r="O506">
        <v>77.14</v>
      </c>
      <c r="P506">
        <v>0</v>
      </c>
      <c r="Q506" s="5">
        <f t="shared" si="56"/>
        <v>0.91081871345029242</v>
      </c>
      <c r="R506" s="5">
        <f t="shared" si="57"/>
        <v>4.3338683788121987E-2</v>
      </c>
      <c r="S506" s="5">
        <f t="shared" si="58"/>
        <v>0.40740740740740738</v>
      </c>
      <c r="T506" s="5">
        <f t="shared" si="59"/>
        <v>0</v>
      </c>
      <c r="U506" s="5">
        <f t="shared" si="60"/>
        <v>0</v>
      </c>
      <c r="V506" s="6">
        <f t="shared" si="61"/>
        <v>7.0127272727272727</v>
      </c>
      <c r="W506" s="7">
        <f t="shared" si="62"/>
        <v>2.857037037037037</v>
      </c>
      <c r="X506" s="5">
        <f t="shared" si="63"/>
        <v>-1</v>
      </c>
    </row>
    <row r="507" spans="1:24" x14ac:dyDescent="0.35">
      <c r="A507" s="3">
        <v>46107</v>
      </c>
      <c r="B507" t="s">
        <v>559</v>
      </c>
      <c r="C507" t="s">
        <v>746</v>
      </c>
      <c r="D507" t="s">
        <v>18</v>
      </c>
      <c r="E507" t="s">
        <v>35</v>
      </c>
      <c r="F507" t="s">
        <v>26</v>
      </c>
      <c r="G507" t="s">
        <v>21</v>
      </c>
      <c r="H507" t="s">
        <v>51</v>
      </c>
      <c r="I507">
        <v>4983</v>
      </c>
      <c r="J507">
        <v>4450</v>
      </c>
      <c r="K507">
        <v>3994</v>
      </c>
      <c r="L507">
        <v>421</v>
      </c>
      <c r="M507">
        <v>276</v>
      </c>
      <c r="N507">
        <v>32</v>
      </c>
      <c r="O507">
        <v>598.25</v>
      </c>
      <c r="P507">
        <v>41266.94</v>
      </c>
      <c r="Q507" s="5">
        <f t="shared" si="56"/>
        <v>0.89752808988764043</v>
      </c>
      <c r="R507" s="5">
        <f t="shared" si="57"/>
        <v>0.10540811216825238</v>
      </c>
      <c r="S507" s="5">
        <f t="shared" si="58"/>
        <v>0.6555819477434679</v>
      </c>
      <c r="T507" s="5">
        <f t="shared" si="59"/>
        <v>0.11594202898550725</v>
      </c>
      <c r="U507" s="5">
        <f t="shared" si="60"/>
        <v>8.01201802704056E-3</v>
      </c>
      <c r="V507" s="6">
        <f t="shared" si="61"/>
        <v>2.1675724637681157</v>
      </c>
      <c r="W507" s="7">
        <f t="shared" si="62"/>
        <v>1.4210213776722089</v>
      </c>
      <c r="X507" s="5">
        <f t="shared" si="63"/>
        <v>67.979423318010873</v>
      </c>
    </row>
    <row r="508" spans="1:24" x14ac:dyDescent="0.35">
      <c r="A508" s="3">
        <v>46108</v>
      </c>
      <c r="B508" t="s">
        <v>544</v>
      </c>
      <c r="C508" t="s">
        <v>747</v>
      </c>
      <c r="D508" t="s">
        <v>34</v>
      </c>
      <c r="E508" t="s">
        <v>19</v>
      </c>
      <c r="F508" t="s">
        <v>20</v>
      </c>
      <c r="G508" t="s">
        <v>59</v>
      </c>
      <c r="H508" t="s">
        <v>22</v>
      </c>
      <c r="I508">
        <v>1351</v>
      </c>
      <c r="J508">
        <v>1312</v>
      </c>
      <c r="K508">
        <v>1222</v>
      </c>
      <c r="L508">
        <v>14</v>
      </c>
      <c r="M508">
        <v>6</v>
      </c>
      <c r="N508">
        <v>0</v>
      </c>
      <c r="O508">
        <v>109.97</v>
      </c>
      <c r="P508">
        <v>0</v>
      </c>
      <c r="Q508" s="5">
        <f t="shared" si="56"/>
        <v>0.93140243902439024</v>
      </c>
      <c r="R508" s="5">
        <f t="shared" si="57"/>
        <v>1.1456628477905073E-2</v>
      </c>
      <c r="S508" s="5">
        <f t="shared" si="58"/>
        <v>0.42857142857142855</v>
      </c>
      <c r="T508" s="5">
        <f t="shared" si="59"/>
        <v>0</v>
      </c>
      <c r="U508" s="5">
        <f t="shared" si="60"/>
        <v>0</v>
      </c>
      <c r="V508" s="6">
        <f t="shared" si="61"/>
        <v>18.328333333333333</v>
      </c>
      <c r="W508" s="7">
        <f t="shared" si="62"/>
        <v>7.8549999999999995</v>
      </c>
      <c r="X508" s="5">
        <f t="shared" si="63"/>
        <v>-1</v>
      </c>
    </row>
    <row r="509" spans="1:24" x14ac:dyDescent="0.35">
      <c r="A509" s="3">
        <v>46108</v>
      </c>
      <c r="B509" t="s">
        <v>643</v>
      </c>
      <c r="C509" t="s">
        <v>748</v>
      </c>
      <c r="D509" t="s">
        <v>40</v>
      </c>
      <c r="E509" t="s">
        <v>25</v>
      </c>
      <c r="F509" t="s">
        <v>26</v>
      </c>
      <c r="G509" t="s">
        <v>59</v>
      </c>
      <c r="H509" t="s">
        <v>37</v>
      </c>
      <c r="I509">
        <v>3983</v>
      </c>
      <c r="J509">
        <v>3483</v>
      </c>
      <c r="K509">
        <v>3214</v>
      </c>
      <c r="L509">
        <v>177</v>
      </c>
      <c r="M509">
        <v>118</v>
      </c>
      <c r="N509">
        <v>6</v>
      </c>
      <c r="O509">
        <v>490.5</v>
      </c>
      <c r="P509">
        <v>5486.27</v>
      </c>
      <c r="Q509" s="5">
        <f t="shared" si="56"/>
        <v>0.92276772896927939</v>
      </c>
      <c r="R509" s="5">
        <f t="shared" si="57"/>
        <v>5.507156191661481E-2</v>
      </c>
      <c r="S509" s="5">
        <f t="shared" si="58"/>
        <v>0.66666666666666663</v>
      </c>
      <c r="T509" s="5">
        <f t="shared" si="59"/>
        <v>5.0847457627118647E-2</v>
      </c>
      <c r="U509" s="5">
        <f t="shared" si="60"/>
        <v>1.8668326073428749E-3</v>
      </c>
      <c r="V509" s="6">
        <f t="shared" si="61"/>
        <v>4.156779661016949</v>
      </c>
      <c r="W509" s="7">
        <f t="shared" si="62"/>
        <v>2.7711864406779663</v>
      </c>
      <c r="X509" s="5">
        <f t="shared" si="63"/>
        <v>10.185056065239552</v>
      </c>
    </row>
    <row r="510" spans="1:24" x14ac:dyDescent="0.35">
      <c r="A510" s="3">
        <v>46108</v>
      </c>
      <c r="B510" t="s">
        <v>700</v>
      </c>
      <c r="C510" t="s">
        <v>749</v>
      </c>
      <c r="D510" t="s">
        <v>18</v>
      </c>
      <c r="E510" t="s">
        <v>35</v>
      </c>
      <c r="F510" t="s">
        <v>20</v>
      </c>
      <c r="G510" t="s">
        <v>59</v>
      </c>
      <c r="H510" t="s">
        <v>22</v>
      </c>
      <c r="I510">
        <v>1103</v>
      </c>
      <c r="J510">
        <v>950</v>
      </c>
      <c r="K510">
        <v>867</v>
      </c>
      <c r="L510">
        <v>65</v>
      </c>
      <c r="M510">
        <v>31</v>
      </c>
      <c r="N510">
        <v>2</v>
      </c>
      <c r="O510">
        <v>123.4</v>
      </c>
      <c r="P510">
        <v>2220.4499999999998</v>
      </c>
      <c r="Q510" s="5">
        <f t="shared" si="56"/>
        <v>0.91263157894736846</v>
      </c>
      <c r="R510" s="5">
        <f t="shared" si="57"/>
        <v>7.4971164936562862E-2</v>
      </c>
      <c r="S510" s="5">
        <f t="shared" si="58"/>
        <v>0.47692307692307695</v>
      </c>
      <c r="T510" s="5">
        <f t="shared" si="59"/>
        <v>6.4516129032258063E-2</v>
      </c>
      <c r="U510" s="5">
        <f t="shared" si="60"/>
        <v>2.306805074971165E-3</v>
      </c>
      <c r="V510" s="6">
        <f t="shared" si="61"/>
        <v>3.9806451612903229</v>
      </c>
      <c r="W510" s="7">
        <f t="shared" si="62"/>
        <v>1.8984615384615386</v>
      </c>
      <c r="X510" s="5">
        <f t="shared" si="63"/>
        <v>16.993922204213934</v>
      </c>
    </row>
    <row r="511" spans="1:24" x14ac:dyDescent="0.35">
      <c r="A511" s="3">
        <v>46108</v>
      </c>
      <c r="B511" t="s">
        <v>736</v>
      </c>
      <c r="C511" t="s">
        <v>750</v>
      </c>
      <c r="D511" t="s">
        <v>40</v>
      </c>
      <c r="E511" t="s">
        <v>35</v>
      </c>
      <c r="F511" t="s">
        <v>20</v>
      </c>
      <c r="G511" t="s">
        <v>36</v>
      </c>
      <c r="H511" t="s">
        <v>48</v>
      </c>
      <c r="I511">
        <v>4305</v>
      </c>
      <c r="J511">
        <v>3251</v>
      </c>
      <c r="K511">
        <v>2975</v>
      </c>
      <c r="L511">
        <v>198</v>
      </c>
      <c r="M511">
        <v>88</v>
      </c>
      <c r="N511">
        <v>4</v>
      </c>
      <c r="O511">
        <v>534.66</v>
      </c>
      <c r="P511">
        <v>3691.35</v>
      </c>
      <c r="Q511" s="5">
        <f t="shared" si="56"/>
        <v>0.91510304521685637</v>
      </c>
      <c r="R511" s="5">
        <f t="shared" si="57"/>
        <v>6.655462184873949E-2</v>
      </c>
      <c r="S511" s="5">
        <f t="shared" si="58"/>
        <v>0.44444444444444442</v>
      </c>
      <c r="T511" s="5">
        <f t="shared" si="59"/>
        <v>4.5454545454545456E-2</v>
      </c>
      <c r="U511" s="5">
        <f t="shared" si="60"/>
        <v>1.3445378151260505E-3</v>
      </c>
      <c r="V511" s="6">
        <f t="shared" si="61"/>
        <v>6.0756818181818177</v>
      </c>
      <c r="W511" s="7">
        <f t="shared" si="62"/>
        <v>2.7003030303030302</v>
      </c>
      <c r="X511" s="5">
        <f t="shared" si="63"/>
        <v>5.9041072831332064</v>
      </c>
    </row>
    <row r="512" spans="1:24" x14ac:dyDescent="0.35">
      <c r="A512" s="3">
        <v>46108</v>
      </c>
      <c r="B512" t="s">
        <v>751</v>
      </c>
      <c r="C512" t="s">
        <v>752</v>
      </c>
      <c r="D512" t="s">
        <v>31</v>
      </c>
      <c r="E512" t="s">
        <v>19</v>
      </c>
      <c r="F512" t="s">
        <v>20</v>
      </c>
      <c r="G512" t="s">
        <v>36</v>
      </c>
      <c r="H512" t="s">
        <v>37</v>
      </c>
      <c r="I512">
        <v>1982</v>
      </c>
      <c r="J512">
        <v>1781</v>
      </c>
      <c r="K512">
        <v>1725</v>
      </c>
      <c r="L512">
        <v>7</v>
      </c>
      <c r="M512">
        <v>3</v>
      </c>
      <c r="N512">
        <v>0</v>
      </c>
      <c r="O512">
        <v>344.27</v>
      </c>
      <c r="P512">
        <v>0</v>
      </c>
      <c r="Q512" s="5">
        <f t="shared" si="56"/>
        <v>0.9685569904548007</v>
      </c>
      <c r="R512" s="5">
        <f t="shared" si="57"/>
        <v>4.0579710144927538E-3</v>
      </c>
      <c r="S512" s="5">
        <f t="shared" si="58"/>
        <v>0.42857142857142855</v>
      </c>
      <c r="T512" s="5">
        <f t="shared" si="59"/>
        <v>0</v>
      </c>
      <c r="U512" s="5">
        <f t="shared" si="60"/>
        <v>0</v>
      </c>
      <c r="V512" s="6">
        <f t="shared" si="61"/>
        <v>114.75666666666666</v>
      </c>
      <c r="W512" s="7">
        <f t="shared" si="62"/>
        <v>49.181428571428569</v>
      </c>
      <c r="X512" s="5">
        <f t="shared" si="63"/>
        <v>-1</v>
      </c>
    </row>
    <row r="513" spans="1:24" x14ac:dyDescent="0.35">
      <c r="A513" s="3">
        <v>46108</v>
      </c>
      <c r="B513" t="s">
        <v>580</v>
      </c>
      <c r="C513" t="s">
        <v>753</v>
      </c>
      <c r="D513" t="s">
        <v>18</v>
      </c>
      <c r="E513" t="s">
        <v>35</v>
      </c>
      <c r="F513" t="s">
        <v>20</v>
      </c>
      <c r="G513" t="s">
        <v>41</v>
      </c>
      <c r="H513" t="s">
        <v>48</v>
      </c>
      <c r="I513">
        <v>3048</v>
      </c>
      <c r="J513">
        <v>2842</v>
      </c>
      <c r="K513">
        <v>2636</v>
      </c>
      <c r="L513">
        <v>197</v>
      </c>
      <c r="M513">
        <v>90</v>
      </c>
      <c r="N513">
        <v>5</v>
      </c>
      <c r="O513">
        <v>352.24</v>
      </c>
      <c r="P513">
        <v>5569.81</v>
      </c>
      <c r="Q513" s="5">
        <f t="shared" si="56"/>
        <v>0.92751583391977477</v>
      </c>
      <c r="R513" s="5">
        <f t="shared" si="57"/>
        <v>7.4734446130500759E-2</v>
      </c>
      <c r="S513" s="5">
        <f t="shared" si="58"/>
        <v>0.45685279187817257</v>
      </c>
      <c r="T513" s="5">
        <f t="shared" si="59"/>
        <v>5.5555555555555552E-2</v>
      </c>
      <c r="U513" s="5">
        <f t="shared" si="60"/>
        <v>1.8968133535660092E-3</v>
      </c>
      <c r="V513" s="6">
        <f t="shared" si="61"/>
        <v>3.9137777777777778</v>
      </c>
      <c r="W513" s="7">
        <f t="shared" si="62"/>
        <v>1.7880203045685279</v>
      </c>
      <c r="X513" s="5">
        <f t="shared" si="63"/>
        <v>14.81254258460141</v>
      </c>
    </row>
    <row r="514" spans="1:24" x14ac:dyDescent="0.35">
      <c r="A514" s="3">
        <v>46108</v>
      </c>
      <c r="B514" t="s">
        <v>559</v>
      </c>
      <c r="C514" t="s">
        <v>754</v>
      </c>
      <c r="D514" t="s">
        <v>34</v>
      </c>
      <c r="E514" t="s">
        <v>56</v>
      </c>
      <c r="F514" t="s">
        <v>26</v>
      </c>
      <c r="G514" t="s">
        <v>59</v>
      </c>
      <c r="H514" t="s">
        <v>51</v>
      </c>
      <c r="I514">
        <v>1065</v>
      </c>
      <c r="J514">
        <v>934</v>
      </c>
      <c r="K514">
        <v>884</v>
      </c>
      <c r="L514">
        <v>62</v>
      </c>
      <c r="M514">
        <v>33</v>
      </c>
      <c r="N514">
        <v>2</v>
      </c>
      <c r="O514">
        <v>78.39</v>
      </c>
      <c r="P514">
        <v>2927.59</v>
      </c>
      <c r="Q514" s="5">
        <f t="shared" si="56"/>
        <v>0.94646680942184158</v>
      </c>
      <c r="R514" s="5">
        <f t="shared" si="57"/>
        <v>7.0135746606334842E-2</v>
      </c>
      <c r="S514" s="5">
        <f t="shared" si="58"/>
        <v>0.532258064516129</v>
      </c>
      <c r="T514" s="5">
        <f t="shared" si="59"/>
        <v>6.0606060606060608E-2</v>
      </c>
      <c r="U514" s="5">
        <f t="shared" si="60"/>
        <v>2.2624434389140274E-3</v>
      </c>
      <c r="V514" s="6">
        <f t="shared" si="61"/>
        <v>2.3754545454545455</v>
      </c>
      <c r="W514" s="7">
        <f t="shared" si="62"/>
        <v>1.2643548387096775</v>
      </c>
      <c r="X514" s="5">
        <f t="shared" si="63"/>
        <v>36.346472764383215</v>
      </c>
    </row>
    <row r="515" spans="1:24" x14ac:dyDescent="0.35">
      <c r="A515" s="3">
        <v>46109</v>
      </c>
      <c r="B515" t="s">
        <v>755</v>
      </c>
      <c r="C515" t="s">
        <v>756</v>
      </c>
      <c r="D515" t="s">
        <v>31</v>
      </c>
      <c r="E515" t="s">
        <v>25</v>
      </c>
      <c r="F515" t="s">
        <v>20</v>
      </c>
      <c r="G515" t="s">
        <v>59</v>
      </c>
      <c r="H515" t="s">
        <v>28</v>
      </c>
      <c r="I515">
        <v>822</v>
      </c>
      <c r="J515">
        <v>597</v>
      </c>
      <c r="K515">
        <v>585</v>
      </c>
      <c r="L515">
        <v>10</v>
      </c>
      <c r="M515">
        <v>5</v>
      </c>
      <c r="N515">
        <v>0</v>
      </c>
      <c r="O515">
        <v>104.14</v>
      </c>
      <c r="P515">
        <v>0</v>
      </c>
      <c r="Q515" s="5">
        <f t="shared" ref="Q515:Q578" si="64">K515/J515</f>
        <v>0.97989949748743721</v>
      </c>
      <c r="R515" s="5">
        <f t="shared" ref="R515:R578" si="65">L515/K515</f>
        <v>1.7094017094017096E-2</v>
      </c>
      <c r="S515" s="5">
        <f t="shared" ref="S515:S578" si="66">M515/L515</f>
        <v>0.5</v>
      </c>
      <c r="T515" s="5">
        <f t="shared" ref="T515:T578" si="67">N515/M515</f>
        <v>0</v>
      </c>
      <c r="U515" s="5">
        <f t="shared" ref="U515:U578" si="68">N515/K515</f>
        <v>0</v>
      </c>
      <c r="V515" s="6">
        <f t="shared" ref="V515:V578" si="69">O515/M515</f>
        <v>20.827999999999999</v>
      </c>
      <c r="W515" s="7">
        <f t="shared" ref="W515:W578" si="70">O515/L515</f>
        <v>10.414</v>
      </c>
      <c r="X515" s="5">
        <f t="shared" ref="X515:X578" si="71">(P515-O515)/O515</f>
        <v>-1</v>
      </c>
    </row>
    <row r="516" spans="1:24" x14ac:dyDescent="0.35">
      <c r="A516" s="3">
        <v>46109</v>
      </c>
      <c r="B516" t="s">
        <v>592</v>
      </c>
      <c r="C516" t="s">
        <v>757</v>
      </c>
      <c r="D516" t="s">
        <v>31</v>
      </c>
      <c r="E516" t="s">
        <v>19</v>
      </c>
      <c r="F516" t="s">
        <v>26</v>
      </c>
      <c r="G516" t="s">
        <v>59</v>
      </c>
      <c r="H516" t="s">
        <v>51</v>
      </c>
      <c r="I516">
        <v>2158</v>
      </c>
      <c r="J516">
        <v>1604</v>
      </c>
      <c r="K516">
        <v>1538</v>
      </c>
      <c r="L516">
        <v>13</v>
      </c>
      <c r="M516">
        <v>5</v>
      </c>
      <c r="N516">
        <v>0</v>
      </c>
      <c r="O516">
        <v>310.37</v>
      </c>
      <c r="P516">
        <v>0</v>
      </c>
      <c r="Q516" s="5">
        <f t="shared" si="64"/>
        <v>0.95885286783042389</v>
      </c>
      <c r="R516" s="5">
        <f t="shared" si="65"/>
        <v>8.4525357607282189E-3</v>
      </c>
      <c r="S516" s="5">
        <f t="shared" si="66"/>
        <v>0.38461538461538464</v>
      </c>
      <c r="T516" s="5">
        <f t="shared" si="67"/>
        <v>0</v>
      </c>
      <c r="U516" s="5">
        <f t="shared" si="68"/>
        <v>0</v>
      </c>
      <c r="V516" s="6">
        <f t="shared" si="69"/>
        <v>62.073999999999998</v>
      </c>
      <c r="W516" s="7">
        <f t="shared" si="70"/>
        <v>23.874615384615385</v>
      </c>
      <c r="X516" s="5">
        <f t="shared" si="71"/>
        <v>-1</v>
      </c>
    </row>
    <row r="517" spans="1:24" x14ac:dyDescent="0.35">
      <c r="A517" s="3">
        <v>46109</v>
      </c>
      <c r="B517" t="s">
        <v>677</v>
      </c>
      <c r="C517" t="s">
        <v>758</v>
      </c>
      <c r="D517" t="s">
        <v>31</v>
      </c>
      <c r="E517" t="s">
        <v>19</v>
      </c>
      <c r="F517" t="s">
        <v>20</v>
      </c>
      <c r="G517" t="s">
        <v>21</v>
      </c>
      <c r="H517" t="s">
        <v>48</v>
      </c>
      <c r="I517">
        <v>2608</v>
      </c>
      <c r="J517">
        <v>2275</v>
      </c>
      <c r="K517">
        <v>2183</v>
      </c>
      <c r="L517">
        <v>16</v>
      </c>
      <c r="M517">
        <v>7</v>
      </c>
      <c r="N517">
        <v>0</v>
      </c>
      <c r="O517">
        <v>418.13</v>
      </c>
      <c r="P517">
        <v>0</v>
      </c>
      <c r="Q517" s="5">
        <f t="shared" si="64"/>
        <v>0.95956043956043957</v>
      </c>
      <c r="R517" s="5">
        <f t="shared" si="65"/>
        <v>7.3293632615666513E-3</v>
      </c>
      <c r="S517" s="5">
        <f t="shared" si="66"/>
        <v>0.4375</v>
      </c>
      <c r="T517" s="5">
        <f t="shared" si="67"/>
        <v>0</v>
      </c>
      <c r="U517" s="5">
        <f t="shared" si="68"/>
        <v>0</v>
      </c>
      <c r="V517" s="6">
        <f t="shared" si="69"/>
        <v>59.732857142857142</v>
      </c>
      <c r="W517" s="7">
        <f t="shared" si="70"/>
        <v>26.133125</v>
      </c>
      <c r="X517" s="5">
        <f t="shared" si="71"/>
        <v>-1</v>
      </c>
    </row>
    <row r="518" spans="1:24" x14ac:dyDescent="0.35">
      <c r="A518" s="3">
        <v>46109</v>
      </c>
      <c r="B518" t="s">
        <v>582</v>
      </c>
      <c r="C518" t="s">
        <v>759</v>
      </c>
      <c r="D518" t="s">
        <v>34</v>
      </c>
      <c r="E518" t="s">
        <v>35</v>
      </c>
      <c r="F518" t="s">
        <v>20</v>
      </c>
      <c r="G518" t="s">
        <v>27</v>
      </c>
      <c r="H518" t="s">
        <v>28</v>
      </c>
      <c r="I518">
        <v>4674</v>
      </c>
      <c r="J518">
        <v>4173</v>
      </c>
      <c r="K518">
        <v>3996</v>
      </c>
      <c r="L518">
        <v>270</v>
      </c>
      <c r="M518">
        <v>130</v>
      </c>
      <c r="N518">
        <v>9</v>
      </c>
      <c r="O518">
        <v>316.67</v>
      </c>
      <c r="P518">
        <v>9359.2999999999993</v>
      </c>
      <c r="Q518" s="5">
        <f t="shared" si="64"/>
        <v>0.95758447160316318</v>
      </c>
      <c r="R518" s="5">
        <f t="shared" si="65"/>
        <v>6.7567567567567571E-2</v>
      </c>
      <c r="S518" s="5">
        <f t="shared" si="66"/>
        <v>0.48148148148148145</v>
      </c>
      <c r="T518" s="5">
        <f t="shared" si="67"/>
        <v>6.9230769230769235E-2</v>
      </c>
      <c r="U518" s="5">
        <f t="shared" si="68"/>
        <v>2.2522522522522522E-3</v>
      </c>
      <c r="V518" s="6">
        <f t="shared" si="69"/>
        <v>2.4359230769230771</v>
      </c>
      <c r="W518" s="7">
        <f t="shared" si="70"/>
        <v>1.1728518518518518</v>
      </c>
      <c r="X518" s="5">
        <f t="shared" si="71"/>
        <v>28.555373101335771</v>
      </c>
    </row>
    <row r="519" spans="1:24" x14ac:dyDescent="0.35">
      <c r="A519" s="3">
        <v>46110</v>
      </c>
      <c r="B519" t="s">
        <v>760</v>
      </c>
      <c r="C519" t="s">
        <v>761</v>
      </c>
      <c r="D519" t="s">
        <v>40</v>
      </c>
      <c r="E519" t="s">
        <v>25</v>
      </c>
      <c r="F519" t="s">
        <v>26</v>
      </c>
      <c r="G519" t="s">
        <v>27</v>
      </c>
      <c r="H519" t="s">
        <v>37</v>
      </c>
      <c r="I519">
        <v>3054</v>
      </c>
      <c r="J519">
        <v>2602</v>
      </c>
      <c r="K519">
        <v>2365</v>
      </c>
      <c r="L519">
        <v>121</v>
      </c>
      <c r="M519">
        <v>79</v>
      </c>
      <c r="N519">
        <v>4</v>
      </c>
      <c r="O519">
        <v>439.87</v>
      </c>
      <c r="P519">
        <v>4890.1400000000003</v>
      </c>
      <c r="Q519" s="5">
        <f t="shared" si="64"/>
        <v>0.90891621829362024</v>
      </c>
      <c r="R519" s="5">
        <f t="shared" si="65"/>
        <v>5.1162790697674418E-2</v>
      </c>
      <c r="S519" s="5">
        <f t="shared" si="66"/>
        <v>0.65289256198347112</v>
      </c>
      <c r="T519" s="5">
        <f t="shared" si="67"/>
        <v>5.0632911392405063E-2</v>
      </c>
      <c r="U519" s="5">
        <f t="shared" si="68"/>
        <v>1.6913319238900633E-3</v>
      </c>
      <c r="V519" s="6">
        <f t="shared" si="69"/>
        <v>5.5679746835443042</v>
      </c>
      <c r="W519" s="7">
        <f t="shared" si="70"/>
        <v>3.6352892561983472</v>
      </c>
      <c r="X519" s="5">
        <f t="shared" si="71"/>
        <v>10.117239184304454</v>
      </c>
    </row>
    <row r="520" spans="1:24" x14ac:dyDescent="0.35">
      <c r="A520" s="3">
        <v>46110</v>
      </c>
      <c r="B520" t="s">
        <v>734</v>
      </c>
      <c r="C520" t="s">
        <v>762</v>
      </c>
      <c r="D520" t="s">
        <v>18</v>
      </c>
      <c r="E520" t="s">
        <v>35</v>
      </c>
      <c r="F520" t="s">
        <v>26</v>
      </c>
      <c r="G520" t="s">
        <v>59</v>
      </c>
      <c r="H520" t="s">
        <v>51</v>
      </c>
      <c r="I520">
        <v>3904</v>
      </c>
      <c r="J520">
        <v>3210</v>
      </c>
      <c r="K520">
        <v>2924</v>
      </c>
      <c r="L520">
        <v>260</v>
      </c>
      <c r="M520">
        <v>170</v>
      </c>
      <c r="N520">
        <v>14</v>
      </c>
      <c r="O520">
        <v>374.81</v>
      </c>
      <c r="P520">
        <v>14052.28</v>
      </c>
      <c r="Q520" s="5">
        <f t="shared" si="64"/>
        <v>0.91090342679127723</v>
      </c>
      <c r="R520" s="5">
        <f t="shared" si="65"/>
        <v>8.8919288645690833E-2</v>
      </c>
      <c r="S520" s="5">
        <f t="shared" si="66"/>
        <v>0.65384615384615385</v>
      </c>
      <c r="T520" s="5">
        <f t="shared" si="67"/>
        <v>8.2352941176470587E-2</v>
      </c>
      <c r="U520" s="5">
        <f t="shared" si="68"/>
        <v>4.7879616963064295E-3</v>
      </c>
      <c r="V520" s="6">
        <f t="shared" si="69"/>
        <v>2.204764705882353</v>
      </c>
      <c r="W520" s="7">
        <f t="shared" si="70"/>
        <v>1.4415769230769231</v>
      </c>
      <c r="X520" s="5">
        <f t="shared" si="71"/>
        <v>36.491742482857987</v>
      </c>
    </row>
    <row r="521" spans="1:24" x14ac:dyDescent="0.35">
      <c r="A521" s="3">
        <v>46110</v>
      </c>
      <c r="B521" t="s">
        <v>627</v>
      </c>
      <c r="C521" t="s">
        <v>763</v>
      </c>
      <c r="D521" t="s">
        <v>40</v>
      </c>
      <c r="E521" t="s">
        <v>35</v>
      </c>
      <c r="F521" t="s">
        <v>20</v>
      </c>
      <c r="G521" t="s">
        <v>27</v>
      </c>
      <c r="H521" t="s">
        <v>28</v>
      </c>
      <c r="I521">
        <v>761</v>
      </c>
      <c r="J521">
        <v>696</v>
      </c>
      <c r="K521">
        <v>639</v>
      </c>
      <c r="L521">
        <v>40</v>
      </c>
      <c r="M521">
        <v>19</v>
      </c>
      <c r="N521">
        <v>1</v>
      </c>
      <c r="O521">
        <v>120.99</v>
      </c>
      <c r="P521">
        <v>994.03</v>
      </c>
      <c r="Q521" s="5">
        <f t="shared" si="64"/>
        <v>0.9181034482758621</v>
      </c>
      <c r="R521" s="5">
        <f t="shared" si="65"/>
        <v>6.2597809076682318E-2</v>
      </c>
      <c r="S521" s="5">
        <f t="shared" si="66"/>
        <v>0.47499999999999998</v>
      </c>
      <c r="T521" s="5">
        <f t="shared" si="67"/>
        <v>5.2631578947368418E-2</v>
      </c>
      <c r="U521" s="5">
        <f t="shared" si="68"/>
        <v>1.5649452269170579E-3</v>
      </c>
      <c r="V521" s="6">
        <f t="shared" si="69"/>
        <v>6.3678947368421053</v>
      </c>
      <c r="W521" s="7">
        <f t="shared" si="70"/>
        <v>3.02475</v>
      </c>
      <c r="X521" s="5">
        <f t="shared" si="71"/>
        <v>7.2158029589222252</v>
      </c>
    </row>
    <row r="522" spans="1:24" x14ac:dyDescent="0.35">
      <c r="A522" s="3">
        <v>46110</v>
      </c>
      <c r="B522" t="s">
        <v>688</v>
      </c>
      <c r="C522" t="s">
        <v>764</v>
      </c>
      <c r="D522" t="s">
        <v>31</v>
      </c>
      <c r="E522" t="s">
        <v>56</v>
      </c>
      <c r="F522" t="s">
        <v>20</v>
      </c>
      <c r="G522" t="s">
        <v>21</v>
      </c>
      <c r="H522" t="s">
        <v>48</v>
      </c>
      <c r="I522">
        <v>1851</v>
      </c>
      <c r="J522">
        <v>1835</v>
      </c>
      <c r="K522">
        <v>1758</v>
      </c>
      <c r="L522">
        <v>68</v>
      </c>
      <c r="M522">
        <v>26</v>
      </c>
      <c r="N522">
        <v>1</v>
      </c>
      <c r="O522">
        <v>321.98</v>
      </c>
      <c r="P522">
        <v>880.56</v>
      </c>
      <c r="Q522" s="5">
        <f t="shared" si="64"/>
        <v>0.95803814713896462</v>
      </c>
      <c r="R522" s="5">
        <f t="shared" si="65"/>
        <v>3.8680318543799774E-2</v>
      </c>
      <c r="S522" s="5">
        <f t="shared" si="66"/>
        <v>0.38235294117647056</v>
      </c>
      <c r="T522" s="5">
        <f t="shared" si="67"/>
        <v>3.8461538461538464E-2</v>
      </c>
      <c r="U522" s="5">
        <f t="shared" si="68"/>
        <v>5.6882821387940839E-4</v>
      </c>
      <c r="V522" s="6">
        <f t="shared" si="69"/>
        <v>12.383846153846154</v>
      </c>
      <c r="W522" s="7">
        <f t="shared" si="70"/>
        <v>4.7350000000000003</v>
      </c>
      <c r="X522" s="5">
        <f t="shared" si="71"/>
        <v>1.7348282502018755</v>
      </c>
    </row>
    <row r="523" spans="1:24" x14ac:dyDescent="0.35">
      <c r="A523" s="3">
        <v>46110</v>
      </c>
      <c r="B523" t="s">
        <v>765</v>
      </c>
      <c r="C523" t="s">
        <v>766</v>
      </c>
      <c r="D523" t="s">
        <v>18</v>
      </c>
      <c r="E523" t="s">
        <v>35</v>
      </c>
      <c r="F523" t="s">
        <v>20</v>
      </c>
      <c r="G523" t="s">
        <v>27</v>
      </c>
      <c r="H523" t="s">
        <v>37</v>
      </c>
      <c r="I523">
        <v>584</v>
      </c>
      <c r="J523">
        <v>465</v>
      </c>
      <c r="K523">
        <v>432</v>
      </c>
      <c r="L523">
        <v>31</v>
      </c>
      <c r="M523">
        <v>14</v>
      </c>
      <c r="N523">
        <v>1</v>
      </c>
      <c r="O523">
        <v>64.069999999999993</v>
      </c>
      <c r="P523">
        <v>1266.83</v>
      </c>
      <c r="Q523" s="5">
        <f t="shared" si="64"/>
        <v>0.92903225806451617</v>
      </c>
      <c r="R523" s="5">
        <f t="shared" si="65"/>
        <v>7.1759259259259259E-2</v>
      </c>
      <c r="S523" s="5">
        <f t="shared" si="66"/>
        <v>0.45161290322580644</v>
      </c>
      <c r="T523" s="5">
        <f t="shared" si="67"/>
        <v>7.1428571428571425E-2</v>
      </c>
      <c r="U523" s="5">
        <f t="shared" si="68"/>
        <v>2.3148148148148147E-3</v>
      </c>
      <c r="V523" s="6">
        <f t="shared" si="69"/>
        <v>4.5764285714285711</v>
      </c>
      <c r="W523" s="7">
        <f t="shared" si="70"/>
        <v>2.0667741935483868</v>
      </c>
      <c r="X523" s="5">
        <f t="shared" si="71"/>
        <v>18.772592476978307</v>
      </c>
    </row>
    <row r="524" spans="1:24" x14ac:dyDescent="0.35">
      <c r="A524" s="3">
        <v>46110</v>
      </c>
      <c r="B524" t="s">
        <v>767</v>
      </c>
      <c r="C524" t="s">
        <v>768</v>
      </c>
      <c r="D524" t="s">
        <v>31</v>
      </c>
      <c r="E524" t="s">
        <v>35</v>
      </c>
      <c r="F524" t="s">
        <v>20</v>
      </c>
      <c r="G524" t="s">
        <v>41</v>
      </c>
      <c r="H524" t="s">
        <v>51</v>
      </c>
      <c r="I524">
        <v>2479</v>
      </c>
      <c r="J524">
        <v>1964</v>
      </c>
      <c r="K524">
        <v>1871</v>
      </c>
      <c r="L524">
        <v>77</v>
      </c>
      <c r="M524">
        <v>30</v>
      </c>
      <c r="N524">
        <v>3</v>
      </c>
      <c r="O524">
        <v>325.83999999999997</v>
      </c>
      <c r="P524">
        <v>4543.6099999999997</v>
      </c>
      <c r="Q524" s="5">
        <f t="shared" si="64"/>
        <v>0.95264765784114058</v>
      </c>
      <c r="R524" s="5">
        <f t="shared" si="65"/>
        <v>4.1154462854088719E-2</v>
      </c>
      <c r="S524" s="5">
        <f t="shared" si="66"/>
        <v>0.38961038961038963</v>
      </c>
      <c r="T524" s="5">
        <f t="shared" si="67"/>
        <v>0.1</v>
      </c>
      <c r="U524" s="5">
        <f t="shared" si="68"/>
        <v>1.6034206306787815E-3</v>
      </c>
      <c r="V524" s="6">
        <f t="shared" si="69"/>
        <v>10.861333333333333</v>
      </c>
      <c r="W524" s="7">
        <f t="shared" si="70"/>
        <v>4.2316883116883117</v>
      </c>
      <c r="X524" s="5">
        <f t="shared" si="71"/>
        <v>12.944297814878468</v>
      </c>
    </row>
    <row r="525" spans="1:24" x14ac:dyDescent="0.35">
      <c r="A525" s="3">
        <v>46110</v>
      </c>
      <c r="B525" t="s">
        <v>767</v>
      </c>
      <c r="C525" t="s">
        <v>769</v>
      </c>
      <c r="D525" t="s">
        <v>40</v>
      </c>
      <c r="E525" t="s">
        <v>35</v>
      </c>
      <c r="F525" t="s">
        <v>20</v>
      </c>
      <c r="G525" t="s">
        <v>59</v>
      </c>
      <c r="H525" t="s">
        <v>37</v>
      </c>
      <c r="I525">
        <v>3024</v>
      </c>
      <c r="J525">
        <v>2287</v>
      </c>
      <c r="K525">
        <v>2164</v>
      </c>
      <c r="L525">
        <v>161</v>
      </c>
      <c r="M525">
        <v>82</v>
      </c>
      <c r="N525">
        <v>6</v>
      </c>
      <c r="O525">
        <v>404.81</v>
      </c>
      <c r="P525">
        <v>6638.74</v>
      </c>
      <c r="Q525" s="5">
        <f t="shared" si="64"/>
        <v>0.94621775251421081</v>
      </c>
      <c r="R525" s="5">
        <f t="shared" si="65"/>
        <v>7.4399260628465802E-2</v>
      </c>
      <c r="S525" s="5">
        <f t="shared" si="66"/>
        <v>0.50931677018633537</v>
      </c>
      <c r="T525" s="5">
        <f t="shared" si="67"/>
        <v>7.3170731707317069E-2</v>
      </c>
      <c r="U525" s="5">
        <f t="shared" si="68"/>
        <v>2.7726432532347504E-3</v>
      </c>
      <c r="V525" s="6">
        <f t="shared" si="69"/>
        <v>4.9367073170731706</v>
      </c>
      <c r="W525" s="7">
        <f t="shared" si="70"/>
        <v>2.5143478260869565</v>
      </c>
      <c r="X525" s="5">
        <f t="shared" si="71"/>
        <v>15.399644277562311</v>
      </c>
    </row>
    <row r="526" spans="1:24" x14ac:dyDescent="0.35">
      <c r="A526" s="3">
        <v>46110</v>
      </c>
      <c r="B526" t="s">
        <v>691</v>
      </c>
      <c r="C526" t="s">
        <v>770</v>
      </c>
      <c r="D526" t="s">
        <v>40</v>
      </c>
      <c r="E526" t="s">
        <v>56</v>
      </c>
      <c r="F526" t="s">
        <v>20</v>
      </c>
      <c r="G526" t="s">
        <v>27</v>
      </c>
      <c r="H526" t="s">
        <v>48</v>
      </c>
      <c r="I526">
        <v>4208</v>
      </c>
      <c r="J526">
        <v>3663</v>
      </c>
      <c r="K526">
        <v>3442</v>
      </c>
      <c r="L526">
        <v>174</v>
      </c>
      <c r="M526">
        <v>85</v>
      </c>
      <c r="N526">
        <v>3</v>
      </c>
      <c r="O526">
        <v>654.22</v>
      </c>
      <c r="P526">
        <v>3847.36</v>
      </c>
      <c r="Q526" s="5">
        <f t="shared" si="64"/>
        <v>0.9396669396669397</v>
      </c>
      <c r="R526" s="5">
        <f t="shared" si="65"/>
        <v>5.05520046484602E-2</v>
      </c>
      <c r="S526" s="5">
        <f t="shared" si="66"/>
        <v>0.4885057471264368</v>
      </c>
      <c r="T526" s="5">
        <f t="shared" si="67"/>
        <v>3.5294117647058823E-2</v>
      </c>
      <c r="U526" s="5">
        <f t="shared" si="68"/>
        <v>8.7158628704241722E-4</v>
      </c>
      <c r="V526" s="6">
        <f t="shared" si="69"/>
        <v>7.6967058823529415</v>
      </c>
      <c r="W526" s="7">
        <f t="shared" si="70"/>
        <v>3.7598850574712643</v>
      </c>
      <c r="X526" s="5">
        <f t="shared" si="71"/>
        <v>4.8808351930543248</v>
      </c>
    </row>
    <row r="527" spans="1:24" x14ac:dyDescent="0.35">
      <c r="A527" s="3">
        <v>46110</v>
      </c>
      <c r="B527" t="s">
        <v>653</v>
      </c>
      <c r="C527" t="s">
        <v>771</v>
      </c>
      <c r="D527" t="s">
        <v>18</v>
      </c>
      <c r="E527" t="s">
        <v>56</v>
      </c>
      <c r="F527" t="s">
        <v>20</v>
      </c>
      <c r="G527" t="s">
        <v>41</v>
      </c>
      <c r="H527" t="s">
        <v>48</v>
      </c>
      <c r="I527">
        <v>1283</v>
      </c>
      <c r="J527">
        <v>989</v>
      </c>
      <c r="K527">
        <v>878</v>
      </c>
      <c r="L527">
        <v>52</v>
      </c>
      <c r="M527">
        <v>28</v>
      </c>
      <c r="N527">
        <v>2</v>
      </c>
      <c r="O527">
        <v>133.86000000000001</v>
      </c>
      <c r="P527">
        <v>2850.28</v>
      </c>
      <c r="Q527" s="5">
        <f t="shared" si="64"/>
        <v>0.88776541961577349</v>
      </c>
      <c r="R527" s="5">
        <f t="shared" si="65"/>
        <v>5.9225512528473807E-2</v>
      </c>
      <c r="S527" s="5">
        <f t="shared" si="66"/>
        <v>0.53846153846153844</v>
      </c>
      <c r="T527" s="5">
        <f t="shared" si="67"/>
        <v>7.1428571428571425E-2</v>
      </c>
      <c r="U527" s="5">
        <f t="shared" si="68"/>
        <v>2.2779043280182231E-3</v>
      </c>
      <c r="V527" s="6">
        <f t="shared" si="69"/>
        <v>4.7807142857142866</v>
      </c>
      <c r="W527" s="7">
        <f t="shared" si="70"/>
        <v>2.5742307692307693</v>
      </c>
      <c r="X527" s="5">
        <f t="shared" si="71"/>
        <v>20.292992678918271</v>
      </c>
    </row>
    <row r="528" spans="1:24" x14ac:dyDescent="0.35">
      <c r="A528" s="3">
        <v>46110</v>
      </c>
      <c r="B528" t="s">
        <v>582</v>
      </c>
      <c r="C528" t="s">
        <v>772</v>
      </c>
      <c r="D528" t="s">
        <v>31</v>
      </c>
      <c r="E528" t="s">
        <v>35</v>
      </c>
      <c r="F528" t="s">
        <v>20</v>
      </c>
      <c r="G528" t="s">
        <v>27</v>
      </c>
      <c r="H528" t="s">
        <v>51</v>
      </c>
      <c r="I528">
        <v>1647</v>
      </c>
      <c r="J528">
        <v>1573</v>
      </c>
      <c r="K528">
        <v>1482</v>
      </c>
      <c r="L528">
        <v>67</v>
      </c>
      <c r="M528">
        <v>29</v>
      </c>
      <c r="N528">
        <v>2</v>
      </c>
      <c r="O528">
        <v>257.89</v>
      </c>
      <c r="P528">
        <v>2837.37</v>
      </c>
      <c r="Q528" s="5">
        <f t="shared" si="64"/>
        <v>0.94214876033057848</v>
      </c>
      <c r="R528" s="5">
        <f t="shared" si="65"/>
        <v>4.520917678812416E-2</v>
      </c>
      <c r="S528" s="5">
        <f t="shared" si="66"/>
        <v>0.43283582089552236</v>
      </c>
      <c r="T528" s="5">
        <f t="shared" si="67"/>
        <v>6.8965517241379309E-2</v>
      </c>
      <c r="U528" s="5">
        <f t="shared" si="68"/>
        <v>1.3495276653171389E-3</v>
      </c>
      <c r="V528" s="6">
        <f t="shared" si="69"/>
        <v>8.8927586206896549</v>
      </c>
      <c r="W528" s="7">
        <f t="shared" si="70"/>
        <v>3.8491044776119403</v>
      </c>
      <c r="X528" s="5">
        <f t="shared" si="71"/>
        <v>10.002249020900384</v>
      </c>
    </row>
    <row r="529" spans="1:24" x14ac:dyDescent="0.35">
      <c r="A529" s="3">
        <v>46110</v>
      </c>
      <c r="B529" t="s">
        <v>573</v>
      </c>
      <c r="C529" t="s">
        <v>773</v>
      </c>
      <c r="D529" t="s">
        <v>34</v>
      </c>
      <c r="E529" t="s">
        <v>35</v>
      </c>
      <c r="F529" t="s">
        <v>20</v>
      </c>
      <c r="G529" t="s">
        <v>36</v>
      </c>
      <c r="H529" t="s">
        <v>51</v>
      </c>
      <c r="I529">
        <v>3814</v>
      </c>
      <c r="J529">
        <v>3683</v>
      </c>
      <c r="K529">
        <v>3517</v>
      </c>
      <c r="L529">
        <v>227</v>
      </c>
      <c r="M529">
        <v>96</v>
      </c>
      <c r="N529">
        <v>8</v>
      </c>
      <c r="O529">
        <v>322</v>
      </c>
      <c r="P529">
        <v>6968.25</v>
      </c>
      <c r="Q529" s="5">
        <f t="shared" si="64"/>
        <v>0.95492804778713003</v>
      </c>
      <c r="R529" s="5">
        <f t="shared" si="65"/>
        <v>6.4543645152118287E-2</v>
      </c>
      <c r="S529" s="5">
        <f t="shared" si="66"/>
        <v>0.42290748898678415</v>
      </c>
      <c r="T529" s="5">
        <f t="shared" si="67"/>
        <v>8.3333333333333329E-2</v>
      </c>
      <c r="U529" s="5">
        <f t="shared" si="68"/>
        <v>2.274665908444697E-3</v>
      </c>
      <c r="V529" s="6">
        <f t="shared" si="69"/>
        <v>3.3541666666666665</v>
      </c>
      <c r="W529" s="7">
        <f t="shared" si="70"/>
        <v>1.4185022026431717</v>
      </c>
      <c r="X529" s="5">
        <f t="shared" si="71"/>
        <v>20.64052795031056</v>
      </c>
    </row>
    <row r="530" spans="1:24" x14ac:dyDescent="0.35">
      <c r="A530" s="3">
        <v>46110</v>
      </c>
      <c r="B530" t="s">
        <v>656</v>
      </c>
      <c r="C530" t="s">
        <v>774</v>
      </c>
      <c r="D530" t="s">
        <v>40</v>
      </c>
      <c r="E530" t="s">
        <v>19</v>
      </c>
      <c r="F530" t="s">
        <v>26</v>
      </c>
      <c r="G530" t="s">
        <v>21</v>
      </c>
      <c r="H530" t="s">
        <v>51</v>
      </c>
      <c r="I530">
        <v>723</v>
      </c>
      <c r="J530">
        <v>697</v>
      </c>
      <c r="K530">
        <v>658</v>
      </c>
      <c r="L530">
        <v>13</v>
      </c>
      <c r="M530">
        <v>8</v>
      </c>
      <c r="N530">
        <v>0</v>
      </c>
      <c r="O530">
        <v>103.03</v>
      </c>
      <c r="P530">
        <v>0</v>
      </c>
      <c r="Q530" s="5">
        <f t="shared" si="64"/>
        <v>0.94404591104734581</v>
      </c>
      <c r="R530" s="5">
        <f t="shared" si="65"/>
        <v>1.9756838905775075E-2</v>
      </c>
      <c r="S530" s="5">
        <f t="shared" si="66"/>
        <v>0.61538461538461542</v>
      </c>
      <c r="T530" s="5">
        <f t="shared" si="67"/>
        <v>0</v>
      </c>
      <c r="U530" s="5">
        <f t="shared" si="68"/>
        <v>0</v>
      </c>
      <c r="V530" s="6">
        <f t="shared" si="69"/>
        <v>12.87875</v>
      </c>
      <c r="W530" s="7">
        <f t="shared" si="70"/>
        <v>7.9253846153846155</v>
      </c>
      <c r="X530" s="5">
        <f t="shared" si="71"/>
        <v>-1</v>
      </c>
    </row>
    <row r="531" spans="1:24" x14ac:dyDescent="0.35">
      <c r="A531" s="3">
        <v>46111</v>
      </c>
      <c r="B531" t="s">
        <v>561</v>
      </c>
      <c r="C531" t="s">
        <v>775</v>
      </c>
      <c r="D531" t="s">
        <v>40</v>
      </c>
      <c r="E531" t="s">
        <v>35</v>
      </c>
      <c r="F531" t="s">
        <v>20</v>
      </c>
      <c r="G531" t="s">
        <v>27</v>
      </c>
      <c r="H531" t="s">
        <v>28</v>
      </c>
      <c r="I531">
        <v>1616</v>
      </c>
      <c r="J531">
        <v>1206</v>
      </c>
      <c r="K531">
        <v>1117</v>
      </c>
      <c r="L531">
        <v>84</v>
      </c>
      <c r="M531">
        <v>40</v>
      </c>
      <c r="N531">
        <v>4</v>
      </c>
      <c r="O531">
        <v>215.87</v>
      </c>
      <c r="P531">
        <v>4893.34</v>
      </c>
      <c r="Q531" s="5">
        <f t="shared" si="64"/>
        <v>0.92620232172470973</v>
      </c>
      <c r="R531" s="5">
        <f t="shared" si="65"/>
        <v>7.5201432408236346E-2</v>
      </c>
      <c r="S531" s="5">
        <f t="shared" si="66"/>
        <v>0.47619047619047616</v>
      </c>
      <c r="T531" s="5">
        <f t="shared" si="67"/>
        <v>0.1</v>
      </c>
      <c r="U531" s="5">
        <f t="shared" si="68"/>
        <v>3.5810205908683975E-3</v>
      </c>
      <c r="V531" s="6">
        <f t="shared" si="69"/>
        <v>5.3967499999999999</v>
      </c>
      <c r="W531" s="7">
        <f t="shared" si="70"/>
        <v>2.5698809523809523</v>
      </c>
      <c r="X531" s="5">
        <f t="shared" si="71"/>
        <v>21.667994626395515</v>
      </c>
    </row>
    <row r="532" spans="1:24" x14ac:dyDescent="0.35">
      <c r="A532" s="3">
        <v>46111</v>
      </c>
      <c r="B532" t="s">
        <v>776</v>
      </c>
      <c r="C532" t="s">
        <v>777</v>
      </c>
      <c r="D532" t="s">
        <v>18</v>
      </c>
      <c r="E532" t="s">
        <v>25</v>
      </c>
      <c r="F532" t="s">
        <v>20</v>
      </c>
      <c r="G532" t="s">
        <v>41</v>
      </c>
      <c r="H532" t="s">
        <v>28</v>
      </c>
      <c r="I532">
        <v>2239</v>
      </c>
      <c r="J532">
        <v>2125</v>
      </c>
      <c r="K532">
        <v>1935</v>
      </c>
      <c r="L532">
        <v>76</v>
      </c>
      <c r="M532">
        <v>42</v>
      </c>
      <c r="N532">
        <v>1</v>
      </c>
      <c r="O532">
        <v>301.69</v>
      </c>
      <c r="P532">
        <v>1217.9100000000001</v>
      </c>
      <c r="Q532" s="5">
        <f t="shared" si="64"/>
        <v>0.9105882352941177</v>
      </c>
      <c r="R532" s="5">
        <f t="shared" si="65"/>
        <v>3.9276485788113692E-2</v>
      </c>
      <c r="S532" s="5">
        <f t="shared" si="66"/>
        <v>0.55263157894736847</v>
      </c>
      <c r="T532" s="5">
        <f t="shared" si="67"/>
        <v>2.3809523809523808E-2</v>
      </c>
      <c r="U532" s="5">
        <f t="shared" si="68"/>
        <v>5.1679586563307489E-4</v>
      </c>
      <c r="V532" s="6">
        <f t="shared" si="69"/>
        <v>7.1830952380952384</v>
      </c>
      <c r="W532" s="7">
        <f t="shared" si="70"/>
        <v>3.9696052631578946</v>
      </c>
      <c r="X532" s="5">
        <f t="shared" si="71"/>
        <v>3.036958467300872</v>
      </c>
    </row>
    <row r="533" spans="1:24" x14ac:dyDescent="0.35">
      <c r="A533" s="3">
        <v>46111</v>
      </c>
      <c r="B533" t="s">
        <v>549</v>
      </c>
      <c r="C533" t="s">
        <v>778</v>
      </c>
      <c r="D533" t="s">
        <v>40</v>
      </c>
      <c r="E533" t="s">
        <v>19</v>
      </c>
      <c r="F533" t="s">
        <v>20</v>
      </c>
      <c r="G533" t="s">
        <v>27</v>
      </c>
      <c r="H533" t="s">
        <v>48</v>
      </c>
      <c r="I533">
        <v>1294</v>
      </c>
      <c r="J533">
        <v>1023</v>
      </c>
      <c r="K533">
        <v>954</v>
      </c>
      <c r="L533">
        <v>25</v>
      </c>
      <c r="M533">
        <v>10</v>
      </c>
      <c r="N533">
        <v>0</v>
      </c>
      <c r="O533">
        <v>176.63</v>
      </c>
      <c r="P533">
        <v>0</v>
      </c>
      <c r="Q533" s="5">
        <f t="shared" si="64"/>
        <v>0.93255131964809379</v>
      </c>
      <c r="R533" s="5">
        <f t="shared" si="65"/>
        <v>2.6205450733752619E-2</v>
      </c>
      <c r="S533" s="5">
        <f t="shared" si="66"/>
        <v>0.4</v>
      </c>
      <c r="T533" s="5">
        <f t="shared" si="67"/>
        <v>0</v>
      </c>
      <c r="U533" s="5">
        <f t="shared" si="68"/>
        <v>0</v>
      </c>
      <c r="V533" s="6">
        <f t="shared" si="69"/>
        <v>17.663</v>
      </c>
      <c r="W533" s="7">
        <f t="shared" si="70"/>
        <v>7.0651999999999999</v>
      </c>
      <c r="X533" s="5">
        <f t="shared" si="71"/>
        <v>-1</v>
      </c>
    </row>
    <row r="534" spans="1:24" x14ac:dyDescent="0.35">
      <c r="A534" s="3">
        <v>46111</v>
      </c>
      <c r="B534" t="s">
        <v>714</v>
      </c>
      <c r="C534" t="s">
        <v>779</v>
      </c>
      <c r="D534" t="s">
        <v>18</v>
      </c>
      <c r="E534" t="s">
        <v>35</v>
      </c>
      <c r="F534" t="s">
        <v>20</v>
      </c>
      <c r="G534" t="s">
        <v>27</v>
      </c>
      <c r="H534" t="s">
        <v>37</v>
      </c>
      <c r="I534">
        <v>2899</v>
      </c>
      <c r="J534">
        <v>2599</v>
      </c>
      <c r="K534">
        <v>2424</v>
      </c>
      <c r="L534">
        <v>174</v>
      </c>
      <c r="M534">
        <v>83</v>
      </c>
      <c r="N534">
        <v>8</v>
      </c>
      <c r="O534">
        <v>341.3</v>
      </c>
      <c r="P534">
        <v>8660.76</v>
      </c>
      <c r="Q534" s="5">
        <f t="shared" si="64"/>
        <v>0.93266641015775298</v>
      </c>
      <c r="R534" s="5">
        <f t="shared" si="65"/>
        <v>7.1782178217821777E-2</v>
      </c>
      <c r="S534" s="5">
        <f t="shared" si="66"/>
        <v>0.47701149425287354</v>
      </c>
      <c r="T534" s="5">
        <f t="shared" si="67"/>
        <v>9.6385542168674704E-2</v>
      </c>
      <c r="U534" s="5">
        <f t="shared" si="68"/>
        <v>3.3003300330033004E-3</v>
      </c>
      <c r="V534" s="6">
        <f t="shared" si="69"/>
        <v>4.1120481927710841</v>
      </c>
      <c r="W534" s="7">
        <f t="shared" si="70"/>
        <v>1.9614942528735633</v>
      </c>
      <c r="X534" s="5">
        <f t="shared" si="71"/>
        <v>24.375798417814242</v>
      </c>
    </row>
    <row r="535" spans="1:24" x14ac:dyDescent="0.35">
      <c r="A535" s="3">
        <v>46112</v>
      </c>
      <c r="B535" t="s">
        <v>586</v>
      </c>
      <c r="C535" t="s">
        <v>780</v>
      </c>
      <c r="D535" t="s">
        <v>18</v>
      </c>
      <c r="E535" t="s">
        <v>56</v>
      </c>
      <c r="F535" t="s">
        <v>20</v>
      </c>
      <c r="G535" t="s">
        <v>59</v>
      </c>
      <c r="H535" t="s">
        <v>48</v>
      </c>
      <c r="I535">
        <v>2949</v>
      </c>
      <c r="J535">
        <v>2711</v>
      </c>
      <c r="K535">
        <v>2460</v>
      </c>
      <c r="L535">
        <v>145</v>
      </c>
      <c r="M535">
        <v>63</v>
      </c>
      <c r="N535">
        <v>4</v>
      </c>
      <c r="O535">
        <v>277.87</v>
      </c>
      <c r="P535">
        <v>3000.96</v>
      </c>
      <c r="Q535" s="5">
        <f t="shared" si="64"/>
        <v>0.90741423828845447</v>
      </c>
      <c r="R535" s="5">
        <f t="shared" si="65"/>
        <v>5.894308943089431E-2</v>
      </c>
      <c r="S535" s="5">
        <f t="shared" si="66"/>
        <v>0.43448275862068964</v>
      </c>
      <c r="T535" s="5">
        <f t="shared" si="67"/>
        <v>6.3492063492063489E-2</v>
      </c>
      <c r="U535" s="5">
        <f t="shared" si="68"/>
        <v>1.6260162601626016E-3</v>
      </c>
      <c r="V535" s="6">
        <f t="shared" si="69"/>
        <v>4.4106349206349211</v>
      </c>
      <c r="W535" s="7">
        <f t="shared" si="70"/>
        <v>1.9163448275862069</v>
      </c>
      <c r="X535" s="5">
        <f t="shared" si="71"/>
        <v>9.7998704430129209</v>
      </c>
    </row>
    <row r="536" spans="1:24" x14ac:dyDescent="0.35">
      <c r="A536" s="3">
        <v>46112</v>
      </c>
      <c r="B536" t="s">
        <v>601</v>
      </c>
      <c r="C536" t="s">
        <v>781</v>
      </c>
      <c r="D536" t="s">
        <v>34</v>
      </c>
      <c r="E536" t="s">
        <v>56</v>
      </c>
      <c r="F536" t="s">
        <v>20</v>
      </c>
      <c r="G536" t="s">
        <v>59</v>
      </c>
      <c r="H536" t="s">
        <v>51</v>
      </c>
      <c r="I536">
        <v>4030</v>
      </c>
      <c r="J536">
        <v>3652</v>
      </c>
      <c r="K536">
        <v>3498</v>
      </c>
      <c r="L536">
        <v>159</v>
      </c>
      <c r="M536">
        <v>64</v>
      </c>
      <c r="N536">
        <v>3</v>
      </c>
      <c r="O536">
        <v>329.84</v>
      </c>
      <c r="P536">
        <v>4237.3599999999997</v>
      </c>
      <c r="Q536" s="5">
        <f t="shared" si="64"/>
        <v>0.95783132530120485</v>
      </c>
      <c r="R536" s="5">
        <f t="shared" si="65"/>
        <v>4.5454545454545456E-2</v>
      </c>
      <c r="S536" s="5">
        <f t="shared" si="66"/>
        <v>0.40251572327044027</v>
      </c>
      <c r="T536" s="5">
        <f t="shared" si="67"/>
        <v>4.6875E-2</v>
      </c>
      <c r="U536" s="5">
        <f t="shared" si="68"/>
        <v>8.576329331046312E-4</v>
      </c>
      <c r="V536" s="6">
        <f t="shared" si="69"/>
        <v>5.1537499999999996</v>
      </c>
      <c r="W536" s="7">
        <f t="shared" si="70"/>
        <v>2.0744654088050312</v>
      </c>
      <c r="X536" s="5">
        <f t="shared" si="71"/>
        <v>11.846713558088769</v>
      </c>
    </row>
    <row r="537" spans="1:24" x14ac:dyDescent="0.35">
      <c r="A537" s="3">
        <v>46112</v>
      </c>
      <c r="B537" t="s">
        <v>736</v>
      </c>
      <c r="C537" t="s">
        <v>782</v>
      </c>
      <c r="D537" t="s">
        <v>18</v>
      </c>
      <c r="E537" t="s">
        <v>35</v>
      </c>
      <c r="F537" t="s">
        <v>26</v>
      </c>
      <c r="G537" t="s">
        <v>36</v>
      </c>
      <c r="H537" t="s">
        <v>48</v>
      </c>
      <c r="I537">
        <v>1975</v>
      </c>
      <c r="J537">
        <v>1716</v>
      </c>
      <c r="K537">
        <v>1522</v>
      </c>
      <c r="L537">
        <v>163</v>
      </c>
      <c r="M537">
        <v>98</v>
      </c>
      <c r="N537">
        <v>10</v>
      </c>
      <c r="O537">
        <v>214.88</v>
      </c>
      <c r="P537">
        <v>10313</v>
      </c>
      <c r="Q537" s="5">
        <f t="shared" si="64"/>
        <v>0.88694638694638694</v>
      </c>
      <c r="R537" s="5">
        <f t="shared" si="65"/>
        <v>0.10709592641261498</v>
      </c>
      <c r="S537" s="5">
        <f t="shared" si="66"/>
        <v>0.60122699386503065</v>
      </c>
      <c r="T537" s="5">
        <f t="shared" si="67"/>
        <v>0.10204081632653061</v>
      </c>
      <c r="U537" s="5">
        <f t="shared" si="68"/>
        <v>6.5703022339027592E-3</v>
      </c>
      <c r="V537" s="6">
        <f t="shared" si="69"/>
        <v>2.1926530612244899</v>
      </c>
      <c r="W537" s="7">
        <f t="shared" si="70"/>
        <v>1.3182822085889569</v>
      </c>
      <c r="X537" s="5">
        <f t="shared" si="71"/>
        <v>46.994229337304546</v>
      </c>
    </row>
    <row r="538" spans="1:24" x14ac:dyDescent="0.35">
      <c r="A538" s="3">
        <v>46112</v>
      </c>
      <c r="B538" t="s">
        <v>594</v>
      </c>
      <c r="C538" t="s">
        <v>783</v>
      </c>
      <c r="D538" t="s">
        <v>18</v>
      </c>
      <c r="E538" t="s">
        <v>35</v>
      </c>
      <c r="F538" t="s">
        <v>20</v>
      </c>
      <c r="G538" t="s">
        <v>36</v>
      </c>
      <c r="H538" t="s">
        <v>51</v>
      </c>
      <c r="I538">
        <v>3032</v>
      </c>
      <c r="J538">
        <v>2260</v>
      </c>
      <c r="K538">
        <v>2036</v>
      </c>
      <c r="L538">
        <v>153</v>
      </c>
      <c r="M538">
        <v>86</v>
      </c>
      <c r="N538">
        <v>7</v>
      </c>
      <c r="O538">
        <v>318.39</v>
      </c>
      <c r="P538">
        <v>7844.22</v>
      </c>
      <c r="Q538" s="5">
        <f t="shared" si="64"/>
        <v>0.90088495575221239</v>
      </c>
      <c r="R538" s="5">
        <f t="shared" si="65"/>
        <v>7.5147347740667975E-2</v>
      </c>
      <c r="S538" s="5">
        <f t="shared" si="66"/>
        <v>0.56209150326797386</v>
      </c>
      <c r="T538" s="5">
        <f t="shared" si="67"/>
        <v>8.1395348837209308E-2</v>
      </c>
      <c r="U538" s="5">
        <f t="shared" si="68"/>
        <v>3.43811394891945E-3</v>
      </c>
      <c r="V538" s="6">
        <f t="shared" si="69"/>
        <v>3.7022093023255813</v>
      </c>
      <c r="W538" s="7">
        <f t="shared" si="70"/>
        <v>2.0809803921568628</v>
      </c>
      <c r="X538" s="5">
        <f t="shared" si="71"/>
        <v>23.63714312635447</v>
      </c>
    </row>
    <row r="539" spans="1:24" x14ac:dyDescent="0.35">
      <c r="A539" s="3">
        <v>46113</v>
      </c>
      <c r="B539" t="s">
        <v>784</v>
      </c>
      <c r="C539" t="s">
        <v>785</v>
      </c>
      <c r="D539" t="s">
        <v>40</v>
      </c>
      <c r="E539" t="s">
        <v>25</v>
      </c>
      <c r="F539" t="s">
        <v>20</v>
      </c>
      <c r="G539" t="s">
        <v>21</v>
      </c>
      <c r="H539" t="s">
        <v>28</v>
      </c>
      <c r="I539">
        <v>922</v>
      </c>
      <c r="J539">
        <v>675</v>
      </c>
      <c r="K539">
        <v>630</v>
      </c>
      <c r="L539">
        <v>19</v>
      </c>
      <c r="M539">
        <v>9</v>
      </c>
      <c r="N539">
        <v>0</v>
      </c>
      <c r="O539">
        <v>105.56</v>
      </c>
      <c r="P539">
        <v>0</v>
      </c>
      <c r="Q539" s="5">
        <f t="shared" si="64"/>
        <v>0.93333333333333335</v>
      </c>
      <c r="R539" s="5">
        <f t="shared" si="65"/>
        <v>3.0158730158730159E-2</v>
      </c>
      <c r="S539" s="5">
        <f t="shared" si="66"/>
        <v>0.47368421052631576</v>
      </c>
      <c r="T539" s="5">
        <f t="shared" si="67"/>
        <v>0</v>
      </c>
      <c r="U539" s="5">
        <f t="shared" si="68"/>
        <v>0</v>
      </c>
      <c r="V539" s="6">
        <f t="shared" si="69"/>
        <v>11.728888888888889</v>
      </c>
      <c r="W539" s="7">
        <f t="shared" si="70"/>
        <v>5.5557894736842108</v>
      </c>
      <c r="X539" s="5">
        <f t="shared" si="71"/>
        <v>-1</v>
      </c>
    </row>
    <row r="540" spans="1:24" x14ac:dyDescent="0.35">
      <c r="A540" s="3">
        <v>46113</v>
      </c>
      <c r="B540" t="s">
        <v>786</v>
      </c>
      <c r="C540" t="s">
        <v>787</v>
      </c>
      <c r="D540" t="s">
        <v>31</v>
      </c>
      <c r="E540" t="s">
        <v>35</v>
      </c>
      <c r="F540" t="s">
        <v>20</v>
      </c>
      <c r="G540" t="s">
        <v>27</v>
      </c>
      <c r="H540" t="s">
        <v>28</v>
      </c>
      <c r="I540">
        <v>2017</v>
      </c>
      <c r="J540">
        <v>1462</v>
      </c>
      <c r="K540">
        <v>1417</v>
      </c>
      <c r="L540">
        <v>60</v>
      </c>
      <c r="M540">
        <v>18</v>
      </c>
      <c r="N540">
        <v>1</v>
      </c>
      <c r="O540">
        <v>236.49</v>
      </c>
      <c r="P540">
        <v>924.21</v>
      </c>
      <c r="Q540" s="5">
        <f t="shared" si="64"/>
        <v>0.96922024623803005</v>
      </c>
      <c r="R540" s="5">
        <f t="shared" si="65"/>
        <v>4.2342978122794639E-2</v>
      </c>
      <c r="S540" s="5">
        <f t="shared" si="66"/>
        <v>0.3</v>
      </c>
      <c r="T540" s="5">
        <f t="shared" si="67"/>
        <v>5.5555555555555552E-2</v>
      </c>
      <c r="U540" s="5">
        <f t="shared" si="68"/>
        <v>7.0571630204657732E-4</v>
      </c>
      <c r="V540" s="6">
        <f t="shared" si="69"/>
        <v>13.138333333333334</v>
      </c>
      <c r="W540" s="7">
        <f t="shared" si="70"/>
        <v>3.9415</v>
      </c>
      <c r="X540" s="5">
        <f t="shared" si="71"/>
        <v>2.9080299378409236</v>
      </c>
    </row>
    <row r="541" spans="1:24" x14ac:dyDescent="0.35">
      <c r="A541" s="3">
        <v>46113</v>
      </c>
      <c r="B541" t="s">
        <v>788</v>
      </c>
      <c r="C541" t="s">
        <v>789</v>
      </c>
      <c r="D541" t="s">
        <v>18</v>
      </c>
      <c r="E541" t="s">
        <v>56</v>
      </c>
      <c r="F541" t="s">
        <v>26</v>
      </c>
      <c r="G541" t="s">
        <v>21</v>
      </c>
      <c r="H541" t="s">
        <v>37</v>
      </c>
      <c r="I541">
        <v>1926</v>
      </c>
      <c r="J541">
        <v>1574</v>
      </c>
      <c r="K541">
        <v>1413</v>
      </c>
      <c r="L541">
        <v>125</v>
      </c>
      <c r="M541">
        <v>88</v>
      </c>
      <c r="N541">
        <v>7</v>
      </c>
      <c r="O541">
        <v>198.97</v>
      </c>
      <c r="P541">
        <v>10712.2</v>
      </c>
      <c r="Q541" s="5">
        <f t="shared" si="64"/>
        <v>0.897712833545108</v>
      </c>
      <c r="R541" s="5">
        <f t="shared" si="65"/>
        <v>8.8464260438782735E-2</v>
      </c>
      <c r="S541" s="5">
        <f t="shared" si="66"/>
        <v>0.70399999999999996</v>
      </c>
      <c r="T541" s="5">
        <f t="shared" si="67"/>
        <v>7.9545454545454544E-2</v>
      </c>
      <c r="U541" s="5">
        <f t="shared" si="68"/>
        <v>4.953998584571833E-3</v>
      </c>
      <c r="V541" s="6">
        <f t="shared" si="69"/>
        <v>2.2610227272727275</v>
      </c>
      <c r="W541" s="7">
        <f t="shared" si="70"/>
        <v>1.5917600000000001</v>
      </c>
      <c r="X541" s="5">
        <f t="shared" si="71"/>
        <v>52.838267075438516</v>
      </c>
    </row>
    <row r="542" spans="1:24" x14ac:dyDescent="0.35">
      <c r="A542" s="3">
        <v>46113</v>
      </c>
      <c r="B542" t="s">
        <v>790</v>
      </c>
      <c r="C542" t="s">
        <v>791</v>
      </c>
      <c r="D542" t="s">
        <v>18</v>
      </c>
      <c r="E542" t="s">
        <v>19</v>
      </c>
      <c r="F542" t="s">
        <v>20</v>
      </c>
      <c r="G542" t="s">
        <v>41</v>
      </c>
      <c r="H542" t="s">
        <v>22</v>
      </c>
      <c r="I542">
        <v>4872</v>
      </c>
      <c r="J542">
        <v>4437</v>
      </c>
      <c r="K542">
        <v>3971</v>
      </c>
      <c r="L542">
        <v>63</v>
      </c>
      <c r="M542">
        <v>29</v>
      </c>
      <c r="N542">
        <v>0</v>
      </c>
      <c r="O542">
        <v>560.08000000000004</v>
      </c>
      <c r="P542">
        <v>0</v>
      </c>
      <c r="Q542" s="5">
        <f t="shared" si="64"/>
        <v>0.8949740815866577</v>
      </c>
      <c r="R542" s="5">
        <f t="shared" si="65"/>
        <v>1.5865021405187609E-2</v>
      </c>
      <c r="S542" s="5">
        <f t="shared" si="66"/>
        <v>0.46031746031746029</v>
      </c>
      <c r="T542" s="5">
        <f t="shared" si="67"/>
        <v>0</v>
      </c>
      <c r="U542" s="5">
        <f t="shared" si="68"/>
        <v>0</v>
      </c>
      <c r="V542" s="6">
        <f t="shared" si="69"/>
        <v>19.313103448275864</v>
      </c>
      <c r="W542" s="7">
        <f t="shared" si="70"/>
        <v>8.8901587301587313</v>
      </c>
      <c r="X542" s="5">
        <f t="shared" si="71"/>
        <v>-1</v>
      </c>
    </row>
    <row r="543" spans="1:24" x14ac:dyDescent="0.35">
      <c r="A543" s="3">
        <v>46113</v>
      </c>
      <c r="B543" t="s">
        <v>792</v>
      </c>
      <c r="C543" t="s">
        <v>793</v>
      </c>
      <c r="D543" t="s">
        <v>34</v>
      </c>
      <c r="E543" t="s">
        <v>25</v>
      </c>
      <c r="F543" t="s">
        <v>26</v>
      </c>
      <c r="G543" t="s">
        <v>41</v>
      </c>
      <c r="H543" t="s">
        <v>28</v>
      </c>
      <c r="I543">
        <v>3408</v>
      </c>
      <c r="J543">
        <v>2683</v>
      </c>
      <c r="K543">
        <v>2523</v>
      </c>
      <c r="L543">
        <v>101</v>
      </c>
      <c r="M543">
        <v>56</v>
      </c>
      <c r="N543">
        <v>3</v>
      </c>
      <c r="O543">
        <v>253.85</v>
      </c>
      <c r="P543">
        <v>3613.56</v>
      </c>
      <c r="Q543" s="5">
        <f t="shared" si="64"/>
        <v>0.94036526276556098</v>
      </c>
      <c r="R543" s="5">
        <f t="shared" si="65"/>
        <v>4.0031708283789137E-2</v>
      </c>
      <c r="S543" s="5">
        <f t="shared" si="66"/>
        <v>0.5544554455445545</v>
      </c>
      <c r="T543" s="5">
        <f t="shared" si="67"/>
        <v>5.3571428571428568E-2</v>
      </c>
      <c r="U543" s="5">
        <f t="shared" si="68"/>
        <v>1.1890606420927466E-3</v>
      </c>
      <c r="V543" s="6">
        <f t="shared" si="69"/>
        <v>4.5330357142857141</v>
      </c>
      <c r="W543" s="7">
        <f t="shared" si="70"/>
        <v>2.5133663366336632</v>
      </c>
      <c r="X543" s="5">
        <f t="shared" si="71"/>
        <v>13.235020681504826</v>
      </c>
    </row>
    <row r="544" spans="1:24" x14ac:dyDescent="0.35">
      <c r="A544" s="3">
        <v>46113</v>
      </c>
      <c r="B544" t="s">
        <v>794</v>
      </c>
      <c r="C544" t="s">
        <v>795</v>
      </c>
      <c r="D544" t="s">
        <v>18</v>
      </c>
      <c r="E544" t="s">
        <v>56</v>
      </c>
      <c r="F544" t="s">
        <v>20</v>
      </c>
      <c r="G544" t="s">
        <v>27</v>
      </c>
      <c r="H544" t="s">
        <v>37</v>
      </c>
      <c r="I544">
        <v>2735</v>
      </c>
      <c r="J544">
        <v>2461</v>
      </c>
      <c r="K544">
        <v>2237</v>
      </c>
      <c r="L544">
        <v>120</v>
      </c>
      <c r="M544">
        <v>58</v>
      </c>
      <c r="N544">
        <v>3</v>
      </c>
      <c r="O544">
        <v>260.8</v>
      </c>
      <c r="P544">
        <v>3770.12</v>
      </c>
      <c r="Q544" s="5">
        <f t="shared" si="64"/>
        <v>0.9089800893945551</v>
      </c>
      <c r="R544" s="5">
        <f t="shared" si="65"/>
        <v>5.3643272239606618E-2</v>
      </c>
      <c r="S544" s="5">
        <f t="shared" si="66"/>
        <v>0.48333333333333334</v>
      </c>
      <c r="T544" s="5">
        <f t="shared" si="67"/>
        <v>5.1724137931034482E-2</v>
      </c>
      <c r="U544" s="5">
        <f t="shared" si="68"/>
        <v>1.3410818059901655E-3</v>
      </c>
      <c r="V544" s="6">
        <f t="shared" si="69"/>
        <v>4.4965517241379311</v>
      </c>
      <c r="W544" s="7">
        <f t="shared" si="70"/>
        <v>2.1733333333333333</v>
      </c>
      <c r="X544" s="5">
        <f t="shared" si="71"/>
        <v>13.455981595092023</v>
      </c>
    </row>
    <row r="545" spans="1:24" x14ac:dyDescent="0.35">
      <c r="A545" s="3">
        <v>46113</v>
      </c>
      <c r="B545" t="s">
        <v>796</v>
      </c>
      <c r="C545" t="s">
        <v>797</v>
      </c>
      <c r="D545" t="s">
        <v>34</v>
      </c>
      <c r="E545" t="s">
        <v>56</v>
      </c>
      <c r="F545" t="s">
        <v>26</v>
      </c>
      <c r="G545" t="s">
        <v>21</v>
      </c>
      <c r="H545" t="s">
        <v>48</v>
      </c>
      <c r="I545">
        <v>2315</v>
      </c>
      <c r="J545">
        <v>2252</v>
      </c>
      <c r="K545">
        <v>2110</v>
      </c>
      <c r="L545">
        <v>140</v>
      </c>
      <c r="M545">
        <v>87</v>
      </c>
      <c r="N545">
        <v>6</v>
      </c>
      <c r="O545">
        <v>207.18</v>
      </c>
      <c r="P545">
        <v>6363.92</v>
      </c>
      <c r="Q545" s="5">
        <f t="shared" si="64"/>
        <v>0.93694493783303734</v>
      </c>
      <c r="R545" s="5">
        <f t="shared" si="65"/>
        <v>6.6350710900473939E-2</v>
      </c>
      <c r="S545" s="5">
        <f t="shared" si="66"/>
        <v>0.62142857142857144</v>
      </c>
      <c r="T545" s="5">
        <f t="shared" si="67"/>
        <v>6.8965517241379309E-2</v>
      </c>
      <c r="U545" s="5">
        <f t="shared" si="68"/>
        <v>2.843601895734597E-3</v>
      </c>
      <c r="V545" s="6">
        <f t="shared" si="69"/>
        <v>2.3813793103448275</v>
      </c>
      <c r="W545" s="7">
        <f t="shared" si="70"/>
        <v>1.479857142857143</v>
      </c>
      <c r="X545" s="5">
        <f t="shared" si="71"/>
        <v>29.716864562216429</v>
      </c>
    </row>
    <row r="546" spans="1:24" x14ac:dyDescent="0.35">
      <c r="A546" s="3">
        <v>46114</v>
      </c>
      <c r="B546" t="s">
        <v>798</v>
      </c>
      <c r="C546" t="s">
        <v>799</v>
      </c>
      <c r="D546" t="s">
        <v>40</v>
      </c>
      <c r="E546" t="s">
        <v>19</v>
      </c>
      <c r="F546" t="s">
        <v>20</v>
      </c>
      <c r="G546" t="s">
        <v>41</v>
      </c>
      <c r="H546" t="s">
        <v>48</v>
      </c>
      <c r="I546">
        <v>1637</v>
      </c>
      <c r="J546">
        <v>1299</v>
      </c>
      <c r="K546">
        <v>1223</v>
      </c>
      <c r="L546">
        <v>25</v>
      </c>
      <c r="M546">
        <v>11</v>
      </c>
      <c r="N546">
        <v>0</v>
      </c>
      <c r="O546">
        <v>229.77</v>
      </c>
      <c r="P546">
        <v>0</v>
      </c>
      <c r="Q546" s="5">
        <f t="shared" si="64"/>
        <v>0.94149345650500382</v>
      </c>
      <c r="R546" s="5">
        <f t="shared" si="65"/>
        <v>2.0441537203597711E-2</v>
      </c>
      <c r="S546" s="5">
        <f t="shared" si="66"/>
        <v>0.44</v>
      </c>
      <c r="T546" s="5">
        <f t="shared" si="67"/>
        <v>0</v>
      </c>
      <c r="U546" s="5">
        <f t="shared" si="68"/>
        <v>0</v>
      </c>
      <c r="V546" s="6">
        <f t="shared" si="69"/>
        <v>20.88818181818182</v>
      </c>
      <c r="W546" s="7">
        <f t="shared" si="70"/>
        <v>9.1908000000000012</v>
      </c>
      <c r="X546" s="5">
        <f t="shared" si="71"/>
        <v>-1</v>
      </c>
    </row>
    <row r="547" spans="1:24" x14ac:dyDescent="0.35">
      <c r="A547" s="3">
        <v>46114</v>
      </c>
      <c r="B547" t="s">
        <v>800</v>
      </c>
      <c r="C547" t="s">
        <v>801</v>
      </c>
      <c r="D547" t="s">
        <v>31</v>
      </c>
      <c r="E547" t="s">
        <v>19</v>
      </c>
      <c r="F547" t="s">
        <v>20</v>
      </c>
      <c r="G547" t="s">
        <v>41</v>
      </c>
      <c r="H547" t="s">
        <v>51</v>
      </c>
      <c r="I547">
        <v>4672</v>
      </c>
      <c r="J547">
        <v>3772</v>
      </c>
      <c r="K547">
        <v>3670</v>
      </c>
      <c r="L547">
        <v>62</v>
      </c>
      <c r="M547">
        <v>25</v>
      </c>
      <c r="N547">
        <v>1</v>
      </c>
      <c r="O547">
        <v>657.73</v>
      </c>
      <c r="P547">
        <v>955.4</v>
      </c>
      <c r="Q547" s="5">
        <f t="shared" si="64"/>
        <v>0.97295864262990461</v>
      </c>
      <c r="R547" s="5">
        <f t="shared" si="65"/>
        <v>1.6893732970027248E-2</v>
      </c>
      <c r="S547" s="5">
        <f t="shared" si="66"/>
        <v>0.40322580645161288</v>
      </c>
      <c r="T547" s="5">
        <f t="shared" si="67"/>
        <v>0.04</v>
      </c>
      <c r="U547" s="5">
        <f t="shared" si="68"/>
        <v>2.7247956403269756E-4</v>
      </c>
      <c r="V547" s="6">
        <f t="shared" si="69"/>
        <v>26.309200000000001</v>
      </c>
      <c r="W547" s="7">
        <f t="shared" si="70"/>
        <v>10.608548387096775</v>
      </c>
      <c r="X547" s="5">
        <f t="shared" si="71"/>
        <v>0.45257172395967943</v>
      </c>
    </row>
    <row r="548" spans="1:24" x14ac:dyDescent="0.35">
      <c r="A548" s="3">
        <v>46114</v>
      </c>
      <c r="B548" t="s">
        <v>792</v>
      </c>
      <c r="C548" t="s">
        <v>802</v>
      </c>
      <c r="D548" t="s">
        <v>31</v>
      </c>
      <c r="E548" t="s">
        <v>56</v>
      </c>
      <c r="F548" t="s">
        <v>20</v>
      </c>
      <c r="G548" t="s">
        <v>27</v>
      </c>
      <c r="H548" t="s">
        <v>37</v>
      </c>
      <c r="I548">
        <v>2401</v>
      </c>
      <c r="J548">
        <v>1967</v>
      </c>
      <c r="K548">
        <v>1779</v>
      </c>
      <c r="L548">
        <v>88</v>
      </c>
      <c r="M548">
        <v>34</v>
      </c>
      <c r="N548">
        <v>2</v>
      </c>
      <c r="O548">
        <v>348.51</v>
      </c>
      <c r="P548">
        <v>2855.33</v>
      </c>
      <c r="Q548" s="5">
        <f t="shared" si="64"/>
        <v>0.90442297915607528</v>
      </c>
      <c r="R548" s="5">
        <f t="shared" si="65"/>
        <v>4.9465992130410343E-2</v>
      </c>
      <c r="S548" s="5">
        <f t="shared" si="66"/>
        <v>0.38636363636363635</v>
      </c>
      <c r="T548" s="5">
        <f t="shared" si="67"/>
        <v>5.8823529411764705E-2</v>
      </c>
      <c r="U548" s="5">
        <f t="shared" si="68"/>
        <v>1.1242270938729624E-3</v>
      </c>
      <c r="V548" s="6">
        <f t="shared" si="69"/>
        <v>10.250294117647059</v>
      </c>
      <c r="W548" s="7">
        <f t="shared" si="70"/>
        <v>3.9603409090909092</v>
      </c>
      <c r="X548" s="5">
        <f t="shared" si="71"/>
        <v>7.1929643338785105</v>
      </c>
    </row>
    <row r="549" spans="1:24" x14ac:dyDescent="0.35">
      <c r="A549" s="3">
        <v>46114</v>
      </c>
      <c r="B549" t="s">
        <v>803</v>
      </c>
      <c r="C549" t="s">
        <v>804</v>
      </c>
      <c r="D549" t="s">
        <v>31</v>
      </c>
      <c r="E549" t="s">
        <v>56</v>
      </c>
      <c r="F549" t="s">
        <v>20</v>
      </c>
      <c r="G549" t="s">
        <v>21</v>
      </c>
      <c r="H549" t="s">
        <v>22</v>
      </c>
      <c r="I549">
        <v>2913</v>
      </c>
      <c r="J549">
        <v>2118</v>
      </c>
      <c r="K549">
        <v>2047</v>
      </c>
      <c r="L549">
        <v>44</v>
      </c>
      <c r="M549">
        <v>18</v>
      </c>
      <c r="N549">
        <v>1</v>
      </c>
      <c r="O549">
        <v>405.16</v>
      </c>
      <c r="P549">
        <v>972.69</v>
      </c>
      <c r="Q549" s="5">
        <f t="shared" si="64"/>
        <v>0.96647780925401316</v>
      </c>
      <c r="R549" s="5">
        <f t="shared" si="65"/>
        <v>2.1494870542256961E-2</v>
      </c>
      <c r="S549" s="5">
        <f t="shared" si="66"/>
        <v>0.40909090909090912</v>
      </c>
      <c r="T549" s="5">
        <f t="shared" si="67"/>
        <v>5.5555555555555552E-2</v>
      </c>
      <c r="U549" s="5">
        <f t="shared" si="68"/>
        <v>4.8851978505129456E-4</v>
      </c>
      <c r="V549" s="6">
        <f t="shared" si="69"/>
        <v>22.50888888888889</v>
      </c>
      <c r="W549" s="7">
        <f t="shared" si="70"/>
        <v>9.2081818181818189</v>
      </c>
      <c r="X549" s="5">
        <f t="shared" si="71"/>
        <v>1.4007552571823476</v>
      </c>
    </row>
    <row r="550" spans="1:24" x14ac:dyDescent="0.35">
      <c r="A550" s="3">
        <v>46114</v>
      </c>
      <c r="B550" t="s">
        <v>805</v>
      </c>
      <c r="C550" t="s">
        <v>806</v>
      </c>
      <c r="D550" t="s">
        <v>31</v>
      </c>
      <c r="E550" t="s">
        <v>56</v>
      </c>
      <c r="F550" t="s">
        <v>26</v>
      </c>
      <c r="G550" t="s">
        <v>36</v>
      </c>
      <c r="H550" t="s">
        <v>28</v>
      </c>
      <c r="I550">
        <v>3010</v>
      </c>
      <c r="J550">
        <v>2960</v>
      </c>
      <c r="K550">
        <v>2879</v>
      </c>
      <c r="L550">
        <v>151</v>
      </c>
      <c r="M550">
        <v>71</v>
      </c>
      <c r="N550">
        <v>6</v>
      </c>
      <c r="O550">
        <v>564.79</v>
      </c>
      <c r="P550">
        <v>5022.0600000000004</v>
      </c>
      <c r="Q550" s="5">
        <f t="shared" si="64"/>
        <v>0.97263513513513511</v>
      </c>
      <c r="R550" s="5">
        <f t="shared" si="65"/>
        <v>5.2448766932962833E-2</v>
      </c>
      <c r="S550" s="5">
        <f t="shared" si="66"/>
        <v>0.47019867549668876</v>
      </c>
      <c r="T550" s="5">
        <f t="shared" si="67"/>
        <v>8.4507042253521125E-2</v>
      </c>
      <c r="U550" s="5">
        <f t="shared" si="68"/>
        <v>2.0840569642236887E-3</v>
      </c>
      <c r="V550" s="6">
        <f t="shared" si="69"/>
        <v>7.9547887323943653</v>
      </c>
      <c r="W550" s="7">
        <f t="shared" si="70"/>
        <v>3.7403311258278142</v>
      </c>
      <c r="X550" s="5">
        <f t="shared" si="71"/>
        <v>7.8919067263938825</v>
      </c>
    </row>
    <row r="551" spans="1:24" x14ac:dyDescent="0.35">
      <c r="A551" s="3">
        <v>46115</v>
      </c>
      <c r="B551" t="s">
        <v>807</v>
      </c>
      <c r="C551" t="s">
        <v>808</v>
      </c>
      <c r="D551" t="s">
        <v>18</v>
      </c>
      <c r="E551" t="s">
        <v>25</v>
      </c>
      <c r="F551" t="s">
        <v>20</v>
      </c>
      <c r="G551" t="s">
        <v>41</v>
      </c>
      <c r="H551" t="s">
        <v>28</v>
      </c>
      <c r="I551">
        <v>2576</v>
      </c>
      <c r="J551">
        <v>1887</v>
      </c>
      <c r="K551">
        <v>1699</v>
      </c>
      <c r="L551">
        <v>85</v>
      </c>
      <c r="M551">
        <v>49</v>
      </c>
      <c r="N551">
        <v>1</v>
      </c>
      <c r="O551">
        <v>265.26</v>
      </c>
      <c r="P551">
        <v>1410.74</v>
      </c>
      <c r="Q551" s="5">
        <f t="shared" si="64"/>
        <v>0.90037095919448862</v>
      </c>
      <c r="R551" s="5">
        <f t="shared" si="65"/>
        <v>5.0029429075927015E-2</v>
      </c>
      <c r="S551" s="5">
        <f t="shared" si="66"/>
        <v>0.57647058823529407</v>
      </c>
      <c r="T551" s="5">
        <f t="shared" si="67"/>
        <v>2.0408163265306121E-2</v>
      </c>
      <c r="U551" s="5">
        <f t="shared" si="68"/>
        <v>5.885815185403178E-4</v>
      </c>
      <c r="V551" s="6">
        <f t="shared" si="69"/>
        <v>5.4134693877551019</v>
      </c>
      <c r="W551" s="7">
        <f t="shared" si="70"/>
        <v>3.120705882352941</v>
      </c>
      <c r="X551" s="5">
        <f t="shared" si="71"/>
        <v>4.3183291864585689</v>
      </c>
    </row>
    <row r="552" spans="1:24" x14ac:dyDescent="0.35">
      <c r="A552" s="3">
        <v>46115</v>
      </c>
      <c r="B552" t="s">
        <v>809</v>
      </c>
      <c r="C552" t="s">
        <v>810</v>
      </c>
      <c r="D552" t="s">
        <v>18</v>
      </c>
      <c r="E552" t="s">
        <v>56</v>
      </c>
      <c r="F552" t="s">
        <v>26</v>
      </c>
      <c r="G552" t="s">
        <v>41</v>
      </c>
      <c r="H552" t="s">
        <v>51</v>
      </c>
      <c r="I552">
        <v>1464</v>
      </c>
      <c r="J552">
        <v>1153</v>
      </c>
      <c r="K552">
        <v>1041</v>
      </c>
      <c r="L552">
        <v>84</v>
      </c>
      <c r="M552">
        <v>55</v>
      </c>
      <c r="N552">
        <v>3</v>
      </c>
      <c r="O552">
        <v>153.38</v>
      </c>
      <c r="P552">
        <v>2141.63</v>
      </c>
      <c r="Q552" s="5">
        <f t="shared" si="64"/>
        <v>0.90286209887250646</v>
      </c>
      <c r="R552" s="5">
        <f t="shared" si="65"/>
        <v>8.069164265129683E-2</v>
      </c>
      <c r="S552" s="5">
        <f t="shared" si="66"/>
        <v>0.65476190476190477</v>
      </c>
      <c r="T552" s="5">
        <f t="shared" si="67"/>
        <v>5.4545454545454543E-2</v>
      </c>
      <c r="U552" s="5">
        <f t="shared" si="68"/>
        <v>2.881844380403458E-3</v>
      </c>
      <c r="V552" s="6">
        <f t="shared" si="69"/>
        <v>2.7887272727272725</v>
      </c>
      <c r="W552" s="7">
        <f t="shared" si="70"/>
        <v>1.825952380952381</v>
      </c>
      <c r="X552" s="5">
        <f t="shared" si="71"/>
        <v>12.962902594862433</v>
      </c>
    </row>
    <row r="553" spans="1:24" x14ac:dyDescent="0.35">
      <c r="A553" s="3">
        <v>46115</v>
      </c>
      <c r="B553" t="s">
        <v>811</v>
      </c>
      <c r="C553" t="s">
        <v>812</v>
      </c>
      <c r="D553" t="s">
        <v>18</v>
      </c>
      <c r="E553" t="s">
        <v>19</v>
      </c>
      <c r="F553" t="s">
        <v>20</v>
      </c>
      <c r="G553" t="s">
        <v>41</v>
      </c>
      <c r="H553" t="s">
        <v>51</v>
      </c>
      <c r="I553">
        <v>2419</v>
      </c>
      <c r="J553">
        <v>2139</v>
      </c>
      <c r="K553">
        <v>1941</v>
      </c>
      <c r="L553">
        <v>41</v>
      </c>
      <c r="M553">
        <v>18</v>
      </c>
      <c r="N553">
        <v>0</v>
      </c>
      <c r="O553">
        <v>274.88</v>
      </c>
      <c r="P553">
        <v>0</v>
      </c>
      <c r="Q553" s="5">
        <f t="shared" si="64"/>
        <v>0.90743338008415142</v>
      </c>
      <c r="R553" s="5">
        <f t="shared" si="65"/>
        <v>2.1123132405976301E-2</v>
      </c>
      <c r="S553" s="5">
        <f t="shared" si="66"/>
        <v>0.43902439024390244</v>
      </c>
      <c r="T553" s="5">
        <f t="shared" si="67"/>
        <v>0</v>
      </c>
      <c r="U553" s="5">
        <f t="shared" si="68"/>
        <v>0</v>
      </c>
      <c r="V553" s="6">
        <f t="shared" si="69"/>
        <v>15.271111111111111</v>
      </c>
      <c r="W553" s="7">
        <f t="shared" si="70"/>
        <v>6.7043902439024388</v>
      </c>
      <c r="X553" s="5">
        <f t="shared" si="71"/>
        <v>-1</v>
      </c>
    </row>
    <row r="554" spans="1:24" x14ac:dyDescent="0.35">
      <c r="A554" s="3">
        <v>46115</v>
      </c>
      <c r="B554" t="s">
        <v>813</v>
      </c>
      <c r="C554" t="s">
        <v>814</v>
      </c>
      <c r="D554" t="s">
        <v>18</v>
      </c>
      <c r="E554" t="s">
        <v>56</v>
      </c>
      <c r="F554" t="s">
        <v>26</v>
      </c>
      <c r="G554" t="s">
        <v>21</v>
      </c>
      <c r="H554" t="s">
        <v>22</v>
      </c>
      <c r="I554">
        <v>4946</v>
      </c>
      <c r="J554">
        <v>3660</v>
      </c>
      <c r="K554">
        <v>3424</v>
      </c>
      <c r="L554">
        <v>323</v>
      </c>
      <c r="M554">
        <v>211</v>
      </c>
      <c r="N554">
        <v>17</v>
      </c>
      <c r="O554">
        <v>520.86</v>
      </c>
      <c r="P554">
        <v>12649.23</v>
      </c>
      <c r="Q554" s="5">
        <f t="shared" si="64"/>
        <v>0.93551912568306006</v>
      </c>
      <c r="R554" s="5">
        <f t="shared" si="65"/>
        <v>9.4334112149532703E-2</v>
      </c>
      <c r="S554" s="5">
        <f t="shared" si="66"/>
        <v>0.65325077399380804</v>
      </c>
      <c r="T554" s="5">
        <f t="shared" si="67"/>
        <v>8.0568720379146919E-2</v>
      </c>
      <c r="U554" s="5">
        <f t="shared" si="68"/>
        <v>4.9649532710280371E-3</v>
      </c>
      <c r="V554" s="6">
        <f t="shared" si="69"/>
        <v>2.468530805687204</v>
      </c>
      <c r="W554" s="7">
        <f t="shared" si="70"/>
        <v>1.6125696594427246</v>
      </c>
      <c r="X554" s="5">
        <f t="shared" si="71"/>
        <v>23.285278193756476</v>
      </c>
    </row>
    <row r="555" spans="1:24" x14ac:dyDescent="0.35">
      <c r="A555" s="3">
        <v>46115</v>
      </c>
      <c r="B555" t="s">
        <v>815</v>
      </c>
      <c r="C555" t="s">
        <v>816</v>
      </c>
      <c r="D555" t="s">
        <v>31</v>
      </c>
      <c r="E555" t="s">
        <v>56</v>
      </c>
      <c r="F555" t="s">
        <v>20</v>
      </c>
      <c r="G555" t="s">
        <v>41</v>
      </c>
      <c r="H555" t="s">
        <v>37</v>
      </c>
      <c r="I555">
        <v>2225</v>
      </c>
      <c r="J555">
        <v>1717</v>
      </c>
      <c r="K555">
        <v>1613</v>
      </c>
      <c r="L555">
        <v>42</v>
      </c>
      <c r="M555">
        <v>21</v>
      </c>
      <c r="N555">
        <v>1</v>
      </c>
      <c r="O555">
        <v>367.44</v>
      </c>
      <c r="P555">
        <v>765.33</v>
      </c>
      <c r="Q555" s="5">
        <f t="shared" si="64"/>
        <v>0.93942923704135117</v>
      </c>
      <c r="R555" s="5">
        <f t="shared" si="65"/>
        <v>2.6038437693738377E-2</v>
      </c>
      <c r="S555" s="5">
        <f t="shared" si="66"/>
        <v>0.5</v>
      </c>
      <c r="T555" s="5">
        <f t="shared" si="67"/>
        <v>4.7619047619047616E-2</v>
      </c>
      <c r="U555" s="5">
        <f t="shared" si="68"/>
        <v>6.1996280223186606E-4</v>
      </c>
      <c r="V555" s="6">
        <f t="shared" si="69"/>
        <v>17.497142857142858</v>
      </c>
      <c r="W555" s="7">
        <f t="shared" si="70"/>
        <v>8.7485714285714291</v>
      </c>
      <c r="X555" s="5">
        <f t="shared" si="71"/>
        <v>1.0828706727629003</v>
      </c>
    </row>
    <row r="556" spans="1:24" x14ac:dyDescent="0.35">
      <c r="A556" s="3">
        <v>46115</v>
      </c>
      <c r="B556" t="s">
        <v>817</v>
      </c>
      <c r="C556" t="s">
        <v>818</v>
      </c>
      <c r="D556" t="s">
        <v>31</v>
      </c>
      <c r="E556" t="s">
        <v>56</v>
      </c>
      <c r="F556" t="s">
        <v>20</v>
      </c>
      <c r="G556" t="s">
        <v>21</v>
      </c>
      <c r="H556" t="s">
        <v>48</v>
      </c>
      <c r="I556">
        <v>2360</v>
      </c>
      <c r="J556">
        <v>1726</v>
      </c>
      <c r="K556">
        <v>1650</v>
      </c>
      <c r="L556">
        <v>55</v>
      </c>
      <c r="M556">
        <v>24</v>
      </c>
      <c r="N556">
        <v>1</v>
      </c>
      <c r="O556">
        <v>301.73</v>
      </c>
      <c r="P556">
        <v>1173.7</v>
      </c>
      <c r="Q556" s="5">
        <f t="shared" si="64"/>
        <v>0.95596755504055619</v>
      </c>
      <c r="R556" s="5">
        <f t="shared" si="65"/>
        <v>3.3333333333333333E-2</v>
      </c>
      <c r="S556" s="5">
        <f t="shared" si="66"/>
        <v>0.43636363636363634</v>
      </c>
      <c r="T556" s="5">
        <f t="shared" si="67"/>
        <v>4.1666666666666664E-2</v>
      </c>
      <c r="U556" s="5">
        <f t="shared" si="68"/>
        <v>6.0606060606060606E-4</v>
      </c>
      <c r="V556" s="6">
        <f t="shared" si="69"/>
        <v>12.572083333333333</v>
      </c>
      <c r="W556" s="7">
        <f t="shared" si="70"/>
        <v>5.4860000000000007</v>
      </c>
      <c r="X556" s="5">
        <f t="shared" si="71"/>
        <v>2.8899015676266862</v>
      </c>
    </row>
    <row r="557" spans="1:24" x14ac:dyDescent="0.35">
      <c r="A557" s="3">
        <v>46115</v>
      </c>
      <c r="B557" t="s">
        <v>819</v>
      </c>
      <c r="C557" t="s">
        <v>820</v>
      </c>
      <c r="D557" t="s">
        <v>34</v>
      </c>
      <c r="E557" t="s">
        <v>35</v>
      </c>
      <c r="F557" t="s">
        <v>26</v>
      </c>
      <c r="G557" t="s">
        <v>21</v>
      </c>
      <c r="H557" t="s">
        <v>37</v>
      </c>
      <c r="I557">
        <v>2743</v>
      </c>
      <c r="J557">
        <v>2194</v>
      </c>
      <c r="K557">
        <v>2083</v>
      </c>
      <c r="L557">
        <v>195</v>
      </c>
      <c r="M557">
        <v>120</v>
      </c>
      <c r="N557">
        <v>9</v>
      </c>
      <c r="O557">
        <v>176.19</v>
      </c>
      <c r="P557">
        <v>9670.15</v>
      </c>
      <c r="Q557" s="5">
        <f t="shared" si="64"/>
        <v>0.94940747493163169</v>
      </c>
      <c r="R557" s="5">
        <f t="shared" si="65"/>
        <v>9.3614978396543452E-2</v>
      </c>
      <c r="S557" s="5">
        <f t="shared" si="66"/>
        <v>0.61538461538461542</v>
      </c>
      <c r="T557" s="5">
        <f t="shared" si="67"/>
        <v>7.4999999999999997E-2</v>
      </c>
      <c r="U557" s="5">
        <f t="shared" si="68"/>
        <v>4.3206913106096975E-3</v>
      </c>
      <c r="V557" s="6">
        <f t="shared" si="69"/>
        <v>1.4682500000000001</v>
      </c>
      <c r="W557" s="7">
        <f t="shared" si="70"/>
        <v>0.90353846153846151</v>
      </c>
      <c r="X557" s="5">
        <f t="shared" si="71"/>
        <v>53.88478347238776</v>
      </c>
    </row>
    <row r="558" spans="1:24" x14ac:dyDescent="0.35">
      <c r="A558" s="3">
        <v>46115</v>
      </c>
      <c r="B558" t="s">
        <v>821</v>
      </c>
      <c r="C558" t="s">
        <v>822</v>
      </c>
      <c r="D558" t="s">
        <v>18</v>
      </c>
      <c r="E558" t="s">
        <v>35</v>
      </c>
      <c r="F558" t="s">
        <v>20</v>
      </c>
      <c r="G558" t="s">
        <v>59</v>
      </c>
      <c r="H558" t="s">
        <v>48</v>
      </c>
      <c r="I558">
        <v>4790</v>
      </c>
      <c r="J558">
        <v>3640</v>
      </c>
      <c r="K558">
        <v>3258</v>
      </c>
      <c r="L558">
        <v>270</v>
      </c>
      <c r="M558">
        <v>148</v>
      </c>
      <c r="N558">
        <v>10</v>
      </c>
      <c r="O558">
        <v>402.52</v>
      </c>
      <c r="P558">
        <v>11829.93</v>
      </c>
      <c r="Q558" s="5">
        <f t="shared" si="64"/>
        <v>0.89505494505494509</v>
      </c>
      <c r="R558" s="5">
        <f t="shared" si="65"/>
        <v>8.2872928176795577E-2</v>
      </c>
      <c r="S558" s="5">
        <f t="shared" si="66"/>
        <v>0.54814814814814816</v>
      </c>
      <c r="T558" s="5">
        <f t="shared" si="67"/>
        <v>6.7567567567567571E-2</v>
      </c>
      <c r="U558" s="5">
        <f t="shared" si="68"/>
        <v>3.0693677102516881E-3</v>
      </c>
      <c r="V558" s="6">
        <f t="shared" si="69"/>
        <v>2.7197297297297296</v>
      </c>
      <c r="W558" s="7">
        <f t="shared" si="70"/>
        <v>1.4908148148148148</v>
      </c>
      <c r="X558" s="5">
        <f t="shared" si="71"/>
        <v>28.389670078505418</v>
      </c>
    </row>
    <row r="559" spans="1:24" x14ac:dyDescent="0.35">
      <c r="A559" s="3">
        <v>46116</v>
      </c>
      <c r="B559" t="s">
        <v>823</v>
      </c>
      <c r="C559" t="s">
        <v>824</v>
      </c>
      <c r="D559" t="s">
        <v>40</v>
      </c>
      <c r="E559" t="s">
        <v>56</v>
      </c>
      <c r="F559" t="s">
        <v>26</v>
      </c>
      <c r="G559" t="s">
        <v>27</v>
      </c>
      <c r="H559" t="s">
        <v>22</v>
      </c>
      <c r="I559">
        <v>636</v>
      </c>
      <c r="J559">
        <v>627</v>
      </c>
      <c r="K559">
        <v>580</v>
      </c>
      <c r="L559">
        <v>48</v>
      </c>
      <c r="M559">
        <v>30</v>
      </c>
      <c r="N559">
        <v>2</v>
      </c>
      <c r="O559">
        <v>86.92</v>
      </c>
      <c r="P559">
        <v>1505.97</v>
      </c>
      <c r="Q559" s="5">
        <f t="shared" si="64"/>
        <v>0.92503987240829344</v>
      </c>
      <c r="R559" s="5">
        <f t="shared" si="65"/>
        <v>8.2758620689655171E-2</v>
      </c>
      <c r="S559" s="5">
        <f t="shared" si="66"/>
        <v>0.625</v>
      </c>
      <c r="T559" s="5">
        <f t="shared" si="67"/>
        <v>6.6666666666666666E-2</v>
      </c>
      <c r="U559" s="5">
        <f t="shared" si="68"/>
        <v>3.4482758620689655E-3</v>
      </c>
      <c r="V559" s="6">
        <f t="shared" si="69"/>
        <v>2.8973333333333335</v>
      </c>
      <c r="W559" s="7">
        <f t="shared" si="70"/>
        <v>1.8108333333333333</v>
      </c>
      <c r="X559" s="5">
        <f t="shared" si="71"/>
        <v>16.325931891394386</v>
      </c>
    </row>
    <row r="560" spans="1:24" x14ac:dyDescent="0.35">
      <c r="A560" s="3">
        <v>46116</v>
      </c>
      <c r="B560" t="s">
        <v>825</v>
      </c>
      <c r="C560" t="s">
        <v>826</v>
      </c>
      <c r="D560" t="s">
        <v>18</v>
      </c>
      <c r="E560" t="s">
        <v>56</v>
      </c>
      <c r="F560" t="s">
        <v>20</v>
      </c>
      <c r="G560" t="s">
        <v>59</v>
      </c>
      <c r="H560" t="s">
        <v>51</v>
      </c>
      <c r="I560">
        <v>4621</v>
      </c>
      <c r="J560">
        <v>4534</v>
      </c>
      <c r="K560">
        <v>4142</v>
      </c>
      <c r="L560">
        <v>219</v>
      </c>
      <c r="M560">
        <v>117</v>
      </c>
      <c r="N560">
        <v>7</v>
      </c>
      <c r="O560">
        <v>488.27</v>
      </c>
      <c r="P560">
        <v>7056.39</v>
      </c>
      <c r="Q560" s="5">
        <f t="shared" si="64"/>
        <v>0.91354212615791797</v>
      </c>
      <c r="R560" s="5">
        <f t="shared" si="65"/>
        <v>5.2873008208594884E-2</v>
      </c>
      <c r="S560" s="5">
        <f t="shared" si="66"/>
        <v>0.53424657534246578</v>
      </c>
      <c r="T560" s="5">
        <f t="shared" si="67"/>
        <v>5.9829059829059832E-2</v>
      </c>
      <c r="U560" s="5">
        <f t="shared" si="68"/>
        <v>1.6900048285852245E-3</v>
      </c>
      <c r="V560" s="6">
        <f t="shared" si="69"/>
        <v>4.1732478632478633</v>
      </c>
      <c r="W560" s="7">
        <f t="shared" si="70"/>
        <v>2.2295433789954338</v>
      </c>
      <c r="X560" s="5">
        <f t="shared" si="71"/>
        <v>13.451819689925658</v>
      </c>
    </row>
    <row r="561" spans="1:24" x14ac:dyDescent="0.35">
      <c r="A561" s="3">
        <v>46116</v>
      </c>
      <c r="B561" t="s">
        <v>827</v>
      </c>
      <c r="C561" t="s">
        <v>828</v>
      </c>
      <c r="D561" t="s">
        <v>18</v>
      </c>
      <c r="E561" t="s">
        <v>19</v>
      </c>
      <c r="F561" t="s">
        <v>20</v>
      </c>
      <c r="G561" t="s">
        <v>59</v>
      </c>
      <c r="H561" t="s">
        <v>22</v>
      </c>
      <c r="I561">
        <v>800</v>
      </c>
      <c r="J561">
        <v>676</v>
      </c>
      <c r="K561">
        <v>622</v>
      </c>
      <c r="L561">
        <v>12</v>
      </c>
      <c r="M561">
        <v>6</v>
      </c>
      <c r="N561">
        <v>0</v>
      </c>
      <c r="O561">
        <v>82.43</v>
      </c>
      <c r="P561">
        <v>0</v>
      </c>
      <c r="Q561" s="5">
        <f t="shared" si="64"/>
        <v>0.92011834319526631</v>
      </c>
      <c r="R561" s="5">
        <f t="shared" si="65"/>
        <v>1.9292604501607719E-2</v>
      </c>
      <c r="S561" s="5">
        <f t="shared" si="66"/>
        <v>0.5</v>
      </c>
      <c r="T561" s="5">
        <f t="shared" si="67"/>
        <v>0</v>
      </c>
      <c r="U561" s="5">
        <f t="shared" si="68"/>
        <v>0</v>
      </c>
      <c r="V561" s="6">
        <f t="shared" si="69"/>
        <v>13.738333333333335</v>
      </c>
      <c r="W561" s="7">
        <f t="shared" si="70"/>
        <v>6.8691666666666675</v>
      </c>
      <c r="X561" s="5">
        <f t="shared" si="71"/>
        <v>-1</v>
      </c>
    </row>
    <row r="562" spans="1:24" x14ac:dyDescent="0.35">
      <c r="A562" s="3">
        <v>46116</v>
      </c>
      <c r="B562" t="s">
        <v>829</v>
      </c>
      <c r="C562" t="s">
        <v>830</v>
      </c>
      <c r="D562" t="s">
        <v>40</v>
      </c>
      <c r="E562" t="s">
        <v>35</v>
      </c>
      <c r="F562" t="s">
        <v>26</v>
      </c>
      <c r="G562" t="s">
        <v>21</v>
      </c>
      <c r="H562" t="s">
        <v>48</v>
      </c>
      <c r="I562">
        <v>2691</v>
      </c>
      <c r="J562">
        <v>2279</v>
      </c>
      <c r="K562">
        <v>2095</v>
      </c>
      <c r="L562">
        <v>202</v>
      </c>
      <c r="M562">
        <v>130</v>
      </c>
      <c r="N562">
        <v>12</v>
      </c>
      <c r="O562">
        <v>329.14</v>
      </c>
      <c r="P562">
        <v>17006.18</v>
      </c>
      <c r="Q562" s="5">
        <f t="shared" si="64"/>
        <v>0.91926283457656865</v>
      </c>
      <c r="R562" s="5">
        <f t="shared" si="65"/>
        <v>9.6420047732696898E-2</v>
      </c>
      <c r="S562" s="5">
        <f t="shared" si="66"/>
        <v>0.64356435643564358</v>
      </c>
      <c r="T562" s="5">
        <f t="shared" si="67"/>
        <v>9.2307692307692313E-2</v>
      </c>
      <c r="U562" s="5">
        <f t="shared" si="68"/>
        <v>5.7279236276849641E-3</v>
      </c>
      <c r="V562" s="6">
        <f t="shared" si="69"/>
        <v>2.5318461538461539</v>
      </c>
      <c r="W562" s="7">
        <f t="shared" si="70"/>
        <v>1.6294059405940593</v>
      </c>
      <c r="X562" s="5">
        <f t="shared" si="71"/>
        <v>50.668530108768309</v>
      </c>
    </row>
    <row r="563" spans="1:24" x14ac:dyDescent="0.35">
      <c r="A563" s="3">
        <v>46116</v>
      </c>
      <c r="B563" t="s">
        <v>794</v>
      </c>
      <c r="C563" t="s">
        <v>831</v>
      </c>
      <c r="D563" t="s">
        <v>31</v>
      </c>
      <c r="E563" t="s">
        <v>19</v>
      </c>
      <c r="F563" t="s">
        <v>20</v>
      </c>
      <c r="G563" t="s">
        <v>59</v>
      </c>
      <c r="H563" t="s">
        <v>22</v>
      </c>
      <c r="I563">
        <v>756</v>
      </c>
      <c r="J563">
        <v>579</v>
      </c>
      <c r="K563">
        <v>565</v>
      </c>
      <c r="L563">
        <v>2</v>
      </c>
      <c r="M563">
        <v>1</v>
      </c>
      <c r="N563">
        <v>0</v>
      </c>
      <c r="O563">
        <v>116.44</v>
      </c>
      <c r="P563">
        <v>0</v>
      </c>
      <c r="Q563" s="5">
        <f t="shared" si="64"/>
        <v>0.97582037996545767</v>
      </c>
      <c r="R563" s="5">
        <f t="shared" si="65"/>
        <v>3.5398230088495575E-3</v>
      </c>
      <c r="S563" s="5">
        <f t="shared" si="66"/>
        <v>0.5</v>
      </c>
      <c r="T563" s="5">
        <f t="shared" si="67"/>
        <v>0</v>
      </c>
      <c r="U563" s="5">
        <f t="shared" si="68"/>
        <v>0</v>
      </c>
      <c r="V563" s="6">
        <f t="shared" si="69"/>
        <v>116.44</v>
      </c>
      <c r="W563" s="7">
        <f t="shared" si="70"/>
        <v>58.22</v>
      </c>
      <c r="X563" s="5">
        <f t="shared" si="71"/>
        <v>-1</v>
      </c>
    </row>
    <row r="564" spans="1:24" x14ac:dyDescent="0.35">
      <c r="A564" s="3">
        <v>46117</v>
      </c>
      <c r="B564" t="s">
        <v>823</v>
      </c>
      <c r="C564" t="s">
        <v>832</v>
      </c>
      <c r="D564" t="s">
        <v>34</v>
      </c>
      <c r="E564" t="s">
        <v>35</v>
      </c>
      <c r="F564" t="s">
        <v>20</v>
      </c>
      <c r="G564" t="s">
        <v>59</v>
      </c>
      <c r="H564" t="s">
        <v>48</v>
      </c>
      <c r="I564">
        <v>602</v>
      </c>
      <c r="J564">
        <v>449</v>
      </c>
      <c r="K564">
        <v>444</v>
      </c>
      <c r="L564">
        <v>27</v>
      </c>
      <c r="M564">
        <v>13</v>
      </c>
      <c r="N564">
        <v>1</v>
      </c>
      <c r="O564">
        <v>40.4</v>
      </c>
      <c r="P564">
        <v>1475.78</v>
      </c>
      <c r="Q564" s="5">
        <f t="shared" si="64"/>
        <v>0.98886414253897548</v>
      </c>
      <c r="R564" s="5">
        <f t="shared" si="65"/>
        <v>6.0810810810810814E-2</v>
      </c>
      <c r="S564" s="5">
        <f t="shared" si="66"/>
        <v>0.48148148148148145</v>
      </c>
      <c r="T564" s="5">
        <f t="shared" si="67"/>
        <v>7.6923076923076927E-2</v>
      </c>
      <c r="U564" s="5">
        <f t="shared" si="68"/>
        <v>2.2522522522522522E-3</v>
      </c>
      <c r="V564" s="6">
        <f t="shared" si="69"/>
        <v>3.1076923076923078</v>
      </c>
      <c r="W564" s="7">
        <f t="shared" si="70"/>
        <v>1.4962962962962962</v>
      </c>
      <c r="X564" s="5">
        <f t="shared" si="71"/>
        <v>35.529207920792075</v>
      </c>
    </row>
    <row r="565" spans="1:24" x14ac:dyDescent="0.35">
      <c r="A565" s="3">
        <v>46117</v>
      </c>
      <c r="B565" t="s">
        <v>833</v>
      </c>
      <c r="C565" t="s">
        <v>834</v>
      </c>
      <c r="D565" t="s">
        <v>18</v>
      </c>
      <c r="E565" t="s">
        <v>56</v>
      </c>
      <c r="F565" t="s">
        <v>20</v>
      </c>
      <c r="G565" t="s">
        <v>59</v>
      </c>
      <c r="H565" t="s">
        <v>48</v>
      </c>
      <c r="I565">
        <v>647</v>
      </c>
      <c r="J565">
        <v>536</v>
      </c>
      <c r="K565">
        <v>487</v>
      </c>
      <c r="L565">
        <v>29</v>
      </c>
      <c r="M565">
        <v>12</v>
      </c>
      <c r="N565">
        <v>1</v>
      </c>
      <c r="O565">
        <v>61.74</v>
      </c>
      <c r="P565">
        <v>1043.98</v>
      </c>
      <c r="Q565" s="5">
        <f t="shared" si="64"/>
        <v>0.90858208955223885</v>
      </c>
      <c r="R565" s="5">
        <f t="shared" si="65"/>
        <v>5.9548254620123205E-2</v>
      </c>
      <c r="S565" s="5">
        <f t="shared" si="66"/>
        <v>0.41379310344827586</v>
      </c>
      <c r="T565" s="5">
        <f t="shared" si="67"/>
        <v>8.3333333333333329E-2</v>
      </c>
      <c r="U565" s="5">
        <f t="shared" si="68"/>
        <v>2.0533880903490761E-3</v>
      </c>
      <c r="V565" s="6">
        <f t="shared" si="69"/>
        <v>5.1450000000000005</v>
      </c>
      <c r="W565" s="7">
        <f t="shared" si="70"/>
        <v>2.1289655172413795</v>
      </c>
      <c r="X565" s="5">
        <f t="shared" si="71"/>
        <v>15.909297052154194</v>
      </c>
    </row>
    <row r="566" spans="1:24" x14ac:dyDescent="0.35">
      <c r="A566" s="3">
        <v>46117</v>
      </c>
      <c r="B566" t="s">
        <v>829</v>
      </c>
      <c r="C566" t="s">
        <v>835</v>
      </c>
      <c r="D566" t="s">
        <v>31</v>
      </c>
      <c r="E566" t="s">
        <v>25</v>
      </c>
      <c r="F566" t="s">
        <v>20</v>
      </c>
      <c r="G566" t="s">
        <v>21</v>
      </c>
      <c r="H566" t="s">
        <v>22</v>
      </c>
      <c r="I566">
        <v>3937</v>
      </c>
      <c r="J566">
        <v>3851</v>
      </c>
      <c r="K566">
        <v>3678</v>
      </c>
      <c r="L566">
        <v>90</v>
      </c>
      <c r="M566">
        <v>41</v>
      </c>
      <c r="N566">
        <v>1</v>
      </c>
      <c r="O566">
        <v>778.46</v>
      </c>
      <c r="P566">
        <v>1060.71</v>
      </c>
      <c r="Q566" s="5">
        <f t="shared" si="64"/>
        <v>0.95507660347961565</v>
      </c>
      <c r="R566" s="5">
        <f t="shared" si="65"/>
        <v>2.4469820554649267E-2</v>
      </c>
      <c r="S566" s="5">
        <f t="shared" si="66"/>
        <v>0.45555555555555555</v>
      </c>
      <c r="T566" s="5">
        <f t="shared" si="67"/>
        <v>2.4390243902439025E-2</v>
      </c>
      <c r="U566" s="5">
        <f t="shared" si="68"/>
        <v>2.7188689505165849E-4</v>
      </c>
      <c r="V566" s="6">
        <f t="shared" si="69"/>
        <v>18.986829268292684</v>
      </c>
      <c r="W566" s="7">
        <f t="shared" si="70"/>
        <v>8.6495555555555566</v>
      </c>
      <c r="X566" s="5">
        <f t="shared" si="71"/>
        <v>0.36257482722297868</v>
      </c>
    </row>
    <row r="567" spans="1:24" x14ac:dyDescent="0.35">
      <c r="A567" s="3">
        <v>46117</v>
      </c>
      <c r="B567" t="s">
        <v>815</v>
      </c>
      <c r="C567" t="s">
        <v>836</v>
      </c>
      <c r="D567" t="s">
        <v>34</v>
      </c>
      <c r="E567" t="s">
        <v>56</v>
      </c>
      <c r="F567" t="s">
        <v>26</v>
      </c>
      <c r="G567" t="s">
        <v>59</v>
      </c>
      <c r="H567" t="s">
        <v>37</v>
      </c>
      <c r="I567">
        <v>2042</v>
      </c>
      <c r="J567">
        <v>1649</v>
      </c>
      <c r="K567">
        <v>1530</v>
      </c>
      <c r="L567">
        <v>113</v>
      </c>
      <c r="M567">
        <v>69</v>
      </c>
      <c r="N567">
        <v>5</v>
      </c>
      <c r="O567">
        <v>150.09</v>
      </c>
      <c r="P567">
        <v>5553</v>
      </c>
      <c r="Q567" s="5">
        <f t="shared" si="64"/>
        <v>0.92783505154639179</v>
      </c>
      <c r="R567" s="5">
        <f t="shared" si="65"/>
        <v>7.3856209150326799E-2</v>
      </c>
      <c r="S567" s="5">
        <f t="shared" si="66"/>
        <v>0.61061946902654862</v>
      </c>
      <c r="T567" s="5">
        <f t="shared" si="67"/>
        <v>7.2463768115942032E-2</v>
      </c>
      <c r="U567" s="5">
        <f t="shared" si="68"/>
        <v>3.2679738562091504E-3</v>
      </c>
      <c r="V567" s="6">
        <f t="shared" si="69"/>
        <v>2.175217391304348</v>
      </c>
      <c r="W567" s="7">
        <f t="shared" si="70"/>
        <v>1.3282300884955753</v>
      </c>
      <c r="X567" s="5">
        <f t="shared" si="71"/>
        <v>35.99780131920847</v>
      </c>
    </row>
    <row r="568" spans="1:24" x14ac:dyDescent="0.35">
      <c r="A568" s="3">
        <v>46117</v>
      </c>
      <c r="B568" t="s">
        <v>837</v>
      </c>
      <c r="C568" t="s">
        <v>838</v>
      </c>
      <c r="D568" t="s">
        <v>18</v>
      </c>
      <c r="E568" t="s">
        <v>25</v>
      </c>
      <c r="F568" t="s">
        <v>26</v>
      </c>
      <c r="G568" t="s">
        <v>41</v>
      </c>
      <c r="H568" t="s">
        <v>22</v>
      </c>
      <c r="I568">
        <v>2360</v>
      </c>
      <c r="J568">
        <v>2244</v>
      </c>
      <c r="K568">
        <v>2015</v>
      </c>
      <c r="L568">
        <v>116</v>
      </c>
      <c r="M568">
        <v>80</v>
      </c>
      <c r="N568">
        <v>1</v>
      </c>
      <c r="O568">
        <v>250.81</v>
      </c>
      <c r="P568">
        <v>771.09</v>
      </c>
      <c r="Q568" s="5">
        <f t="shared" si="64"/>
        <v>0.89795008912655971</v>
      </c>
      <c r="R568" s="5">
        <f t="shared" si="65"/>
        <v>5.7568238213399507E-2</v>
      </c>
      <c r="S568" s="5">
        <f t="shared" si="66"/>
        <v>0.68965517241379315</v>
      </c>
      <c r="T568" s="5">
        <f t="shared" si="67"/>
        <v>1.2500000000000001E-2</v>
      </c>
      <c r="U568" s="5">
        <f t="shared" si="68"/>
        <v>4.9627791563275434E-4</v>
      </c>
      <c r="V568" s="6">
        <f t="shared" si="69"/>
        <v>3.1351249999999999</v>
      </c>
      <c r="W568" s="7">
        <f t="shared" si="70"/>
        <v>2.1621551724137933</v>
      </c>
      <c r="X568" s="5">
        <f t="shared" si="71"/>
        <v>2.0743989474103901</v>
      </c>
    </row>
    <row r="569" spans="1:24" x14ac:dyDescent="0.35">
      <c r="A569" s="3">
        <v>46117</v>
      </c>
      <c r="B569" t="s">
        <v>803</v>
      </c>
      <c r="C569" t="s">
        <v>839</v>
      </c>
      <c r="D569" t="s">
        <v>18</v>
      </c>
      <c r="E569" t="s">
        <v>35</v>
      </c>
      <c r="F569" t="s">
        <v>20</v>
      </c>
      <c r="G569" t="s">
        <v>21</v>
      </c>
      <c r="H569" t="s">
        <v>28</v>
      </c>
      <c r="I569">
        <v>2435</v>
      </c>
      <c r="J569">
        <v>1908</v>
      </c>
      <c r="K569">
        <v>1741</v>
      </c>
      <c r="L569">
        <v>140</v>
      </c>
      <c r="M569">
        <v>66</v>
      </c>
      <c r="N569">
        <v>5</v>
      </c>
      <c r="O569">
        <v>213.38</v>
      </c>
      <c r="P569">
        <v>5975.28</v>
      </c>
      <c r="Q569" s="5">
        <f t="shared" si="64"/>
        <v>0.91247379454926625</v>
      </c>
      <c r="R569" s="5">
        <f t="shared" si="65"/>
        <v>8.0413555427914993E-2</v>
      </c>
      <c r="S569" s="5">
        <f t="shared" si="66"/>
        <v>0.47142857142857142</v>
      </c>
      <c r="T569" s="5">
        <f t="shared" si="67"/>
        <v>7.575757575757576E-2</v>
      </c>
      <c r="U569" s="5">
        <f t="shared" si="68"/>
        <v>2.8719126938541069E-3</v>
      </c>
      <c r="V569" s="6">
        <f t="shared" si="69"/>
        <v>3.2330303030303029</v>
      </c>
      <c r="W569" s="7">
        <f t="shared" si="70"/>
        <v>1.524142857142857</v>
      </c>
      <c r="X569" s="5">
        <f t="shared" si="71"/>
        <v>27.002999343893521</v>
      </c>
    </row>
    <row r="570" spans="1:24" x14ac:dyDescent="0.35">
      <c r="A570" s="3">
        <v>46118</v>
      </c>
      <c r="B570" t="s">
        <v>840</v>
      </c>
      <c r="C570" t="s">
        <v>841</v>
      </c>
      <c r="D570" t="s">
        <v>34</v>
      </c>
      <c r="E570" t="s">
        <v>19</v>
      </c>
      <c r="F570" t="s">
        <v>20</v>
      </c>
      <c r="G570" t="s">
        <v>41</v>
      </c>
      <c r="H570" t="s">
        <v>28</v>
      </c>
      <c r="I570">
        <v>4169</v>
      </c>
      <c r="J570">
        <v>3953</v>
      </c>
      <c r="K570">
        <v>3665</v>
      </c>
      <c r="L570">
        <v>11</v>
      </c>
      <c r="M570">
        <v>5</v>
      </c>
      <c r="N570">
        <v>0</v>
      </c>
      <c r="O570">
        <v>370.03</v>
      </c>
      <c r="P570">
        <v>0</v>
      </c>
      <c r="Q570" s="5">
        <f t="shared" si="64"/>
        <v>0.92714394131039712</v>
      </c>
      <c r="R570" s="5">
        <f t="shared" si="65"/>
        <v>3.0013642564802184E-3</v>
      </c>
      <c r="S570" s="5">
        <f t="shared" si="66"/>
        <v>0.45454545454545453</v>
      </c>
      <c r="T570" s="5">
        <f t="shared" si="67"/>
        <v>0</v>
      </c>
      <c r="U570" s="5">
        <f t="shared" si="68"/>
        <v>0</v>
      </c>
      <c r="V570" s="6">
        <f t="shared" si="69"/>
        <v>74.006</v>
      </c>
      <c r="W570" s="7">
        <f t="shared" si="70"/>
        <v>33.639090909090903</v>
      </c>
      <c r="X570" s="5">
        <f t="shared" si="71"/>
        <v>-1</v>
      </c>
    </row>
    <row r="571" spans="1:24" x14ac:dyDescent="0.35">
      <c r="A571" s="3">
        <v>46118</v>
      </c>
      <c r="B571" t="s">
        <v>842</v>
      </c>
      <c r="C571" t="s">
        <v>843</v>
      </c>
      <c r="D571" t="s">
        <v>40</v>
      </c>
      <c r="E571" t="s">
        <v>56</v>
      </c>
      <c r="F571" t="s">
        <v>20</v>
      </c>
      <c r="G571" t="s">
        <v>27</v>
      </c>
      <c r="H571" t="s">
        <v>28</v>
      </c>
      <c r="I571">
        <v>2364</v>
      </c>
      <c r="J571">
        <v>2161</v>
      </c>
      <c r="K571">
        <v>2004</v>
      </c>
      <c r="L571">
        <v>119</v>
      </c>
      <c r="M571">
        <v>52</v>
      </c>
      <c r="N571">
        <v>2</v>
      </c>
      <c r="O571">
        <v>327.14999999999998</v>
      </c>
      <c r="P571">
        <v>1765.04</v>
      </c>
      <c r="Q571" s="5">
        <f t="shared" si="64"/>
        <v>0.92734844979176312</v>
      </c>
      <c r="R571" s="5">
        <f t="shared" si="65"/>
        <v>5.9381237524950101E-2</v>
      </c>
      <c r="S571" s="5">
        <f t="shared" si="66"/>
        <v>0.43697478991596639</v>
      </c>
      <c r="T571" s="5">
        <f t="shared" si="67"/>
        <v>3.8461538461538464E-2</v>
      </c>
      <c r="U571" s="5">
        <f t="shared" si="68"/>
        <v>9.9800399201596798E-4</v>
      </c>
      <c r="V571" s="6">
        <f t="shared" si="69"/>
        <v>6.2913461538461535</v>
      </c>
      <c r="W571" s="7">
        <f t="shared" si="70"/>
        <v>2.7491596638655462</v>
      </c>
      <c r="X571" s="5">
        <f t="shared" si="71"/>
        <v>4.3952009781445822</v>
      </c>
    </row>
    <row r="572" spans="1:24" x14ac:dyDescent="0.35">
      <c r="A572" s="3">
        <v>46118</v>
      </c>
      <c r="B572" t="s">
        <v>811</v>
      </c>
      <c r="C572" t="s">
        <v>844</v>
      </c>
      <c r="D572" t="s">
        <v>34</v>
      </c>
      <c r="E572" t="s">
        <v>19</v>
      </c>
      <c r="F572" t="s">
        <v>26</v>
      </c>
      <c r="G572" t="s">
        <v>21</v>
      </c>
      <c r="H572" t="s">
        <v>28</v>
      </c>
      <c r="I572">
        <v>2072</v>
      </c>
      <c r="J572">
        <v>1817</v>
      </c>
      <c r="K572">
        <v>1686</v>
      </c>
      <c r="L572">
        <v>16</v>
      </c>
      <c r="M572">
        <v>10</v>
      </c>
      <c r="N572">
        <v>0</v>
      </c>
      <c r="O572">
        <v>130.21</v>
      </c>
      <c r="P572">
        <v>0</v>
      </c>
      <c r="Q572" s="5">
        <f t="shared" si="64"/>
        <v>0.92790313703907545</v>
      </c>
      <c r="R572" s="5">
        <f t="shared" si="65"/>
        <v>9.4899169632265724E-3</v>
      </c>
      <c r="S572" s="5">
        <f t="shared" si="66"/>
        <v>0.625</v>
      </c>
      <c r="T572" s="5">
        <f t="shared" si="67"/>
        <v>0</v>
      </c>
      <c r="U572" s="5">
        <f t="shared" si="68"/>
        <v>0</v>
      </c>
      <c r="V572" s="6">
        <f t="shared" si="69"/>
        <v>13.021000000000001</v>
      </c>
      <c r="W572" s="7">
        <f t="shared" si="70"/>
        <v>8.1381250000000005</v>
      </c>
      <c r="X572" s="5">
        <f t="shared" si="71"/>
        <v>-1</v>
      </c>
    </row>
    <row r="573" spans="1:24" x14ac:dyDescent="0.35">
      <c r="A573" s="3">
        <v>46118</v>
      </c>
      <c r="B573" t="s">
        <v>817</v>
      </c>
      <c r="C573" t="s">
        <v>845</v>
      </c>
      <c r="D573" t="s">
        <v>40</v>
      </c>
      <c r="E573" t="s">
        <v>25</v>
      </c>
      <c r="F573" t="s">
        <v>20</v>
      </c>
      <c r="G573" t="s">
        <v>21</v>
      </c>
      <c r="H573" t="s">
        <v>22</v>
      </c>
      <c r="I573">
        <v>1911</v>
      </c>
      <c r="J573">
        <v>1610</v>
      </c>
      <c r="K573">
        <v>1484</v>
      </c>
      <c r="L573">
        <v>58</v>
      </c>
      <c r="M573">
        <v>26</v>
      </c>
      <c r="N573">
        <v>1</v>
      </c>
      <c r="O573">
        <v>205.7</v>
      </c>
      <c r="P573">
        <v>976.82</v>
      </c>
      <c r="Q573" s="5">
        <f t="shared" si="64"/>
        <v>0.92173913043478262</v>
      </c>
      <c r="R573" s="5">
        <f t="shared" si="65"/>
        <v>3.9083557951482481E-2</v>
      </c>
      <c r="S573" s="5">
        <f t="shared" si="66"/>
        <v>0.44827586206896552</v>
      </c>
      <c r="T573" s="5">
        <f t="shared" si="67"/>
        <v>3.8461538461538464E-2</v>
      </c>
      <c r="U573" s="5">
        <f t="shared" si="68"/>
        <v>6.7385444743935314E-4</v>
      </c>
      <c r="V573" s="6">
        <f t="shared" si="69"/>
        <v>7.911538461538461</v>
      </c>
      <c r="W573" s="7">
        <f t="shared" si="70"/>
        <v>3.546551724137931</v>
      </c>
      <c r="X573" s="5">
        <f t="shared" si="71"/>
        <v>3.7487603305785133</v>
      </c>
    </row>
    <row r="574" spans="1:24" x14ac:dyDescent="0.35">
      <c r="A574" s="3">
        <v>46118</v>
      </c>
      <c r="B574" t="s">
        <v>846</v>
      </c>
      <c r="C574" t="s">
        <v>847</v>
      </c>
      <c r="D574" t="s">
        <v>18</v>
      </c>
      <c r="E574" t="s">
        <v>56</v>
      </c>
      <c r="F574" t="s">
        <v>20</v>
      </c>
      <c r="G574" t="s">
        <v>21</v>
      </c>
      <c r="H574" t="s">
        <v>37</v>
      </c>
      <c r="I574">
        <v>3981</v>
      </c>
      <c r="J574">
        <v>3642</v>
      </c>
      <c r="K574">
        <v>3273</v>
      </c>
      <c r="L574">
        <v>198</v>
      </c>
      <c r="M574">
        <v>99</v>
      </c>
      <c r="N574">
        <v>5</v>
      </c>
      <c r="O574">
        <v>376.54</v>
      </c>
      <c r="P574">
        <v>4630.28</v>
      </c>
      <c r="Q574" s="5">
        <f t="shared" si="64"/>
        <v>0.89868204283360786</v>
      </c>
      <c r="R574" s="5">
        <f t="shared" si="65"/>
        <v>6.0494958753437217E-2</v>
      </c>
      <c r="S574" s="5">
        <f t="shared" si="66"/>
        <v>0.5</v>
      </c>
      <c r="T574" s="5">
        <f t="shared" si="67"/>
        <v>5.0505050505050504E-2</v>
      </c>
      <c r="U574" s="5">
        <f t="shared" si="68"/>
        <v>1.5276504735716467E-3</v>
      </c>
      <c r="V574" s="6">
        <f t="shared" si="69"/>
        <v>3.8034343434343438</v>
      </c>
      <c r="W574" s="7">
        <f t="shared" si="70"/>
        <v>1.9017171717171719</v>
      </c>
      <c r="X574" s="5">
        <f t="shared" si="71"/>
        <v>11.296914006480055</v>
      </c>
    </row>
    <row r="575" spans="1:24" x14ac:dyDescent="0.35">
      <c r="A575" s="3">
        <v>46119</v>
      </c>
      <c r="B575" t="s">
        <v>848</v>
      </c>
      <c r="C575" t="s">
        <v>849</v>
      </c>
      <c r="D575" t="s">
        <v>40</v>
      </c>
      <c r="E575" t="s">
        <v>25</v>
      </c>
      <c r="F575" t="s">
        <v>26</v>
      </c>
      <c r="G575" t="s">
        <v>59</v>
      </c>
      <c r="H575" t="s">
        <v>28</v>
      </c>
      <c r="I575">
        <v>4858</v>
      </c>
      <c r="J575">
        <v>4366</v>
      </c>
      <c r="K575">
        <v>4060</v>
      </c>
      <c r="L575">
        <v>250</v>
      </c>
      <c r="M575">
        <v>135</v>
      </c>
      <c r="N575">
        <v>7</v>
      </c>
      <c r="O575">
        <v>736.37</v>
      </c>
      <c r="P575">
        <v>7450.47</v>
      </c>
      <c r="Q575" s="5">
        <f t="shared" si="64"/>
        <v>0.92991296381126887</v>
      </c>
      <c r="R575" s="5">
        <f t="shared" si="65"/>
        <v>6.1576354679802957E-2</v>
      </c>
      <c r="S575" s="5">
        <f t="shared" si="66"/>
        <v>0.54</v>
      </c>
      <c r="T575" s="5">
        <f t="shared" si="67"/>
        <v>5.185185185185185E-2</v>
      </c>
      <c r="U575" s="5">
        <f t="shared" si="68"/>
        <v>1.7241379310344827E-3</v>
      </c>
      <c r="V575" s="6">
        <f t="shared" si="69"/>
        <v>5.4545925925925927</v>
      </c>
      <c r="W575" s="7">
        <f t="shared" si="70"/>
        <v>2.9454799999999999</v>
      </c>
      <c r="X575" s="5">
        <f t="shared" si="71"/>
        <v>9.1178347841438416</v>
      </c>
    </row>
    <row r="576" spans="1:24" x14ac:dyDescent="0.35">
      <c r="A576" s="3">
        <v>46119</v>
      </c>
      <c r="B576" t="s">
        <v>850</v>
      </c>
      <c r="C576" t="s">
        <v>851</v>
      </c>
      <c r="D576" t="s">
        <v>34</v>
      </c>
      <c r="E576" t="s">
        <v>56</v>
      </c>
      <c r="F576" t="s">
        <v>26</v>
      </c>
      <c r="G576" t="s">
        <v>21</v>
      </c>
      <c r="H576" t="s">
        <v>37</v>
      </c>
      <c r="I576">
        <v>1769</v>
      </c>
      <c r="J576">
        <v>1527</v>
      </c>
      <c r="K576">
        <v>1450</v>
      </c>
      <c r="L576">
        <v>86</v>
      </c>
      <c r="M576">
        <v>52</v>
      </c>
      <c r="N576">
        <v>3</v>
      </c>
      <c r="O576">
        <v>120.37</v>
      </c>
      <c r="P576">
        <v>4534</v>
      </c>
      <c r="Q576" s="5">
        <f t="shared" si="64"/>
        <v>0.94957432874918135</v>
      </c>
      <c r="R576" s="5">
        <f t="shared" si="65"/>
        <v>5.9310344827586209E-2</v>
      </c>
      <c r="S576" s="5">
        <f t="shared" si="66"/>
        <v>0.60465116279069764</v>
      </c>
      <c r="T576" s="5">
        <f t="shared" si="67"/>
        <v>5.7692307692307696E-2</v>
      </c>
      <c r="U576" s="5">
        <f t="shared" si="68"/>
        <v>2.0689655172413794E-3</v>
      </c>
      <c r="V576" s="6">
        <f t="shared" si="69"/>
        <v>2.3148076923076926</v>
      </c>
      <c r="W576" s="7">
        <f t="shared" si="70"/>
        <v>1.3996511627906978</v>
      </c>
      <c r="X576" s="5">
        <f t="shared" si="71"/>
        <v>36.66719282213176</v>
      </c>
    </row>
    <row r="577" spans="1:24" x14ac:dyDescent="0.35">
      <c r="A577" s="3">
        <v>46119</v>
      </c>
      <c r="B577" t="s">
        <v>852</v>
      </c>
      <c r="C577" t="s">
        <v>853</v>
      </c>
      <c r="D577" t="s">
        <v>40</v>
      </c>
      <c r="E577" t="s">
        <v>25</v>
      </c>
      <c r="F577" t="s">
        <v>20</v>
      </c>
      <c r="G577" t="s">
        <v>27</v>
      </c>
      <c r="H577" t="s">
        <v>51</v>
      </c>
      <c r="I577">
        <v>1481</v>
      </c>
      <c r="J577">
        <v>1360</v>
      </c>
      <c r="K577">
        <v>1290</v>
      </c>
      <c r="L577">
        <v>51</v>
      </c>
      <c r="M577">
        <v>28</v>
      </c>
      <c r="N577">
        <v>1</v>
      </c>
      <c r="O577">
        <v>181.06</v>
      </c>
      <c r="P577">
        <v>688.41</v>
      </c>
      <c r="Q577" s="5">
        <f t="shared" si="64"/>
        <v>0.94852941176470584</v>
      </c>
      <c r="R577" s="5">
        <f t="shared" si="65"/>
        <v>3.9534883720930232E-2</v>
      </c>
      <c r="S577" s="5">
        <f t="shared" si="66"/>
        <v>0.5490196078431373</v>
      </c>
      <c r="T577" s="5">
        <f t="shared" si="67"/>
        <v>3.5714285714285712E-2</v>
      </c>
      <c r="U577" s="5">
        <f t="shared" si="68"/>
        <v>7.7519379844961239E-4</v>
      </c>
      <c r="V577" s="6">
        <f t="shared" si="69"/>
        <v>6.4664285714285716</v>
      </c>
      <c r="W577" s="7">
        <f t="shared" si="70"/>
        <v>3.5501960784313726</v>
      </c>
      <c r="X577" s="5">
        <f t="shared" si="71"/>
        <v>2.8021097978570637</v>
      </c>
    </row>
    <row r="578" spans="1:24" x14ac:dyDescent="0.35">
      <c r="A578" s="3">
        <v>46119</v>
      </c>
      <c r="B578" t="s">
        <v>854</v>
      </c>
      <c r="C578" t="s">
        <v>855</v>
      </c>
      <c r="D578" t="s">
        <v>40</v>
      </c>
      <c r="E578" t="s">
        <v>19</v>
      </c>
      <c r="F578" t="s">
        <v>20</v>
      </c>
      <c r="G578" t="s">
        <v>36</v>
      </c>
      <c r="H578" t="s">
        <v>22</v>
      </c>
      <c r="I578">
        <v>2588</v>
      </c>
      <c r="J578">
        <v>1899</v>
      </c>
      <c r="K578">
        <v>1782</v>
      </c>
      <c r="L578">
        <v>23</v>
      </c>
      <c r="M578">
        <v>9</v>
      </c>
      <c r="N578">
        <v>0</v>
      </c>
      <c r="O578">
        <v>280.41000000000003</v>
      </c>
      <c r="P578">
        <v>0</v>
      </c>
      <c r="Q578" s="5">
        <f t="shared" si="64"/>
        <v>0.93838862559241709</v>
      </c>
      <c r="R578" s="5">
        <f t="shared" si="65"/>
        <v>1.2906846240179574E-2</v>
      </c>
      <c r="S578" s="5">
        <f t="shared" si="66"/>
        <v>0.39130434782608697</v>
      </c>
      <c r="T578" s="5">
        <f t="shared" si="67"/>
        <v>0</v>
      </c>
      <c r="U578" s="5">
        <f t="shared" si="68"/>
        <v>0</v>
      </c>
      <c r="V578" s="6">
        <f t="shared" si="69"/>
        <v>31.15666666666667</v>
      </c>
      <c r="W578" s="7">
        <f t="shared" si="70"/>
        <v>12.191739130434783</v>
      </c>
      <c r="X578" s="5">
        <f t="shared" si="71"/>
        <v>-1</v>
      </c>
    </row>
    <row r="579" spans="1:24" x14ac:dyDescent="0.35">
      <c r="A579" s="3">
        <v>46119</v>
      </c>
      <c r="B579" t="s">
        <v>786</v>
      </c>
      <c r="C579" t="s">
        <v>856</v>
      </c>
      <c r="D579" t="s">
        <v>31</v>
      </c>
      <c r="E579" t="s">
        <v>35</v>
      </c>
      <c r="F579" t="s">
        <v>26</v>
      </c>
      <c r="G579" t="s">
        <v>59</v>
      </c>
      <c r="H579" t="s">
        <v>48</v>
      </c>
      <c r="I579">
        <v>3168</v>
      </c>
      <c r="J579">
        <v>2381</v>
      </c>
      <c r="K579">
        <v>2170</v>
      </c>
      <c r="L579">
        <v>137</v>
      </c>
      <c r="M579">
        <v>70</v>
      </c>
      <c r="N579">
        <v>6</v>
      </c>
      <c r="O579">
        <v>419.3</v>
      </c>
      <c r="P579">
        <v>9141.31</v>
      </c>
      <c r="Q579" s="5">
        <f t="shared" ref="Q579:Q642" si="72">K579/J579</f>
        <v>0.91138177236455276</v>
      </c>
      <c r="R579" s="5">
        <f t="shared" ref="R579:R642" si="73">L579/K579</f>
        <v>6.313364055299539E-2</v>
      </c>
      <c r="S579" s="5">
        <f t="shared" ref="S579:S642" si="74">M579/L579</f>
        <v>0.51094890510948909</v>
      </c>
      <c r="T579" s="5">
        <f t="shared" ref="T579:T642" si="75">N579/M579</f>
        <v>8.5714285714285715E-2</v>
      </c>
      <c r="U579" s="5">
        <f t="shared" ref="U579:U642" si="76">N579/K579</f>
        <v>2.7649769585253456E-3</v>
      </c>
      <c r="V579" s="6">
        <f t="shared" ref="V579:V642" si="77">O579/M579</f>
        <v>5.99</v>
      </c>
      <c r="W579" s="7">
        <f t="shared" ref="W579:W642" si="78">O579/L579</f>
        <v>3.0605839416058394</v>
      </c>
      <c r="X579" s="5">
        <f t="shared" ref="X579:X642" si="79">(P579-O579)/O579</f>
        <v>20.80135940853804</v>
      </c>
    </row>
    <row r="580" spans="1:24" x14ac:dyDescent="0.35">
      <c r="A580" s="3">
        <v>46119</v>
      </c>
      <c r="B580" t="s">
        <v>857</v>
      </c>
      <c r="C580" t="s">
        <v>858</v>
      </c>
      <c r="D580" t="s">
        <v>18</v>
      </c>
      <c r="E580" t="s">
        <v>35</v>
      </c>
      <c r="F580" t="s">
        <v>20</v>
      </c>
      <c r="G580" t="s">
        <v>59</v>
      </c>
      <c r="H580" t="s">
        <v>37</v>
      </c>
      <c r="I580">
        <v>1317</v>
      </c>
      <c r="J580">
        <v>1067</v>
      </c>
      <c r="K580">
        <v>986</v>
      </c>
      <c r="L580">
        <v>81</v>
      </c>
      <c r="M580">
        <v>41</v>
      </c>
      <c r="N580">
        <v>3</v>
      </c>
      <c r="O580">
        <v>151.47999999999999</v>
      </c>
      <c r="P580">
        <v>2517.9</v>
      </c>
      <c r="Q580" s="5">
        <f t="shared" si="72"/>
        <v>0.9240862230552952</v>
      </c>
      <c r="R580" s="5">
        <f t="shared" si="73"/>
        <v>8.2150101419878302E-2</v>
      </c>
      <c r="S580" s="5">
        <f t="shared" si="74"/>
        <v>0.50617283950617287</v>
      </c>
      <c r="T580" s="5">
        <f t="shared" si="75"/>
        <v>7.3170731707317069E-2</v>
      </c>
      <c r="U580" s="5">
        <f t="shared" si="76"/>
        <v>3.0425963488843813E-3</v>
      </c>
      <c r="V580" s="6">
        <f t="shared" si="77"/>
        <v>3.6946341463414631</v>
      </c>
      <c r="W580" s="7">
        <f t="shared" si="78"/>
        <v>1.8701234567901233</v>
      </c>
      <c r="X580" s="5">
        <f t="shared" si="79"/>
        <v>15.62199630314233</v>
      </c>
    </row>
    <row r="581" spans="1:24" x14ac:dyDescent="0.35">
      <c r="A581" s="3">
        <v>46119</v>
      </c>
      <c r="B581" t="s">
        <v>857</v>
      </c>
      <c r="C581" t="s">
        <v>859</v>
      </c>
      <c r="D581" t="s">
        <v>40</v>
      </c>
      <c r="E581" t="s">
        <v>56</v>
      </c>
      <c r="F581" t="s">
        <v>20</v>
      </c>
      <c r="G581" t="s">
        <v>59</v>
      </c>
      <c r="H581" t="s">
        <v>37</v>
      </c>
      <c r="I581">
        <v>3287</v>
      </c>
      <c r="J581">
        <v>2715</v>
      </c>
      <c r="K581">
        <v>2513</v>
      </c>
      <c r="L581">
        <v>133</v>
      </c>
      <c r="M581">
        <v>64</v>
      </c>
      <c r="N581">
        <v>3</v>
      </c>
      <c r="O581">
        <v>380.06</v>
      </c>
      <c r="P581">
        <v>2979.59</v>
      </c>
      <c r="Q581" s="5">
        <f t="shared" si="72"/>
        <v>0.92559852670349907</v>
      </c>
      <c r="R581" s="5">
        <f t="shared" si="73"/>
        <v>5.2924791086350974E-2</v>
      </c>
      <c r="S581" s="5">
        <f t="shared" si="74"/>
        <v>0.48120300751879697</v>
      </c>
      <c r="T581" s="5">
        <f t="shared" si="75"/>
        <v>4.6875E-2</v>
      </c>
      <c r="U581" s="5">
        <f t="shared" si="76"/>
        <v>1.1937922801432551E-3</v>
      </c>
      <c r="V581" s="6">
        <f t="shared" si="77"/>
        <v>5.9384375</v>
      </c>
      <c r="W581" s="7">
        <f t="shared" si="78"/>
        <v>2.8575939849624059</v>
      </c>
      <c r="X581" s="5">
        <f t="shared" si="79"/>
        <v>6.8397884544545606</v>
      </c>
    </row>
    <row r="582" spans="1:24" x14ac:dyDescent="0.35">
      <c r="A582" s="3">
        <v>46119</v>
      </c>
      <c r="B582" t="s">
        <v>860</v>
      </c>
      <c r="C582" t="s">
        <v>861</v>
      </c>
      <c r="D582" t="s">
        <v>34</v>
      </c>
      <c r="E582" t="s">
        <v>25</v>
      </c>
      <c r="F582" t="s">
        <v>20</v>
      </c>
      <c r="G582" t="s">
        <v>59</v>
      </c>
      <c r="H582" t="s">
        <v>51</v>
      </c>
      <c r="I582">
        <v>3891</v>
      </c>
      <c r="J582">
        <v>3302</v>
      </c>
      <c r="K582">
        <v>3022</v>
      </c>
      <c r="L582">
        <v>48</v>
      </c>
      <c r="M582">
        <v>20</v>
      </c>
      <c r="N582">
        <v>1</v>
      </c>
      <c r="O582">
        <v>271.85000000000002</v>
      </c>
      <c r="P582">
        <v>1259.92</v>
      </c>
      <c r="Q582" s="5">
        <f t="shared" si="72"/>
        <v>0.91520290732889154</v>
      </c>
      <c r="R582" s="5">
        <f t="shared" si="73"/>
        <v>1.5883520847121111E-2</v>
      </c>
      <c r="S582" s="5">
        <f t="shared" si="74"/>
        <v>0.41666666666666669</v>
      </c>
      <c r="T582" s="5">
        <f t="shared" si="75"/>
        <v>0.05</v>
      </c>
      <c r="U582" s="5">
        <f t="shared" si="76"/>
        <v>3.3090668431502316E-4</v>
      </c>
      <c r="V582" s="6">
        <f t="shared" si="77"/>
        <v>13.592500000000001</v>
      </c>
      <c r="W582" s="7">
        <f t="shared" si="78"/>
        <v>5.6635416666666671</v>
      </c>
      <c r="X582" s="5">
        <f t="shared" si="79"/>
        <v>3.6346146772116974</v>
      </c>
    </row>
    <row r="583" spans="1:24" x14ac:dyDescent="0.35">
      <c r="A583" s="3">
        <v>46119</v>
      </c>
      <c r="B583" t="s">
        <v>862</v>
      </c>
      <c r="C583" t="s">
        <v>863</v>
      </c>
      <c r="D583" t="s">
        <v>18</v>
      </c>
      <c r="E583" t="s">
        <v>19</v>
      </c>
      <c r="F583" t="s">
        <v>20</v>
      </c>
      <c r="G583" t="s">
        <v>36</v>
      </c>
      <c r="H583" t="s">
        <v>28</v>
      </c>
      <c r="I583">
        <v>4351</v>
      </c>
      <c r="J583">
        <v>3539</v>
      </c>
      <c r="K583">
        <v>3193</v>
      </c>
      <c r="L583">
        <v>65</v>
      </c>
      <c r="M583">
        <v>31</v>
      </c>
      <c r="N583">
        <v>0</v>
      </c>
      <c r="O583">
        <v>506.95</v>
      </c>
      <c r="P583">
        <v>0</v>
      </c>
      <c r="Q583" s="5">
        <f t="shared" si="72"/>
        <v>0.90223226900254305</v>
      </c>
      <c r="R583" s="5">
        <f t="shared" si="73"/>
        <v>2.0357031005324145E-2</v>
      </c>
      <c r="S583" s="5">
        <f t="shared" si="74"/>
        <v>0.47692307692307695</v>
      </c>
      <c r="T583" s="5">
        <f t="shared" si="75"/>
        <v>0</v>
      </c>
      <c r="U583" s="5">
        <f t="shared" si="76"/>
        <v>0</v>
      </c>
      <c r="V583" s="6">
        <f t="shared" si="77"/>
        <v>16.353225806451611</v>
      </c>
      <c r="W583" s="7">
        <f t="shared" si="78"/>
        <v>7.7992307692307694</v>
      </c>
      <c r="X583" s="5">
        <f t="shared" si="79"/>
        <v>-1</v>
      </c>
    </row>
    <row r="584" spans="1:24" x14ac:dyDescent="0.35">
      <c r="A584" s="3">
        <v>46119</v>
      </c>
      <c r="B584" t="s">
        <v>803</v>
      </c>
      <c r="C584" t="s">
        <v>864</v>
      </c>
      <c r="D584" t="s">
        <v>31</v>
      </c>
      <c r="E584" t="s">
        <v>19</v>
      </c>
      <c r="F584" t="s">
        <v>20</v>
      </c>
      <c r="G584" t="s">
        <v>41</v>
      </c>
      <c r="H584" t="s">
        <v>28</v>
      </c>
      <c r="I584">
        <v>2286</v>
      </c>
      <c r="J584">
        <v>2135</v>
      </c>
      <c r="K584">
        <v>2007</v>
      </c>
      <c r="L584">
        <v>33</v>
      </c>
      <c r="M584">
        <v>14</v>
      </c>
      <c r="N584">
        <v>0</v>
      </c>
      <c r="O584">
        <v>381.78</v>
      </c>
      <c r="P584">
        <v>0</v>
      </c>
      <c r="Q584" s="5">
        <f t="shared" si="72"/>
        <v>0.94004683840749415</v>
      </c>
      <c r="R584" s="5">
        <f t="shared" si="73"/>
        <v>1.6442451420029897E-2</v>
      </c>
      <c r="S584" s="5">
        <f t="shared" si="74"/>
        <v>0.42424242424242425</v>
      </c>
      <c r="T584" s="5">
        <f t="shared" si="75"/>
        <v>0</v>
      </c>
      <c r="U584" s="5">
        <f t="shared" si="76"/>
        <v>0</v>
      </c>
      <c r="V584" s="6">
        <f t="shared" si="77"/>
        <v>27.27</v>
      </c>
      <c r="W584" s="7">
        <f t="shared" si="78"/>
        <v>11.569090909090908</v>
      </c>
      <c r="X584" s="5">
        <f t="shared" si="79"/>
        <v>-1</v>
      </c>
    </row>
    <row r="585" spans="1:24" x14ac:dyDescent="0.35">
      <c r="A585" s="3">
        <v>46119</v>
      </c>
      <c r="B585" t="s">
        <v>865</v>
      </c>
      <c r="C585" t="s">
        <v>866</v>
      </c>
      <c r="D585" t="s">
        <v>18</v>
      </c>
      <c r="E585" t="s">
        <v>56</v>
      </c>
      <c r="F585" t="s">
        <v>20</v>
      </c>
      <c r="G585" t="s">
        <v>36</v>
      </c>
      <c r="H585" t="s">
        <v>37</v>
      </c>
      <c r="I585">
        <v>2204</v>
      </c>
      <c r="J585">
        <v>1907</v>
      </c>
      <c r="K585">
        <v>1742</v>
      </c>
      <c r="L585">
        <v>77</v>
      </c>
      <c r="M585">
        <v>40</v>
      </c>
      <c r="N585">
        <v>2</v>
      </c>
      <c r="O585">
        <v>237.2</v>
      </c>
      <c r="P585">
        <v>1818.93</v>
      </c>
      <c r="Q585" s="5">
        <f t="shared" si="72"/>
        <v>0.91347666491872048</v>
      </c>
      <c r="R585" s="5">
        <f t="shared" si="73"/>
        <v>4.4202066590126293E-2</v>
      </c>
      <c r="S585" s="5">
        <f t="shared" si="74"/>
        <v>0.51948051948051943</v>
      </c>
      <c r="T585" s="5">
        <f t="shared" si="75"/>
        <v>0.05</v>
      </c>
      <c r="U585" s="5">
        <f t="shared" si="76"/>
        <v>1.148105625717566E-3</v>
      </c>
      <c r="V585" s="6">
        <f t="shared" si="77"/>
        <v>5.93</v>
      </c>
      <c r="W585" s="7">
        <f t="shared" si="78"/>
        <v>3.0805194805194804</v>
      </c>
      <c r="X585" s="5">
        <f t="shared" si="79"/>
        <v>6.668338954468803</v>
      </c>
    </row>
    <row r="586" spans="1:24" x14ac:dyDescent="0.35">
      <c r="A586" s="3">
        <v>46119</v>
      </c>
      <c r="B586" t="s">
        <v>867</v>
      </c>
      <c r="C586" t="s">
        <v>868</v>
      </c>
      <c r="D586" t="s">
        <v>18</v>
      </c>
      <c r="E586" t="s">
        <v>35</v>
      </c>
      <c r="F586" t="s">
        <v>20</v>
      </c>
      <c r="G586" t="s">
        <v>59</v>
      </c>
      <c r="H586" t="s">
        <v>28</v>
      </c>
      <c r="I586">
        <v>4320</v>
      </c>
      <c r="J586">
        <v>3216</v>
      </c>
      <c r="K586">
        <v>2923</v>
      </c>
      <c r="L586">
        <v>245</v>
      </c>
      <c r="M586">
        <v>140</v>
      </c>
      <c r="N586">
        <v>7</v>
      </c>
      <c r="O586">
        <v>419.05</v>
      </c>
      <c r="P586">
        <v>6417.43</v>
      </c>
      <c r="Q586" s="5">
        <f t="shared" si="72"/>
        <v>0.90889303482587069</v>
      </c>
      <c r="R586" s="5">
        <f t="shared" si="73"/>
        <v>8.3817995210400273E-2</v>
      </c>
      <c r="S586" s="5">
        <f t="shared" si="74"/>
        <v>0.5714285714285714</v>
      </c>
      <c r="T586" s="5">
        <f t="shared" si="75"/>
        <v>0.05</v>
      </c>
      <c r="U586" s="5">
        <f t="shared" si="76"/>
        <v>2.3947998631542937E-3</v>
      </c>
      <c r="V586" s="6">
        <f t="shared" si="77"/>
        <v>2.9932142857142856</v>
      </c>
      <c r="W586" s="7">
        <f t="shared" si="78"/>
        <v>1.7104081632653061</v>
      </c>
      <c r="X586" s="5">
        <f t="shared" si="79"/>
        <v>14.314234578212623</v>
      </c>
    </row>
    <row r="587" spans="1:24" x14ac:dyDescent="0.35">
      <c r="A587" s="3">
        <v>46119</v>
      </c>
      <c r="B587" t="s">
        <v>869</v>
      </c>
      <c r="C587" t="s">
        <v>870</v>
      </c>
      <c r="D587" t="s">
        <v>34</v>
      </c>
      <c r="E587" t="s">
        <v>19</v>
      </c>
      <c r="F587" t="s">
        <v>20</v>
      </c>
      <c r="G587" t="s">
        <v>59</v>
      </c>
      <c r="H587" t="s">
        <v>51</v>
      </c>
      <c r="I587">
        <v>4755</v>
      </c>
      <c r="J587">
        <v>3736</v>
      </c>
      <c r="K587">
        <v>3446</v>
      </c>
      <c r="L587">
        <v>50</v>
      </c>
      <c r="M587">
        <v>19</v>
      </c>
      <c r="N587">
        <v>0</v>
      </c>
      <c r="O587">
        <v>288.97000000000003</v>
      </c>
      <c r="P587">
        <v>0</v>
      </c>
      <c r="Q587" s="5">
        <f t="shared" si="72"/>
        <v>0.9223768736616702</v>
      </c>
      <c r="R587" s="5">
        <f t="shared" si="73"/>
        <v>1.4509576320371444E-2</v>
      </c>
      <c r="S587" s="5">
        <f t="shared" si="74"/>
        <v>0.38</v>
      </c>
      <c r="T587" s="5">
        <f t="shared" si="75"/>
        <v>0</v>
      </c>
      <c r="U587" s="5">
        <f t="shared" si="76"/>
        <v>0</v>
      </c>
      <c r="V587" s="6">
        <f t="shared" si="77"/>
        <v>15.208947368421054</v>
      </c>
      <c r="W587" s="7">
        <f t="shared" si="78"/>
        <v>5.7794000000000008</v>
      </c>
      <c r="X587" s="5">
        <f t="shared" si="79"/>
        <v>-1</v>
      </c>
    </row>
    <row r="588" spans="1:24" x14ac:dyDescent="0.35">
      <c r="A588" s="3">
        <v>46120</v>
      </c>
      <c r="B588" t="s">
        <v>871</v>
      </c>
      <c r="C588" t="s">
        <v>872</v>
      </c>
      <c r="D588" t="s">
        <v>34</v>
      </c>
      <c r="E588" t="s">
        <v>25</v>
      </c>
      <c r="F588" t="s">
        <v>20</v>
      </c>
      <c r="G588" t="s">
        <v>41</v>
      </c>
      <c r="H588" t="s">
        <v>37</v>
      </c>
      <c r="I588">
        <v>4438</v>
      </c>
      <c r="J588">
        <v>3606</v>
      </c>
      <c r="K588">
        <v>3442</v>
      </c>
      <c r="L588">
        <v>87</v>
      </c>
      <c r="M588">
        <v>43</v>
      </c>
      <c r="N588">
        <v>1</v>
      </c>
      <c r="O588">
        <v>263.41000000000003</v>
      </c>
      <c r="P588">
        <v>700.32</v>
      </c>
      <c r="Q588" s="5">
        <f t="shared" si="72"/>
        <v>0.95452024403771496</v>
      </c>
      <c r="R588" s="5">
        <f t="shared" si="73"/>
        <v>2.52760023242301E-2</v>
      </c>
      <c r="S588" s="5">
        <f t="shared" si="74"/>
        <v>0.4942528735632184</v>
      </c>
      <c r="T588" s="5">
        <f t="shared" si="75"/>
        <v>2.3255813953488372E-2</v>
      </c>
      <c r="U588" s="5">
        <f t="shared" si="76"/>
        <v>2.9052876234747239E-4</v>
      </c>
      <c r="V588" s="6">
        <f t="shared" si="77"/>
        <v>6.1258139534883727</v>
      </c>
      <c r="W588" s="7">
        <f t="shared" si="78"/>
        <v>3.0277011494252877</v>
      </c>
      <c r="X588" s="5">
        <f t="shared" si="79"/>
        <v>1.6586689951026916</v>
      </c>
    </row>
    <row r="589" spans="1:24" x14ac:dyDescent="0.35">
      <c r="A589" s="3">
        <v>46120</v>
      </c>
      <c r="B589" t="s">
        <v>790</v>
      </c>
      <c r="C589" t="s">
        <v>873</v>
      </c>
      <c r="D589" t="s">
        <v>18</v>
      </c>
      <c r="E589" t="s">
        <v>56</v>
      </c>
      <c r="F589" t="s">
        <v>20</v>
      </c>
      <c r="G589" t="s">
        <v>41</v>
      </c>
      <c r="H589" t="s">
        <v>28</v>
      </c>
      <c r="I589">
        <v>1541</v>
      </c>
      <c r="J589">
        <v>1414</v>
      </c>
      <c r="K589">
        <v>1266</v>
      </c>
      <c r="L589">
        <v>87</v>
      </c>
      <c r="M589">
        <v>43</v>
      </c>
      <c r="N589">
        <v>2</v>
      </c>
      <c r="O589">
        <v>152.69999999999999</v>
      </c>
      <c r="P589">
        <v>2724.16</v>
      </c>
      <c r="Q589" s="5">
        <f t="shared" si="72"/>
        <v>0.89533239038189538</v>
      </c>
      <c r="R589" s="5">
        <f t="shared" si="73"/>
        <v>6.8720379146919433E-2</v>
      </c>
      <c r="S589" s="5">
        <f t="shared" si="74"/>
        <v>0.4942528735632184</v>
      </c>
      <c r="T589" s="5">
        <f t="shared" si="75"/>
        <v>4.6511627906976744E-2</v>
      </c>
      <c r="U589" s="5">
        <f t="shared" si="76"/>
        <v>1.5797788309636651E-3</v>
      </c>
      <c r="V589" s="6">
        <f t="shared" si="77"/>
        <v>3.5511627906976742</v>
      </c>
      <c r="W589" s="7">
        <f t="shared" si="78"/>
        <v>1.7551724137931033</v>
      </c>
      <c r="X589" s="5">
        <f t="shared" si="79"/>
        <v>16.83994760969221</v>
      </c>
    </row>
    <row r="590" spans="1:24" x14ac:dyDescent="0.35">
      <c r="A590" s="3">
        <v>46120</v>
      </c>
      <c r="B590" t="s">
        <v>819</v>
      </c>
      <c r="C590" t="s">
        <v>874</v>
      </c>
      <c r="D590" t="s">
        <v>34</v>
      </c>
      <c r="E590" t="s">
        <v>25</v>
      </c>
      <c r="F590" t="s">
        <v>20</v>
      </c>
      <c r="G590" t="s">
        <v>36</v>
      </c>
      <c r="H590" t="s">
        <v>28</v>
      </c>
      <c r="I590">
        <v>4337</v>
      </c>
      <c r="J590">
        <v>4010</v>
      </c>
      <c r="K590">
        <v>3815</v>
      </c>
      <c r="L590">
        <v>132</v>
      </c>
      <c r="M590">
        <v>58</v>
      </c>
      <c r="N590">
        <v>2</v>
      </c>
      <c r="O590">
        <v>360</v>
      </c>
      <c r="P590">
        <v>2482.08</v>
      </c>
      <c r="Q590" s="5">
        <f t="shared" si="72"/>
        <v>0.95137157107231918</v>
      </c>
      <c r="R590" s="5">
        <f t="shared" si="73"/>
        <v>3.4600262123197903E-2</v>
      </c>
      <c r="S590" s="5">
        <f t="shared" si="74"/>
        <v>0.43939393939393939</v>
      </c>
      <c r="T590" s="5">
        <f t="shared" si="75"/>
        <v>3.4482758620689655E-2</v>
      </c>
      <c r="U590" s="5">
        <f t="shared" si="76"/>
        <v>5.2424639580602882E-4</v>
      </c>
      <c r="V590" s="6">
        <f t="shared" si="77"/>
        <v>6.2068965517241379</v>
      </c>
      <c r="W590" s="7">
        <f t="shared" si="78"/>
        <v>2.7272727272727271</v>
      </c>
      <c r="X590" s="5">
        <f t="shared" si="79"/>
        <v>5.8946666666666667</v>
      </c>
    </row>
    <row r="591" spans="1:24" x14ac:dyDescent="0.35">
      <c r="A591" s="3">
        <v>46121</v>
      </c>
      <c r="B591" t="s">
        <v>871</v>
      </c>
      <c r="C591" t="s">
        <v>875</v>
      </c>
      <c r="D591" t="s">
        <v>40</v>
      </c>
      <c r="E591" t="s">
        <v>25</v>
      </c>
      <c r="F591" t="s">
        <v>20</v>
      </c>
      <c r="G591" t="s">
        <v>41</v>
      </c>
      <c r="H591" t="s">
        <v>37</v>
      </c>
      <c r="I591">
        <v>1431</v>
      </c>
      <c r="J591">
        <v>1110</v>
      </c>
      <c r="K591">
        <v>1026</v>
      </c>
      <c r="L591">
        <v>44</v>
      </c>
      <c r="M591">
        <v>17</v>
      </c>
      <c r="N591">
        <v>1</v>
      </c>
      <c r="O591">
        <v>161.04</v>
      </c>
      <c r="P591">
        <v>914.25</v>
      </c>
      <c r="Q591" s="5">
        <f t="shared" si="72"/>
        <v>0.92432432432432432</v>
      </c>
      <c r="R591" s="5">
        <f t="shared" si="73"/>
        <v>4.2884990253411304E-2</v>
      </c>
      <c r="S591" s="5">
        <f t="shared" si="74"/>
        <v>0.38636363636363635</v>
      </c>
      <c r="T591" s="5">
        <f t="shared" si="75"/>
        <v>5.8823529411764705E-2</v>
      </c>
      <c r="U591" s="5">
        <f t="shared" si="76"/>
        <v>9.7465886939571145E-4</v>
      </c>
      <c r="V591" s="6">
        <f t="shared" si="77"/>
        <v>9.472941176470588</v>
      </c>
      <c r="W591" s="7">
        <f t="shared" si="78"/>
        <v>3.6599999999999997</v>
      </c>
      <c r="X591" s="5">
        <f t="shared" si="79"/>
        <v>4.6771609538002989</v>
      </c>
    </row>
    <row r="592" spans="1:24" x14ac:dyDescent="0.35">
      <c r="A592" s="3">
        <v>46121</v>
      </c>
      <c r="B592" t="s">
        <v>876</v>
      </c>
      <c r="C592" t="s">
        <v>877</v>
      </c>
      <c r="D592" t="s">
        <v>18</v>
      </c>
      <c r="E592" t="s">
        <v>56</v>
      </c>
      <c r="F592" t="s">
        <v>20</v>
      </c>
      <c r="G592" t="s">
        <v>27</v>
      </c>
      <c r="H592" t="s">
        <v>28</v>
      </c>
      <c r="I592">
        <v>2509</v>
      </c>
      <c r="J592">
        <v>2506</v>
      </c>
      <c r="K592">
        <v>2277</v>
      </c>
      <c r="L592">
        <v>147</v>
      </c>
      <c r="M592">
        <v>84</v>
      </c>
      <c r="N592">
        <v>5</v>
      </c>
      <c r="O592">
        <v>259.27999999999997</v>
      </c>
      <c r="P592">
        <v>6829.69</v>
      </c>
      <c r="Q592" s="5">
        <f t="shared" si="72"/>
        <v>0.90861931364724657</v>
      </c>
      <c r="R592" s="5">
        <f t="shared" si="73"/>
        <v>6.4558629776021087E-2</v>
      </c>
      <c r="S592" s="5">
        <f t="shared" si="74"/>
        <v>0.5714285714285714</v>
      </c>
      <c r="T592" s="5">
        <f t="shared" si="75"/>
        <v>5.9523809523809521E-2</v>
      </c>
      <c r="U592" s="5">
        <f t="shared" si="76"/>
        <v>2.1958717610891525E-3</v>
      </c>
      <c r="V592" s="6">
        <f t="shared" si="77"/>
        <v>3.0866666666666664</v>
      </c>
      <c r="W592" s="7">
        <f t="shared" si="78"/>
        <v>1.7638095238095237</v>
      </c>
      <c r="X592" s="5">
        <f t="shared" si="79"/>
        <v>25.340982721382293</v>
      </c>
    </row>
    <row r="593" spans="1:24" x14ac:dyDescent="0.35">
      <c r="A593" s="3">
        <v>46121</v>
      </c>
      <c r="B593" t="s">
        <v>878</v>
      </c>
      <c r="C593" t="s">
        <v>879</v>
      </c>
      <c r="D593" t="s">
        <v>34</v>
      </c>
      <c r="E593" t="s">
        <v>56</v>
      </c>
      <c r="F593" t="s">
        <v>20</v>
      </c>
      <c r="G593" t="s">
        <v>27</v>
      </c>
      <c r="H593" t="s">
        <v>28</v>
      </c>
      <c r="I593">
        <v>4387</v>
      </c>
      <c r="J593">
        <v>3483</v>
      </c>
      <c r="K593">
        <v>3271</v>
      </c>
      <c r="L593">
        <v>139</v>
      </c>
      <c r="M593">
        <v>64</v>
      </c>
      <c r="N593">
        <v>4</v>
      </c>
      <c r="O593">
        <v>241.41</v>
      </c>
      <c r="P593">
        <v>5717.67</v>
      </c>
      <c r="Q593" s="5">
        <f t="shared" si="72"/>
        <v>0.93913293138099341</v>
      </c>
      <c r="R593" s="5">
        <f t="shared" si="73"/>
        <v>4.2494649954142462E-2</v>
      </c>
      <c r="S593" s="5">
        <f t="shared" si="74"/>
        <v>0.46043165467625902</v>
      </c>
      <c r="T593" s="5">
        <f t="shared" si="75"/>
        <v>6.25E-2</v>
      </c>
      <c r="U593" s="5">
        <f t="shared" si="76"/>
        <v>1.2228676245796392E-3</v>
      </c>
      <c r="V593" s="6">
        <f t="shared" si="77"/>
        <v>3.7720312499999999</v>
      </c>
      <c r="W593" s="7">
        <f t="shared" si="78"/>
        <v>1.7367625899280574</v>
      </c>
      <c r="X593" s="5">
        <f t="shared" si="79"/>
        <v>22.684478687709706</v>
      </c>
    </row>
    <row r="594" spans="1:24" x14ac:dyDescent="0.35">
      <c r="A594" s="3">
        <v>46121</v>
      </c>
      <c r="B594" t="s">
        <v>790</v>
      </c>
      <c r="C594" t="s">
        <v>880</v>
      </c>
      <c r="D594" t="s">
        <v>34</v>
      </c>
      <c r="E594" t="s">
        <v>19</v>
      </c>
      <c r="F594" t="s">
        <v>20</v>
      </c>
      <c r="G594" t="s">
        <v>41</v>
      </c>
      <c r="H594" t="s">
        <v>48</v>
      </c>
      <c r="I594">
        <v>2404</v>
      </c>
      <c r="J594">
        <v>2071</v>
      </c>
      <c r="K594">
        <v>1961</v>
      </c>
      <c r="L594">
        <v>45</v>
      </c>
      <c r="M594">
        <v>17</v>
      </c>
      <c r="N594">
        <v>0</v>
      </c>
      <c r="O594">
        <v>181.73</v>
      </c>
      <c r="P594">
        <v>0</v>
      </c>
      <c r="Q594" s="5">
        <f t="shared" si="72"/>
        <v>0.94688556253017864</v>
      </c>
      <c r="R594" s="5">
        <f t="shared" si="73"/>
        <v>2.2947475777664456E-2</v>
      </c>
      <c r="S594" s="5">
        <f t="shared" si="74"/>
        <v>0.37777777777777777</v>
      </c>
      <c r="T594" s="5">
        <f t="shared" si="75"/>
        <v>0</v>
      </c>
      <c r="U594" s="5">
        <f t="shared" si="76"/>
        <v>0</v>
      </c>
      <c r="V594" s="6">
        <f t="shared" si="77"/>
        <v>10.69</v>
      </c>
      <c r="W594" s="7">
        <f t="shared" si="78"/>
        <v>4.0384444444444441</v>
      </c>
      <c r="X594" s="5">
        <f t="shared" si="79"/>
        <v>-1</v>
      </c>
    </row>
    <row r="595" spans="1:24" x14ac:dyDescent="0.35">
      <c r="A595" s="3">
        <v>46121</v>
      </c>
      <c r="B595" t="s">
        <v>881</v>
      </c>
      <c r="C595" t="s">
        <v>882</v>
      </c>
      <c r="D595" t="s">
        <v>18</v>
      </c>
      <c r="E595" t="s">
        <v>56</v>
      </c>
      <c r="F595" t="s">
        <v>26</v>
      </c>
      <c r="G595" t="s">
        <v>36</v>
      </c>
      <c r="H595" t="s">
        <v>37</v>
      </c>
      <c r="I595">
        <v>756</v>
      </c>
      <c r="J595">
        <v>637</v>
      </c>
      <c r="K595">
        <v>573</v>
      </c>
      <c r="L595">
        <v>46</v>
      </c>
      <c r="M595">
        <v>30</v>
      </c>
      <c r="N595">
        <v>2</v>
      </c>
      <c r="O595">
        <v>70.06</v>
      </c>
      <c r="P595">
        <v>2773.6</v>
      </c>
      <c r="Q595" s="5">
        <f t="shared" si="72"/>
        <v>0.89952904238618525</v>
      </c>
      <c r="R595" s="5">
        <f t="shared" si="73"/>
        <v>8.0279232111692841E-2</v>
      </c>
      <c r="S595" s="5">
        <f t="shared" si="74"/>
        <v>0.65217391304347827</v>
      </c>
      <c r="T595" s="5">
        <f t="shared" si="75"/>
        <v>6.6666666666666666E-2</v>
      </c>
      <c r="U595" s="5">
        <f t="shared" si="76"/>
        <v>3.4904013961605585E-3</v>
      </c>
      <c r="V595" s="6">
        <f t="shared" si="77"/>
        <v>2.3353333333333333</v>
      </c>
      <c r="W595" s="7">
        <f t="shared" si="78"/>
        <v>1.5230434782608697</v>
      </c>
      <c r="X595" s="5">
        <f t="shared" si="79"/>
        <v>38.588923779617467</v>
      </c>
    </row>
    <row r="596" spans="1:24" x14ac:dyDescent="0.35">
      <c r="A596" s="3">
        <v>46121</v>
      </c>
      <c r="B596" t="s">
        <v>883</v>
      </c>
      <c r="C596" t="s">
        <v>884</v>
      </c>
      <c r="D596" t="s">
        <v>18</v>
      </c>
      <c r="E596" t="s">
        <v>25</v>
      </c>
      <c r="F596" t="s">
        <v>26</v>
      </c>
      <c r="G596" t="s">
        <v>21</v>
      </c>
      <c r="H596" t="s">
        <v>22</v>
      </c>
      <c r="I596">
        <v>3409</v>
      </c>
      <c r="J596">
        <v>3155</v>
      </c>
      <c r="K596">
        <v>2943</v>
      </c>
      <c r="L596">
        <v>169</v>
      </c>
      <c r="M596">
        <v>115</v>
      </c>
      <c r="N596">
        <v>3</v>
      </c>
      <c r="O596">
        <v>390.23</v>
      </c>
      <c r="P596">
        <v>2351.65</v>
      </c>
      <c r="Q596" s="5">
        <f t="shared" si="72"/>
        <v>0.93280507131537238</v>
      </c>
      <c r="R596" s="5">
        <f t="shared" si="73"/>
        <v>5.7424396873938161E-2</v>
      </c>
      <c r="S596" s="5">
        <f t="shared" si="74"/>
        <v>0.68047337278106512</v>
      </c>
      <c r="T596" s="5">
        <f t="shared" si="75"/>
        <v>2.6086956521739129E-2</v>
      </c>
      <c r="U596" s="5">
        <f t="shared" si="76"/>
        <v>1.0193679918450561E-3</v>
      </c>
      <c r="V596" s="6">
        <f t="shared" si="77"/>
        <v>3.3933043478260871</v>
      </c>
      <c r="W596" s="7">
        <f t="shared" si="78"/>
        <v>2.3090532544378699</v>
      </c>
      <c r="X596" s="5">
        <f t="shared" si="79"/>
        <v>5.0263178125720724</v>
      </c>
    </row>
    <row r="597" spans="1:24" x14ac:dyDescent="0.35">
      <c r="A597" s="3">
        <v>46122</v>
      </c>
      <c r="B597" t="s">
        <v>885</v>
      </c>
      <c r="C597" t="s">
        <v>886</v>
      </c>
      <c r="D597" t="s">
        <v>31</v>
      </c>
      <c r="E597" t="s">
        <v>25</v>
      </c>
      <c r="F597" t="s">
        <v>20</v>
      </c>
      <c r="G597" t="s">
        <v>36</v>
      </c>
      <c r="H597" t="s">
        <v>37</v>
      </c>
      <c r="I597">
        <v>4370</v>
      </c>
      <c r="J597">
        <v>3870</v>
      </c>
      <c r="K597">
        <v>3686</v>
      </c>
      <c r="L597">
        <v>95</v>
      </c>
      <c r="M597">
        <v>40</v>
      </c>
      <c r="N597">
        <v>1</v>
      </c>
      <c r="O597">
        <v>604.21</v>
      </c>
      <c r="P597">
        <v>1334.07</v>
      </c>
      <c r="Q597" s="5">
        <f t="shared" si="72"/>
        <v>0.95245478036175713</v>
      </c>
      <c r="R597" s="5">
        <f t="shared" si="73"/>
        <v>2.5773195876288658E-2</v>
      </c>
      <c r="S597" s="5">
        <f t="shared" si="74"/>
        <v>0.42105263157894735</v>
      </c>
      <c r="T597" s="5">
        <f t="shared" si="75"/>
        <v>2.5000000000000001E-2</v>
      </c>
      <c r="U597" s="5">
        <f t="shared" si="76"/>
        <v>2.7129679869777537E-4</v>
      </c>
      <c r="V597" s="6">
        <f t="shared" si="77"/>
        <v>15.105250000000002</v>
      </c>
      <c r="W597" s="7">
        <f t="shared" si="78"/>
        <v>6.3601052631578954</v>
      </c>
      <c r="X597" s="5">
        <f t="shared" si="79"/>
        <v>1.207957498220817</v>
      </c>
    </row>
    <row r="598" spans="1:24" x14ac:dyDescent="0.35">
      <c r="A598" s="3">
        <v>46122</v>
      </c>
      <c r="B598" t="s">
        <v>887</v>
      </c>
      <c r="C598" t="s">
        <v>888</v>
      </c>
      <c r="D598" t="s">
        <v>40</v>
      </c>
      <c r="E598" t="s">
        <v>19</v>
      </c>
      <c r="F598" t="s">
        <v>26</v>
      </c>
      <c r="G598" t="s">
        <v>21</v>
      </c>
      <c r="H598" t="s">
        <v>48</v>
      </c>
      <c r="I598">
        <v>3798</v>
      </c>
      <c r="J598">
        <v>3270</v>
      </c>
      <c r="K598">
        <v>3024</v>
      </c>
      <c r="L598">
        <v>112</v>
      </c>
      <c r="M598">
        <v>76</v>
      </c>
      <c r="N598">
        <v>2</v>
      </c>
      <c r="O598">
        <v>450.28</v>
      </c>
      <c r="P598">
        <v>1915.55</v>
      </c>
      <c r="Q598" s="5">
        <f t="shared" si="72"/>
        <v>0.92477064220183491</v>
      </c>
      <c r="R598" s="5">
        <f t="shared" si="73"/>
        <v>3.7037037037037035E-2</v>
      </c>
      <c r="S598" s="5">
        <f t="shared" si="74"/>
        <v>0.6785714285714286</v>
      </c>
      <c r="T598" s="5">
        <f t="shared" si="75"/>
        <v>2.6315789473684209E-2</v>
      </c>
      <c r="U598" s="5">
        <f t="shared" si="76"/>
        <v>6.6137566137566134E-4</v>
      </c>
      <c r="V598" s="6">
        <f t="shared" si="77"/>
        <v>5.9247368421052631</v>
      </c>
      <c r="W598" s="7">
        <f t="shared" si="78"/>
        <v>4.0203571428571427</v>
      </c>
      <c r="X598" s="5">
        <f t="shared" si="79"/>
        <v>3.2541307630807501</v>
      </c>
    </row>
    <row r="599" spans="1:24" x14ac:dyDescent="0.35">
      <c r="A599" s="3">
        <v>46122</v>
      </c>
      <c r="B599" t="s">
        <v>889</v>
      </c>
      <c r="C599" t="s">
        <v>890</v>
      </c>
      <c r="D599" t="s">
        <v>40</v>
      </c>
      <c r="E599" t="s">
        <v>25</v>
      </c>
      <c r="F599" t="s">
        <v>20</v>
      </c>
      <c r="G599" t="s">
        <v>59</v>
      </c>
      <c r="H599" t="s">
        <v>28</v>
      </c>
      <c r="I599">
        <v>3713</v>
      </c>
      <c r="J599">
        <v>3502</v>
      </c>
      <c r="K599">
        <v>3285</v>
      </c>
      <c r="L599">
        <v>119</v>
      </c>
      <c r="M599">
        <v>61</v>
      </c>
      <c r="N599">
        <v>2</v>
      </c>
      <c r="O599">
        <v>523.54999999999995</v>
      </c>
      <c r="P599">
        <v>2077.58</v>
      </c>
      <c r="Q599" s="5">
        <f t="shared" si="72"/>
        <v>0.93803540833809251</v>
      </c>
      <c r="R599" s="5">
        <f t="shared" si="73"/>
        <v>3.6225266362252664E-2</v>
      </c>
      <c r="S599" s="5">
        <f t="shared" si="74"/>
        <v>0.51260504201680668</v>
      </c>
      <c r="T599" s="5">
        <f t="shared" si="75"/>
        <v>3.2786885245901641E-2</v>
      </c>
      <c r="U599" s="5">
        <f t="shared" si="76"/>
        <v>6.0882800608828011E-4</v>
      </c>
      <c r="V599" s="6">
        <f t="shared" si="77"/>
        <v>8.5827868852459002</v>
      </c>
      <c r="W599" s="7">
        <f t="shared" si="78"/>
        <v>4.3995798319327726</v>
      </c>
      <c r="X599" s="5">
        <f t="shared" si="79"/>
        <v>2.9682551809760294</v>
      </c>
    </row>
    <row r="600" spans="1:24" x14ac:dyDescent="0.35">
      <c r="A600" s="3">
        <v>46122</v>
      </c>
      <c r="B600" t="s">
        <v>871</v>
      </c>
      <c r="C600" t="s">
        <v>891</v>
      </c>
      <c r="D600" t="s">
        <v>34</v>
      </c>
      <c r="E600" t="s">
        <v>56</v>
      </c>
      <c r="F600" t="s">
        <v>20</v>
      </c>
      <c r="G600" t="s">
        <v>41</v>
      </c>
      <c r="H600" t="s">
        <v>48</v>
      </c>
      <c r="I600">
        <v>1276</v>
      </c>
      <c r="J600">
        <v>1115</v>
      </c>
      <c r="K600">
        <v>1041</v>
      </c>
      <c r="L600">
        <v>45</v>
      </c>
      <c r="M600">
        <v>21</v>
      </c>
      <c r="N600">
        <v>1</v>
      </c>
      <c r="O600">
        <v>95.12</v>
      </c>
      <c r="P600">
        <v>956.59</v>
      </c>
      <c r="Q600" s="5">
        <f t="shared" si="72"/>
        <v>0.9336322869955157</v>
      </c>
      <c r="R600" s="5">
        <f t="shared" si="73"/>
        <v>4.3227665706051875E-2</v>
      </c>
      <c r="S600" s="5">
        <f t="shared" si="74"/>
        <v>0.46666666666666667</v>
      </c>
      <c r="T600" s="5">
        <f t="shared" si="75"/>
        <v>4.7619047619047616E-2</v>
      </c>
      <c r="U600" s="5">
        <f t="shared" si="76"/>
        <v>9.6061479346781938E-4</v>
      </c>
      <c r="V600" s="6">
        <f t="shared" si="77"/>
        <v>4.52952380952381</v>
      </c>
      <c r="W600" s="7">
        <f t="shared" si="78"/>
        <v>2.113777777777778</v>
      </c>
      <c r="X600" s="5">
        <f t="shared" si="79"/>
        <v>9.0566652649285118</v>
      </c>
    </row>
    <row r="601" spans="1:24" x14ac:dyDescent="0.35">
      <c r="A601" s="3">
        <v>46122</v>
      </c>
      <c r="B601" t="s">
        <v>892</v>
      </c>
      <c r="C601" t="s">
        <v>893</v>
      </c>
      <c r="D601" t="s">
        <v>18</v>
      </c>
      <c r="E601" t="s">
        <v>35</v>
      </c>
      <c r="F601" t="s">
        <v>26</v>
      </c>
      <c r="G601" t="s">
        <v>36</v>
      </c>
      <c r="H601" t="s">
        <v>48</v>
      </c>
      <c r="I601">
        <v>858</v>
      </c>
      <c r="J601">
        <v>663</v>
      </c>
      <c r="K601">
        <v>606</v>
      </c>
      <c r="L601">
        <v>69</v>
      </c>
      <c r="M601">
        <v>42</v>
      </c>
      <c r="N601">
        <v>4</v>
      </c>
      <c r="O601">
        <v>84.45</v>
      </c>
      <c r="P601">
        <v>3613.16</v>
      </c>
      <c r="Q601" s="5">
        <f t="shared" si="72"/>
        <v>0.91402714932126694</v>
      </c>
      <c r="R601" s="5">
        <f t="shared" si="73"/>
        <v>0.11386138613861387</v>
      </c>
      <c r="S601" s="5">
        <f t="shared" si="74"/>
        <v>0.60869565217391308</v>
      </c>
      <c r="T601" s="5">
        <f t="shared" si="75"/>
        <v>9.5238095238095233E-2</v>
      </c>
      <c r="U601" s="5">
        <f t="shared" si="76"/>
        <v>6.6006600660066007E-3</v>
      </c>
      <c r="V601" s="6">
        <f t="shared" si="77"/>
        <v>2.0107142857142857</v>
      </c>
      <c r="W601" s="7">
        <f t="shared" si="78"/>
        <v>1.223913043478261</v>
      </c>
      <c r="X601" s="5">
        <f t="shared" si="79"/>
        <v>41.784606275902902</v>
      </c>
    </row>
    <row r="602" spans="1:24" x14ac:dyDescent="0.35">
      <c r="A602" s="3">
        <v>46122</v>
      </c>
      <c r="B602" t="s">
        <v>865</v>
      </c>
      <c r="C602" t="s">
        <v>894</v>
      </c>
      <c r="D602" t="s">
        <v>34</v>
      </c>
      <c r="E602" t="s">
        <v>19</v>
      </c>
      <c r="F602" t="s">
        <v>20</v>
      </c>
      <c r="G602" t="s">
        <v>41</v>
      </c>
      <c r="H602" t="s">
        <v>37</v>
      </c>
      <c r="I602">
        <v>1421</v>
      </c>
      <c r="J602">
        <v>1304</v>
      </c>
      <c r="K602">
        <v>1252</v>
      </c>
      <c r="L602">
        <v>28</v>
      </c>
      <c r="M602">
        <v>13</v>
      </c>
      <c r="N602">
        <v>0</v>
      </c>
      <c r="O602">
        <v>124.1</v>
      </c>
      <c r="P602">
        <v>0</v>
      </c>
      <c r="Q602" s="5">
        <f t="shared" si="72"/>
        <v>0.96012269938650308</v>
      </c>
      <c r="R602" s="5">
        <f t="shared" si="73"/>
        <v>2.2364217252396165E-2</v>
      </c>
      <c r="S602" s="5">
        <f t="shared" si="74"/>
        <v>0.4642857142857143</v>
      </c>
      <c r="T602" s="5">
        <f t="shared" si="75"/>
        <v>0</v>
      </c>
      <c r="U602" s="5">
        <f t="shared" si="76"/>
        <v>0</v>
      </c>
      <c r="V602" s="6">
        <f t="shared" si="77"/>
        <v>9.546153846153846</v>
      </c>
      <c r="W602" s="7">
        <f t="shared" si="78"/>
        <v>4.4321428571428569</v>
      </c>
      <c r="X602" s="5">
        <f t="shared" si="79"/>
        <v>-1</v>
      </c>
    </row>
    <row r="603" spans="1:24" x14ac:dyDescent="0.35">
      <c r="A603" s="3">
        <v>46122</v>
      </c>
      <c r="B603" t="s">
        <v>796</v>
      </c>
      <c r="C603" t="s">
        <v>895</v>
      </c>
      <c r="D603" t="s">
        <v>18</v>
      </c>
      <c r="E603" t="s">
        <v>35</v>
      </c>
      <c r="F603" t="s">
        <v>20</v>
      </c>
      <c r="G603" t="s">
        <v>41</v>
      </c>
      <c r="H603" t="s">
        <v>22</v>
      </c>
      <c r="I603">
        <v>3263</v>
      </c>
      <c r="J603">
        <v>3141</v>
      </c>
      <c r="K603">
        <v>2812</v>
      </c>
      <c r="L603">
        <v>213</v>
      </c>
      <c r="M603">
        <v>101</v>
      </c>
      <c r="N603">
        <v>9</v>
      </c>
      <c r="O603">
        <v>337.04</v>
      </c>
      <c r="P603">
        <v>9548.86</v>
      </c>
      <c r="Q603" s="5">
        <f t="shared" si="72"/>
        <v>0.89525628780643107</v>
      </c>
      <c r="R603" s="5">
        <f t="shared" si="73"/>
        <v>7.5746799431009953E-2</v>
      </c>
      <c r="S603" s="5">
        <f t="shared" si="74"/>
        <v>0.47417840375586856</v>
      </c>
      <c r="T603" s="5">
        <f t="shared" si="75"/>
        <v>8.9108910891089105E-2</v>
      </c>
      <c r="U603" s="5">
        <f t="shared" si="76"/>
        <v>3.2005689900426741E-3</v>
      </c>
      <c r="V603" s="6">
        <f t="shared" si="77"/>
        <v>3.3370297029702973</v>
      </c>
      <c r="W603" s="7">
        <f t="shared" si="78"/>
        <v>1.5823474178403756</v>
      </c>
      <c r="X603" s="5">
        <f t="shared" si="79"/>
        <v>27.331533349157368</v>
      </c>
    </row>
    <row r="604" spans="1:24" x14ac:dyDescent="0.35">
      <c r="A604" s="3">
        <v>46123</v>
      </c>
      <c r="B604" t="s">
        <v>896</v>
      </c>
      <c r="C604" t="s">
        <v>897</v>
      </c>
      <c r="D604" t="s">
        <v>34</v>
      </c>
      <c r="E604" t="s">
        <v>25</v>
      </c>
      <c r="F604" t="s">
        <v>26</v>
      </c>
      <c r="G604" t="s">
        <v>21</v>
      </c>
      <c r="H604" t="s">
        <v>28</v>
      </c>
      <c r="I604">
        <v>2690</v>
      </c>
      <c r="J604">
        <v>2122</v>
      </c>
      <c r="K604">
        <v>2000</v>
      </c>
      <c r="L604">
        <v>91</v>
      </c>
      <c r="M604">
        <v>51</v>
      </c>
      <c r="N604">
        <v>2</v>
      </c>
      <c r="O604">
        <v>195.1</v>
      </c>
      <c r="P604">
        <v>2002.7</v>
      </c>
      <c r="Q604" s="5">
        <f t="shared" si="72"/>
        <v>0.94250706880301605</v>
      </c>
      <c r="R604" s="5">
        <f t="shared" si="73"/>
        <v>4.5499999999999999E-2</v>
      </c>
      <c r="S604" s="5">
        <f t="shared" si="74"/>
        <v>0.56043956043956045</v>
      </c>
      <c r="T604" s="5">
        <f t="shared" si="75"/>
        <v>3.9215686274509803E-2</v>
      </c>
      <c r="U604" s="5">
        <f t="shared" si="76"/>
        <v>1E-3</v>
      </c>
      <c r="V604" s="6">
        <f t="shared" si="77"/>
        <v>3.8254901960784311</v>
      </c>
      <c r="W604" s="7">
        <f t="shared" si="78"/>
        <v>2.1439560439560439</v>
      </c>
      <c r="X604" s="5">
        <f t="shared" si="79"/>
        <v>9.2649923116350603</v>
      </c>
    </row>
    <row r="605" spans="1:24" x14ac:dyDescent="0.35">
      <c r="A605" s="3">
        <v>46123</v>
      </c>
      <c r="B605" t="s">
        <v>887</v>
      </c>
      <c r="C605" t="s">
        <v>898</v>
      </c>
      <c r="D605" t="s">
        <v>34</v>
      </c>
      <c r="E605" t="s">
        <v>25</v>
      </c>
      <c r="F605" t="s">
        <v>20</v>
      </c>
      <c r="G605" t="s">
        <v>36</v>
      </c>
      <c r="H605" t="s">
        <v>37</v>
      </c>
      <c r="I605">
        <v>2724</v>
      </c>
      <c r="J605">
        <v>2489</v>
      </c>
      <c r="K605">
        <v>2408</v>
      </c>
      <c r="L605">
        <v>68</v>
      </c>
      <c r="M605">
        <v>27</v>
      </c>
      <c r="N605">
        <v>1</v>
      </c>
      <c r="O605">
        <v>224.24</v>
      </c>
      <c r="P605">
        <v>1007.14</v>
      </c>
      <c r="Q605" s="5">
        <f t="shared" si="72"/>
        <v>0.96745680996384087</v>
      </c>
      <c r="R605" s="5">
        <f t="shared" si="73"/>
        <v>2.823920265780731E-2</v>
      </c>
      <c r="S605" s="5">
        <f t="shared" si="74"/>
        <v>0.39705882352941174</v>
      </c>
      <c r="T605" s="5">
        <f t="shared" si="75"/>
        <v>3.7037037037037035E-2</v>
      </c>
      <c r="U605" s="5">
        <f t="shared" si="76"/>
        <v>4.1528239202657808E-4</v>
      </c>
      <c r="V605" s="6">
        <f t="shared" si="77"/>
        <v>8.3051851851851861</v>
      </c>
      <c r="W605" s="7">
        <f t="shared" si="78"/>
        <v>3.2976470588235296</v>
      </c>
      <c r="X605" s="5">
        <f t="shared" si="79"/>
        <v>3.4913485551195147</v>
      </c>
    </row>
    <row r="606" spans="1:24" x14ac:dyDescent="0.35">
      <c r="A606" s="3">
        <v>46123</v>
      </c>
      <c r="B606" t="s">
        <v>899</v>
      </c>
      <c r="C606" t="s">
        <v>900</v>
      </c>
      <c r="D606" t="s">
        <v>34</v>
      </c>
      <c r="E606" t="s">
        <v>19</v>
      </c>
      <c r="F606" t="s">
        <v>20</v>
      </c>
      <c r="G606" t="s">
        <v>36</v>
      </c>
      <c r="H606" t="s">
        <v>22</v>
      </c>
      <c r="I606">
        <v>1755</v>
      </c>
      <c r="J606">
        <v>1281</v>
      </c>
      <c r="K606">
        <v>1214</v>
      </c>
      <c r="L606">
        <v>18</v>
      </c>
      <c r="M606">
        <v>7</v>
      </c>
      <c r="N606">
        <v>0</v>
      </c>
      <c r="O606">
        <v>96.17</v>
      </c>
      <c r="P606">
        <v>0</v>
      </c>
      <c r="Q606" s="5">
        <f t="shared" si="72"/>
        <v>0.94769711163153791</v>
      </c>
      <c r="R606" s="5">
        <f t="shared" si="73"/>
        <v>1.4827018121911038E-2</v>
      </c>
      <c r="S606" s="5">
        <f t="shared" si="74"/>
        <v>0.3888888888888889</v>
      </c>
      <c r="T606" s="5">
        <f t="shared" si="75"/>
        <v>0</v>
      </c>
      <c r="U606" s="5">
        <f t="shared" si="76"/>
        <v>0</v>
      </c>
      <c r="V606" s="6">
        <f t="shared" si="77"/>
        <v>13.738571428571429</v>
      </c>
      <c r="W606" s="7">
        <f t="shared" si="78"/>
        <v>5.3427777777777781</v>
      </c>
      <c r="X606" s="5">
        <f t="shared" si="79"/>
        <v>-1</v>
      </c>
    </row>
    <row r="607" spans="1:24" x14ac:dyDescent="0.35">
      <c r="A607" s="3">
        <v>46123</v>
      </c>
      <c r="B607" t="s">
        <v>788</v>
      </c>
      <c r="C607" t="s">
        <v>901</v>
      </c>
      <c r="D607" t="s">
        <v>31</v>
      </c>
      <c r="E607" t="s">
        <v>56</v>
      </c>
      <c r="F607" t="s">
        <v>20</v>
      </c>
      <c r="G607" t="s">
        <v>27</v>
      </c>
      <c r="H607" t="s">
        <v>48</v>
      </c>
      <c r="I607">
        <v>1167</v>
      </c>
      <c r="J607">
        <v>904</v>
      </c>
      <c r="K607">
        <v>852</v>
      </c>
      <c r="L607">
        <v>18</v>
      </c>
      <c r="M607">
        <v>7</v>
      </c>
      <c r="N607">
        <v>0</v>
      </c>
      <c r="O607">
        <v>182.13</v>
      </c>
      <c r="P607">
        <v>0</v>
      </c>
      <c r="Q607" s="5">
        <f t="shared" si="72"/>
        <v>0.94247787610619471</v>
      </c>
      <c r="R607" s="5">
        <f t="shared" si="73"/>
        <v>2.1126760563380281E-2</v>
      </c>
      <c r="S607" s="5">
        <f t="shared" si="74"/>
        <v>0.3888888888888889</v>
      </c>
      <c r="T607" s="5">
        <f t="shared" si="75"/>
        <v>0</v>
      </c>
      <c r="U607" s="5">
        <f t="shared" si="76"/>
        <v>0</v>
      </c>
      <c r="V607" s="6">
        <f t="shared" si="77"/>
        <v>26.018571428571427</v>
      </c>
      <c r="W607" s="7">
        <f t="shared" si="78"/>
        <v>10.118333333333332</v>
      </c>
      <c r="X607" s="5">
        <f t="shared" si="79"/>
        <v>-1</v>
      </c>
    </row>
    <row r="608" spans="1:24" x14ac:dyDescent="0.35">
      <c r="A608" s="3">
        <v>46123</v>
      </c>
      <c r="B608" t="s">
        <v>902</v>
      </c>
      <c r="C608" t="s">
        <v>903</v>
      </c>
      <c r="D608" t="s">
        <v>18</v>
      </c>
      <c r="E608" t="s">
        <v>35</v>
      </c>
      <c r="F608" t="s">
        <v>20</v>
      </c>
      <c r="G608" t="s">
        <v>59</v>
      </c>
      <c r="H608" t="s">
        <v>28</v>
      </c>
      <c r="I608">
        <v>1175</v>
      </c>
      <c r="J608">
        <v>1165</v>
      </c>
      <c r="K608">
        <v>1065</v>
      </c>
      <c r="L608">
        <v>74</v>
      </c>
      <c r="M608">
        <v>39</v>
      </c>
      <c r="N608">
        <v>2</v>
      </c>
      <c r="O608">
        <v>157.18</v>
      </c>
      <c r="P608">
        <v>1657.79</v>
      </c>
      <c r="Q608" s="5">
        <f t="shared" si="72"/>
        <v>0.91416309012875541</v>
      </c>
      <c r="R608" s="5">
        <f t="shared" si="73"/>
        <v>6.9483568075117366E-2</v>
      </c>
      <c r="S608" s="5">
        <f t="shared" si="74"/>
        <v>0.52702702702702697</v>
      </c>
      <c r="T608" s="5">
        <f t="shared" si="75"/>
        <v>5.128205128205128E-2</v>
      </c>
      <c r="U608" s="5">
        <f t="shared" si="76"/>
        <v>1.8779342723004694E-3</v>
      </c>
      <c r="V608" s="6">
        <f t="shared" si="77"/>
        <v>4.0302564102564107</v>
      </c>
      <c r="W608" s="7">
        <f t="shared" si="78"/>
        <v>2.1240540540540542</v>
      </c>
      <c r="X608" s="5">
        <f t="shared" si="79"/>
        <v>9.5470797811426387</v>
      </c>
    </row>
    <row r="609" spans="1:24" x14ac:dyDescent="0.35">
      <c r="A609" s="3">
        <v>46124</v>
      </c>
      <c r="B609" t="s">
        <v>904</v>
      </c>
      <c r="C609" t="s">
        <v>905</v>
      </c>
      <c r="D609" t="s">
        <v>34</v>
      </c>
      <c r="E609" t="s">
        <v>56</v>
      </c>
      <c r="F609" t="s">
        <v>20</v>
      </c>
      <c r="G609" t="s">
        <v>59</v>
      </c>
      <c r="H609" t="s">
        <v>51</v>
      </c>
      <c r="I609">
        <v>3638</v>
      </c>
      <c r="J609">
        <v>3149</v>
      </c>
      <c r="K609">
        <v>2976</v>
      </c>
      <c r="L609">
        <v>151</v>
      </c>
      <c r="M609">
        <v>67</v>
      </c>
      <c r="N609">
        <v>3</v>
      </c>
      <c r="O609">
        <v>269.08</v>
      </c>
      <c r="P609">
        <v>3967.33</v>
      </c>
      <c r="Q609" s="5">
        <f t="shared" si="72"/>
        <v>0.94506192442045089</v>
      </c>
      <c r="R609" s="5">
        <f t="shared" si="73"/>
        <v>5.0739247311827954E-2</v>
      </c>
      <c r="S609" s="5">
        <f t="shared" si="74"/>
        <v>0.44370860927152317</v>
      </c>
      <c r="T609" s="5">
        <f t="shared" si="75"/>
        <v>4.4776119402985072E-2</v>
      </c>
      <c r="U609" s="5">
        <f t="shared" si="76"/>
        <v>1.0080645161290322E-3</v>
      </c>
      <c r="V609" s="6">
        <f t="shared" si="77"/>
        <v>4.0161194029850744</v>
      </c>
      <c r="W609" s="7">
        <f t="shared" si="78"/>
        <v>1.7819867549668873</v>
      </c>
      <c r="X609" s="5">
        <f t="shared" si="79"/>
        <v>13.744053812992419</v>
      </c>
    </row>
    <row r="610" spans="1:24" x14ac:dyDescent="0.35">
      <c r="A610" s="3">
        <v>46124</v>
      </c>
      <c r="B610" t="s">
        <v>906</v>
      </c>
      <c r="C610" t="s">
        <v>907</v>
      </c>
      <c r="D610" t="s">
        <v>31</v>
      </c>
      <c r="E610" t="s">
        <v>25</v>
      </c>
      <c r="F610" t="s">
        <v>20</v>
      </c>
      <c r="G610" t="s">
        <v>41</v>
      </c>
      <c r="H610" t="s">
        <v>51</v>
      </c>
      <c r="I610">
        <v>2483</v>
      </c>
      <c r="J610">
        <v>2228</v>
      </c>
      <c r="K610">
        <v>2148</v>
      </c>
      <c r="L610">
        <v>39</v>
      </c>
      <c r="M610">
        <v>13</v>
      </c>
      <c r="N610">
        <v>1</v>
      </c>
      <c r="O610">
        <v>478.08</v>
      </c>
      <c r="P610">
        <v>679.88</v>
      </c>
      <c r="Q610" s="5">
        <f t="shared" si="72"/>
        <v>0.96409335727109513</v>
      </c>
      <c r="R610" s="5">
        <f t="shared" si="73"/>
        <v>1.8156424581005588E-2</v>
      </c>
      <c r="S610" s="5">
        <f t="shared" si="74"/>
        <v>0.33333333333333331</v>
      </c>
      <c r="T610" s="5">
        <f t="shared" si="75"/>
        <v>7.6923076923076927E-2</v>
      </c>
      <c r="U610" s="5">
        <f t="shared" si="76"/>
        <v>4.6554934823091247E-4</v>
      </c>
      <c r="V610" s="6">
        <f t="shared" si="77"/>
        <v>36.775384615384617</v>
      </c>
      <c r="W610" s="7">
        <f t="shared" si="78"/>
        <v>12.258461538461537</v>
      </c>
      <c r="X610" s="5">
        <f t="shared" si="79"/>
        <v>0.4221050870147256</v>
      </c>
    </row>
    <row r="611" spans="1:24" x14ac:dyDescent="0.35">
      <c r="A611" s="3">
        <v>46124</v>
      </c>
      <c r="B611" t="s">
        <v>906</v>
      </c>
      <c r="C611" t="s">
        <v>908</v>
      </c>
      <c r="D611" t="s">
        <v>34</v>
      </c>
      <c r="E611" t="s">
        <v>19</v>
      </c>
      <c r="F611" t="s">
        <v>20</v>
      </c>
      <c r="G611" t="s">
        <v>41</v>
      </c>
      <c r="H611" t="s">
        <v>28</v>
      </c>
      <c r="I611">
        <v>764</v>
      </c>
      <c r="J611">
        <v>728</v>
      </c>
      <c r="K611">
        <v>701</v>
      </c>
      <c r="L611">
        <v>16</v>
      </c>
      <c r="M611">
        <v>8</v>
      </c>
      <c r="N611">
        <v>0</v>
      </c>
      <c r="O611">
        <v>62.43</v>
      </c>
      <c r="P611">
        <v>0</v>
      </c>
      <c r="Q611" s="5">
        <f t="shared" si="72"/>
        <v>0.96291208791208793</v>
      </c>
      <c r="R611" s="5">
        <f t="shared" si="73"/>
        <v>2.2824536376604851E-2</v>
      </c>
      <c r="S611" s="5">
        <f t="shared" si="74"/>
        <v>0.5</v>
      </c>
      <c r="T611" s="5">
        <f t="shared" si="75"/>
        <v>0</v>
      </c>
      <c r="U611" s="5">
        <f t="shared" si="76"/>
        <v>0</v>
      </c>
      <c r="V611" s="6">
        <f t="shared" si="77"/>
        <v>7.80375</v>
      </c>
      <c r="W611" s="7">
        <f t="shared" si="78"/>
        <v>3.901875</v>
      </c>
      <c r="X611" s="5">
        <f t="shared" si="79"/>
        <v>-1</v>
      </c>
    </row>
    <row r="612" spans="1:24" x14ac:dyDescent="0.35">
      <c r="A612" s="3">
        <v>46124</v>
      </c>
      <c r="B612" t="s">
        <v>842</v>
      </c>
      <c r="C612" t="s">
        <v>909</v>
      </c>
      <c r="D612" t="s">
        <v>34</v>
      </c>
      <c r="E612" t="s">
        <v>35</v>
      </c>
      <c r="F612" t="s">
        <v>26</v>
      </c>
      <c r="G612" t="s">
        <v>21</v>
      </c>
      <c r="H612" t="s">
        <v>48</v>
      </c>
      <c r="I612">
        <v>415</v>
      </c>
      <c r="J612">
        <v>364</v>
      </c>
      <c r="K612">
        <v>338</v>
      </c>
      <c r="L612">
        <v>29</v>
      </c>
      <c r="M612">
        <v>17</v>
      </c>
      <c r="N612">
        <v>2</v>
      </c>
      <c r="O612">
        <v>26.82</v>
      </c>
      <c r="P612">
        <v>1703.22</v>
      </c>
      <c r="Q612" s="5">
        <f t="shared" si="72"/>
        <v>0.9285714285714286</v>
      </c>
      <c r="R612" s="5">
        <f t="shared" si="73"/>
        <v>8.5798816568047331E-2</v>
      </c>
      <c r="S612" s="5">
        <f t="shared" si="74"/>
        <v>0.58620689655172409</v>
      </c>
      <c r="T612" s="5">
        <f t="shared" si="75"/>
        <v>0.11764705882352941</v>
      </c>
      <c r="U612" s="5">
        <f t="shared" si="76"/>
        <v>5.9171597633136093E-3</v>
      </c>
      <c r="V612" s="6">
        <f t="shared" si="77"/>
        <v>1.5776470588235294</v>
      </c>
      <c r="W612" s="7">
        <f t="shared" si="78"/>
        <v>0.92482758620689653</v>
      </c>
      <c r="X612" s="5">
        <f t="shared" si="79"/>
        <v>62.505592841163313</v>
      </c>
    </row>
    <row r="613" spans="1:24" x14ac:dyDescent="0.35">
      <c r="A613" s="3">
        <v>46124</v>
      </c>
      <c r="B613" t="s">
        <v>857</v>
      </c>
      <c r="C613" t="s">
        <v>910</v>
      </c>
      <c r="D613" t="s">
        <v>18</v>
      </c>
      <c r="E613" t="s">
        <v>19</v>
      </c>
      <c r="F613" t="s">
        <v>20</v>
      </c>
      <c r="G613" t="s">
        <v>36</v>
      </c>
      <c r="H613" t="s">
        <v>22</v>
      </c>
      <c r="I613">
        <v>3800</v>
      </c>
      <c r="J613">
        <v>3165</v>
      </c>
      <c r="K613">
        <v>2916</v>
      </c>
      <c r="L613">
        <v>83</v>
      </c>
      <c r="M613">
        <v>42</v>
      </c>
      <c r="N613">
        <v>1</v>
      </c>
      <c r="O613">
        <v>454.61</v>
      </c>
      <c r="P613">
        <v>602.87</v>
      </c>
      <c r="Q613" s="5">
        <f t="shared" si="72"/>
        <v>0.92132701421800944</v>
      </c>
      <c r="R613" s="5">
        <f t="shared" si="73"/>
        <v>2.8463648834019206E-2</v>
      </c>
      <c r="S613" s="5">
        <f t="shared" si="74"/>
        <v>0.50602409638554213</v>
      </c>
      <c r="T613" s="5">
        <f t="shared" si="75"/>
        <v>2.3809523809523808E-2</v>
      </c>
      <c r="U613" s="5">
        <f t="shared" si="76"/>
        <v>3.4293552812071328E-4</v>
      </c>
      <c r="V613" s="6">
        <f t="shared" si="77"/>
        <v>10.824047619047619</v>
      </c>
      <c r="W613" s="7">
        <f t="shared" si="78"/>
        <v>5.4772289156626508</v>
      </c>
      <c r="X613" s="5">
        <f t="shared" si="79"/>
        <v>0.32612569015199838</v>
      </c>
    </row>
    <row r="614" spans="1:24" x14ac:dyDescent="0.35">
      <c r="A614" s="3">
        <v>46124</v>
      </c>
      <c r="B614" t="s">
        <v>811</v>
      </c>
      <c r="C614" t="s">
        <v>911</v>
      </c>
      <c r="D614" t="s">
        <v>18</v>
      </c>
      <c r="E614" t="s">
        <v>25</v>
      </c>
      <c r="F614" t="s">
        <v>20</v>
      </c>
      <c r="G614" t="s">
        <v>27</v>
      </c>
      <c r="H614" t="s">
        <v>28</v>
      </c>
      <c r="I614">
        <v>939</v>
      </c>
      <c r="J614">
        <v>697</v>
      </c>
      <c r="K614">
        <v>638</v>
      </c>
      <c r="L614">
        <v>35</v>
      </c>
      <c r="M614">
        <v>19</v>
      </c>
      <c r="N614">
        <v>1</v>
      </c>
      <c r="O614">
        <v>91.14</v>
      </c>
      <c r="P614">
        <v>780.09</v>
      </c>
      <c r="Q614" s="5">
        <f t="shared" si="72"/>
        <v>0.91535150645624108</v>
      </c>
      <c r="R614" s="5">
        <f t="shared" si="73"/>
        <v>5.4858934169278999E-2</v>
      </c>
      <c r="S614" s="5">
        <f t="shared" si="74"/>
        <v>0.54285714285714282</v>
      </c>
      <c r="T614" s="5">
        <f t="shared" si="75"/>
        <v>5.2631578947368418E-2</v>
      </c>
      <c r="U614" s="5">
        <f t="shared" si="76"/>
        <v>1.567398119122257E-3</v>
      </c>
      <c r="V614" s="6">
        <f t="shared" si="77"/>
        <v>4.796842105263158</v>
      </c>
      <c r="W614" s="7">
        <f t="shared" si="78"/>
        <v>2.6040000000000001</v>
      </c>
      <c r="X614" s="5">
        <f t="shared" si="79"/>
        <v>7.5592495062541154</v>
      </c>
    </row>
    <row r="615" spans="1:24" x14ac:dyDescent="0.35">
      <c r="A615" s="3">
        <v>46125</v>
      </c>
      <c r="B615" t="s">
        <v>912</v>
      </c>
      <c r="C615" t="s">
        <v>913</v>
      </c>
      <c r="D615" t="s">
        <v>34</v>
      </c>
      <c r="E615" t="s">
        <v>25</v>
      </c>
      <c r="F615" t="s">
        <v>20</v>
      </c>
      <c r="G615" t="s">
        <v>59</v>
      </c>
      <c r="H615" t="s">
        <v>22</v>
      </c>
      <c r="I615">
        <v>3712</v>
      </c>
      <c r="J615">
        <v>2933</v>
      </c>
      <c r="K615">
        <v>2788</v>
      </c>
      <c r="L615">
        <v>65</v>
      </c>
      <c r="M615">
        <v>31</v>
      </c>
      <c r="N615">
        <v>1</v>
      </c>
      <c r="O615">
        <v>269.43</v>
      </c>
      <c r="P615">
        <v>1421.91</v>
      </c>
      <c r="Q615" s="5">
        <f t="shared" si="72"/>
        <v>0.9505625639277191</v>
      </c>
      <c r="R615" s="5">
        <f t="shared" si="73"/>
        <v>2.3314203730272598E-2</v>
      </c>
      <c r="S615" s="5">
        <f t="shared" si="74"/>
        <v>0.47692307692307695</v>
      </c>
      <c r="T615" s="5">
        <f t="shared" si="75"/>
        <v>3.2258064516129031E-2</v>
      </c>
      <c r="U615" s="5">
        <f t="shared" si="76"/>
        <v>3.586800573888092E-4</v>
      </c>
      <c r="V615" s="6">
        <f t="shared" si="77"/>
        <v>8.6912903225806453</v>
      </c>
      <c r="W615" s="7">
        <f t="shared" si="78"/>
        <v>4.1450769230769229</v>
      </c>
      <c r="X615" s="5">
        <f t="shared" si="79"/>
        <v>4.2774746687451284</v>
      </c>
    </row>
    <row r="616" spans="1:24" x14ac:dyDescent="0.35">
      <c r="A616" s="3">
        <v>46125</v>
      </c>
      <c r="B616" t="s">
        <v>823</v>
      </c>
      <c r="C616" t="s">
        <v>914</v>
      </c>
      <c r="D616" t="s">
        <v>31</v>
      </c>
      <c r="E616" t="s">
        <v>35</v>
      </c>
      <c r="F616" t="s">
        <v>20</v>
      </c>
      <c r="G616" t="s">
        <v>27</v>
      </c>
      <c r="H616" t="s">
        <v>48</v>
      </c>
      <c r="I616">
        <v>418</v>
      </c>
      <c r="J616">
        <v>409</v>
      </c>
      <c r="K616">
        <v>396</v>
      </c>
      <c r="L616">
        <v>24</v>
      </c>
      <c r="M616">
        <v>10</v>
      </c>
      <c r="N616">
        <v>1</v>
      </c>
      <c r="O616">
        <v>78.64</v>
      </c>
      <c r="P616">
        <v>1267.81</v>
      </c>
      <c r="Q616" s="5">
        <f t="shared" si="72"/>
        <v>0.9682151589242054</v>
      </c>
      <c r="R616" s="5">
        <f t="shared" si="73"/>
        <v>6.0606060606060608E-2</v>
      </c>
      <c r="S616" s="5">
        <f t="shared" si="74"/>
        <v>0.41666666666666669</v>
      </c>
      <c r="T616" s="5">
        <f t="shared" si="75"/>
        <v>0.1</v>
      </c>
      <c r="U616" s="5">
        <f t="shared" si="76"/>
        <v>2.5252525252525255E-3</v>
      </c>
      <c r="V616" s="6">
        <f t="shared" si="77"/>
        <v>7.8639999999999999</v>
      </c>
      <c r="W616" s="7">
        <f t="shared" si="78"/>
        <v>3.2766666666666668</v>
      </c>
      <c r="X616" s="5">
        <f t="shared" si="79"/>
        <v>15.12169379450661</v>
      </c>
    </row>
    <row r="617" spans="1:24" x14ac:dyDescent="0.35">
      <c r="A617" s="3">
        <v>46125</v>
      </c>
      <c r="B617" t="s">
        <v>852</v>
      </c>
      <c r="C617" t="s">
        <v>915</v>
      </c>
      <c r="D617" t="s">
        <v>34</v>
      </c>
      <c r="E617" t="s">
        <v>35</v>
      </c>
      <c r="F617" t="s">
        <v>20</v>
      </c>
      <c r="G617" t="s">
        <v>41</v>
      </c>
      <c r="H617" t="s">
        <v>22</v>
      </c>
      <c r="I617">
        <v>1332</v>
      </c>
      <c r="J617">
        <v>1300</v>
      </c>
      <c r="K617">
        <v>1238</v>
      </c>
      <c r="L617">
        <v>110</v>
      </c>
      <c r="M617">
        <v>49</v>
      </c>
      <c r="N617">
        <v>2</v>
      </c>
      <c r="O617">
        <v>114.07</v>
      </c>
      <c r="P617">
        <v>2325.17</v>
      </c>
      <c r="Q617" s="5">
        <f t="shared" si="72"/>
        <v>0.9523076923076923</v>
      </c>
      <c r="R617" s="5">
        <f t="shared" si="73"/>
        <v>8.8852988691437804E-2</v>
      </c>
      <c r="S617" s="5">
        <f t="shared" si="74"/>
        <v>0.44545454545454544</v>
      </c>
      <c r="T617" s="5">
        <f t="shared" si="75"/>
        <v>4.0816326530612242E-2</v>
      </c>
      <c r="U617" s="5">
        <f t="shared" si="76"/>
        <v>1.6155088852988692E-3</v>
      </c>
      <c r="V617" s="6">
        <f t="shared" si="77"/>
        <v>2.3279591836734692</v>
      </c>
      <c r="W617" s="7">
        <f t="shared" si="78"/>
        <v>1.0369999999999999</v>
      </c>
      <c r="X617" s="5">
        <f t="shared" si="79"/>
        <v>19.383711755939334</v>
      </c>
    </row>
    <row r="618" spans="1:24" x14ac:dyDescent="0.35">
      <c r="A618" s="3">
        <v>46125</v>
      </c>
      <c r="B618" t="s">
        <v>906</v>
      </c>
      <c r="C618" t="s">
        <v>916</v>
      </c>
      <c r="D618" t="s">
        <v>31</v>
      </c>
      <c r="E618" t="s">
        <v>19</v>
      </c>
      <c r="F618" t="s">
        <v>20</v>
      </c>
      <c r="G618" t="s">
        <v>21</v>
      </c>
      <c r="H618" t="s">
        <v>28</v>
      </c>
      <c r="I618">
        <v>1309</v>
      </c>
      <c r="J618">
        <v>1235</v>
      </c>
      <c r="K618">
        <v>1199</v>
      </c>
      <c r="L618">
        <v>11</v>
      </c>
      <c r="M618">
        <v>4</v>
      </c>
      <c r="N618">
        <v>0</v>
      </c>
      <c r="O618">
        <v>254.31</v>
      </c>
      <c r="P618">
        <v>0</v>
      </c>
      <c r="Q618" s="5">
        <f t="shared" si="72"/>
        <v>0.97085020242914977</v>
      </c>
      <c r="R618" s="5">
        <f t="shared" si="73"/>
        <v>9.1743119266055051E-3</v>
      </c>
      <c r="S618" s="5">
        <f t="shared" si="74"/>
        <v>0.36363636363636365</v>
      </c>
      <c r="T618" s="5">
        <f t="shared" si="75"/>
        <v>0</v>
      </c>
      <c r="U618" s="5">
        <f t="shared" si="76"/>
        <v>0</v>
      </c>
      <c r="V618" s="6">
        <f t="shared" si="77"/>
        <v>63.577500000000001</v>
      </c>
      <c r="W618" s="7">
        <f t="shared" si="78"/>
        <v>23.119090909090911</v>
      </c>
      <c r="X618" s="5">
        <f t="shared" si="79"/>
        <v>-1</v>
      </c>
    </row>
    <row r="619" spans="1:24" x14ac:dyDescent="0.35">
      <c r="A619" s="3">
        <v>46125</v>
      </c>
      <c r="B619" t="s">
        <v>917</v>
      </c>
      <c r="C619" t="s">
        <v>918</v>
      </c>
      <c r="D619" t="s">
        <v>31</v>
      </c>
      <c r="E619" t="s">
        <v>35</v>
      </c>
      <c r="F619" t="s">
        <v>26</v>
      </c>
      <c r="G619" t="s">
        <v>27</v>
      </c>
      <c r="H619" t="s">
        <v>22</v>
      </c>
      <c r="I619">
        <v>4826</v>
      </c>
      <c r="J619">
        <v>4095</v>
      </c>
      <c r="K619">
        <v>3877</v>
      </c>
      <c r="L619">
        <v>249</v>
      </c>
      <c r="M619">
        <v>117</v>
      </c>
      <c r="N619">
        <v>11</v>
      </c>
      <c r="O619">
        <v>812.8</v>
      </c>
      <c r="P619">
        <v>18639.05</v>
      </c>
      <c r="Q619" s="5">
        <f t="shared" si="72"/>
        <v>0.94676434676434673</v>
      </c>
      <c r="R619" s="5">
        <f t="shared" si="73"/>
        <v>6.4224916172298169E-2</v>
      </c>
      <c r="S619" s="5">
        <f t="shared" si="74"/>
        <v>0.46987951807228917</v>
      </c>
      <c r="T619" s="5">
        <f t="shared" si="75"/>
        <v>9.4017094017094016E-2</v>
      </c>
      <c r="U619" s="5">
        <f t="shared" si="76"/>
        <v>2.8372452927521281E-3</v>
      </c>
      <c r="V619" s="6">
        <f t="shared" si="77"/>
        <v>6.9470085470085463</v>
      </c>
      <c r="W619" s="7">
        <f t="shared" si="78"/>
        <v>3.2642570281124494</v>
      </c>
      <c r="X619" s="5">
        <f t="shared" si="79"/>
        <v>21.931902066929133</v>
      </c>
    </row>
    <row r="620" spans="1:24" x14ac:dyDescent="0.35">
      <c r="A620" s="3">
        <v>46125</v>
      </c>
      <c r="B620" t="s">
        <v>854</v>
      </c>
      <c r="C620" t="s">
        <v>919</v>
      </c>
      <c r="D620" t="s">
        <v>34</v>
      </c>
      <c r="E620" t="s">
        <v>56</v>
      </c>
      <c r="F620" t="s">
        <v>20</v>
      </c>
      <c r="G620" t="s">
        <v>59</v>
      </c>
      <c r="H620" t="s">
        <v>22</v>
      </c>
      <c r="I620">
        <v>1121</v>
      </c>
      <c r="J620">
        <v>955</v>
      </c>
      <c r="K620">
        <v>913</v>
      </c>
      <c r="L620">
        <v>59</v>
      </c>
      <c r="M620">
        <v>32</v>
      </c>
      <c r="N620">
        <v>2</v>
      </c>
      <c r="O620">
        <v>78.37</v>
      </c>
      <c r="P620">
        <v>1327.09</v>
      </c>
      <c r="Q620" s="5">
        <f t="shared" si="72"/>
        <v>0.95602094240837698</v>
      </c>
      <c r="R620" s="5">
        <f t="shared" si="73"/>
        <v>6.4622124863088715E-2</v>
      </c>
      <c r="S620" s="5">
        <f t="shared" si="74"/>
        <v>0.5423728813559322</v>
      </c>
      <c r="T620" s="5">
        <f t="shared" si="75"/>
        <v>6.25E-2</v>
      </c>
      <c r="U620" s="5">
        <f t="shared" si="76"/>
        <v>2.1905805038335158E-3</v>
      </c>
      <c r="V620" s="6">
        <f t="shared" si="77"/>
        <v>2.4490625000000001</v>
      </c>
      <c r="W620" s="7">
        <f t="shared" si="78"/>
        <v>1.3283050847457627</v>
      </c>
      <c r="X620" s="5">
        <f t="shared" si="79"/>
        <v>15.933648079622301</v>
      </c>
    </row>
    <row r="621" spans="1:24" x14ac:dyDescent="0.35">
      <c r="A621" s="3">
        <v>46125</v>
      </c>
      <c r="B621" t="s">
        <v>920</v>
      </c>
      <c r="C621" t="s">
        <v>921</v>
      </c>
      <c r="D621" t="s">
        <v>34</v>
      </c>
      <c r="E621" t="s">
        <v>56</v>
      </c>
      <c r="F621" t="s">
        <v>20</v>
      </c>
      <c r="G621" t="s">
        <v>36</v>
      </c>
      <c r="H621" t="s">
        <v>51</v>
      </c>
      <c r="I621">
        <v>1431</v>
      </c>
      <c r="J621">
        <v>1184</v>
      </c>
      <c r="K621">
        <v>1107</v>
      </c>
      <c r="L621">
        <v>50</v>
      </c>
      <c r="M621">
        <v>23</v>
      </c>
      <c r="N621">
        <v>1</v>
      </c>
      <c r="O621">
        <v>91.87</v>
      </c>
      <c r="P621">
        <v>830.78</v>
      </c>
      <c r="Q621" s="5">
        <f t="shared" si="72"/>
        <v>0.93496621621621623</v>
      </c>
      <c r="R621" s="5">
        <f t="shared" si="73"/>
        <v>4.5167118337850046E-2</v>
      </c>
      <c r="S621" s="5">
        <f t="shared" si="74"/>
        <v>0.46</v>
      </c>
      <c r="T621" s="5">
        <f t="shared" si="75"/>
        <v>4.3478260869565216E-2</v>
      </c>
      <c r="U621" s="5">
        <f t="shared" si="76"/>
        <v>9.0334236675700087E-4</v>
      </c>
      <c r="V621" s="6">
        <f t="shared" si="77"/>
        <v>3.9943478260869569</v>
      </c>
      <c r="W621" s="7">
        <f t="shared" si="78"/>
        <v>1.8374000000000001</v>
      </c>
      <c r="X621" s="5">
        <f t="shared" si="79"/>
        <v>8.0429955371720894</v>
      </c>
    </row>
    <row r="622" spans="1:24" x14ac:dyDescent="0.35">
      <c r="A622" s="3">
        <v>46125</v>
      </c>
      <c r="B622" t="s">
        <v>922</v>
      </c>
      <c r="C622" t="s">
        <v>923</v>
      </c>
      <c r="D622" t="s">
        <v>31</v>
      </c>
      <c r="E622" t="s">
        <v>56</v>
      </c>
      <c r="F622" t="s">
        <v>26</v>
      </c>
      <c r="G622" t="s">
        <v>21</v>
      </c>
      <c r="H622" t="s">
        <v>22</v>
      </c>
      <c r="I622">
        <v>625</v>
      </c>
      <c r="J622">
        <v>496</v>
      </c>
      <c r="K622">
        <v>467</v>
      </c>
      <c r="L622">
        <v>22</v>
      </c>
      <c r="M622">
        <v>12</v>
      </c>
      <c r="N622">
        <v>1</v>
      </c>
      <c r="O622">
        <v>98.43</v>
      </c>
      <c r="P622">
        <v>1515.26</v>
      </c>
      <c r="Q622" s="5">
        <f t="shared" si="72"/>
        <v>0.94153225806451613</v>
      </c>
      <c r="R622" s="5">
        <f t="shared" si="73"/>
        <v>4.7109207708779445E-2</v>
      </c>
      <c r="S622" s="5">
        <f t="shared" si="74"/>
        <v>0.54545454545454541</v>
      </c>
      <c r="T622" s="5">
        <f t="shared" si="75"/>
        <v>8.3333333333333329E-2</v>
      </c>
      <c r="U622" s="5">
        <f t="shared" si="76"/>
        <v>2.1413276231263384E-3</v>
      </c>
      <c r="V622" s="6">
        <f t="shared" si="77"/>
        <v>8.2025000000000006</v>
      </c>
      <c r="W622" s="7">
        <f t="shared" si="78"/>
        <v>4.4740909090909096</v>
      </c>
      <c r="X622" s="5">
        <f t="shared" si="79"/>
        <v>14.394290358630498</v>
      </c>
    </row>
    <row r="623" spans="1:24" x14ac:dyDescent="0.35">
      <c r="A623" s="3">
        <v>46125</v>
      </c>
      <c r="B623" t="s">
        <v>924</v>
      </c>
      <c r="C623" t="s">
        <v>925</v>
      </c>
      <c r="D623" t="s">
        <v>18</v>
      </c>
      <c r="E623" t="s">
        <v>25</v>
      </c>
      <c r="F623" t="s">
        <v>20</v>
      </c>
      <c r="G623" t="s">
        <v>27</v>
      </c>
      <c r="H623" t="s">
        <v>22</v>
      </c>
      <c r="I623">
        <v>2685</v>
      </c>
      <c r="J623">
        <v>2310</v>
      </c>
      <c r="K623">
        <v>2080</v>
      </c>
      <c r="L623">
        <v>80</v>
      </c>
      <c r="M623">
        <v>40</v>
      </c>
      <c r="N623">
        <v>1</v>
      </c>
      <c r="O623">
        <v>314.58</v>
      </c>
      <c r="P623">
        <v>954.56</v>
      </c>
      <c r="Q623" s="5">
        <f t="shared" si="72"/>
        <v>0.90043290043290047</v>
      </c>
      <c r="R623" s="5">
        <f t="shared" si="73"/>
        <v>3.8461538461538464E-2</v>
      </c>
      <c r="S623" s="5">
        <f t="shared" si="74"/>
        <v>0.5</v>
      </c>
      <c r="T623" s="5">
        <f t="shared" si="75"/>
        <v>2.5000000000000001E-2</v>
      </c>
      <c r="U623" s="5">
        <f t="shared" si="76"/>
        <v>4.807692307692308E-4</v>
      </c>
      <c r="V623" s="6">
        <f t="shared" si="77"/>
        <v>7.8644999999999996</v>
      </c>
      <c r="W623" s="7">
        <f t="shared" si="78"/>
        <v>3.9322499999999998</v>
      </c>
      <c r="X623" s="5">
        <f t="shared" si="79"/>
        <v>2.0343950664377903</v>
      </c>
    </row>
    <row r="624" spans="1:24" x14ac:dyDescent="0.35">
      <c r="A624" s="3">
        <v>46125</v>
      </c>
      <c r="B624" t="s">
        <v>902</v>
      </c>
      <c r="C624" t="s">
        <v>926</v>
      </c>
      <c r="D624" t="s">
        <v>18</v>
      </c>
      <c r="E624" t="s">
        <v>35</v>
      </c>
      <c r="F624" t="s">
        <v>20</v>
      </c>
      <c r="G624" t="s">
        <v>59</v>
      </c>
      <c r="H624" t="s">
        <v>37</v>
      </c>
      <c r="I624">
        <v>3702</v>
      </c>
      <c r="J624">
        <v>3653</v>
      </c>
      <c r="K624">
        <v>3298</v>
      </c>
      <c r="L624">
        <v>311</v>
      </c>
      <c r="M624">
        <v>158</v>
      </c>
      <c r="N624">
        <v>8</v>
      </c>
      <c r="O624">
        <v>396.81</v>
      </c>
      <c r="P624">
        <v>8680.1</v>
      </c>
      <c r="Q624" s="5">
        <f t="shared" si="72"/>
        <v>0.90281960032849717</v>
      </c>
      <c r="R624" s="5">
        <f t="shared" si="73"/>
        <v>9.4299575500303212E-2</v>
      </c>
      <c r="S624" s="5">
        <f t="shared" si="74"/>
        <v>0.50803858520900325</v>
      </c>
      <c r="T624" s="5">
        <f t="shared" si="75"/>
        <v>5.0632911392405063E-2</v>
      </c>
      <c r="U624" s="5">
        <f t="shared" si="76"/>
        <v>2.4257125530624622E-3</v>
      </c>
      <c r="V624" s="6">
        <f t="shared" si="77"/>
        <v>2.5114556962025318</v>
      </c>
      <c r="W624" s="7">
        <f t="shared" si="78"/>
        <v>1.2759163987138264</v>
      </c>
      <c r="X624" s="5">
        <f t="shared" si="79"/>
        <v>20.87470073838865</v>
      </c>
    </row>
    <row r="625" spans="1:24" x14ac:dyDescent="0.35">
      <c r="A625" s="3">
        <v>46125</v>
      </c>
      <c r="B625" t="s">
        <v>927</v>
      </c>
      <c r="C625" t="s">
        <v>928</v>
      </c>
      <c r="D625" t="s">
        <v>34</v>
      </c>
      <c r="E625" t="s">
        <v>56</v>
      </c>
      <c r="F625" t="s">
        <v>20</v>
      </c>
      <c r="G625" t="s">
        <v>59</v>
      </c>
      <c r="H625" t="s">
        <v>22</v>
      </c>
      <c r="I625">
        <v>2977</v>
      </c>
      <c r="J625">
        <v>2737</v>
      </c>
      <c r="K625">
        <v>2523</v>
      </c>
      <c r="L625">
        <v>131</v>
      </c>
      <c r="M625">
        <v>59</v>
      </c>
      <c r="N625">
        <v>2</v>
      </c>
      <c r="O625">
        <v>218.18</v>
      </c>
      <c r="P625">
        <v>2545.6999999999998</v>
      </c>
      <c r="Q625" s="5">
        <f t="shared" si="72"/>
        <v>0.92181220314212642</v>
      </c>
      <c r="R625" s="5">
        <f t="shared" si="73"/>
        <v>5.1922314704716609E-2</v>
      </c>
      <c r="S625" s="5">
        <f t="shared" si="74"/>
        <v>0.45038167938931295</v>
      </c>
      <c r="T625" s="5">
        <f t="shared" si="75"/>
        <v>3.3898305084745763E-2</v>
      </c>
      <c r="U625" s="5">
        <f t="shared" si="76"/>
        <v>7.9270709472849786E-4</v>
      </c>
      <c r="V625" s="6">
        <f t="shared" si="77"/>
        <v>3.6979661016949152</v>
      </c>
      <c r="W625" s="7">
        <f t="shared" si="78"/>
        <v>1.6654961832061068</v>
      </c>
      <c r="X625" s="5">
        <f t="shared" si="79"/>
        <v>10.667888899074159</v>
      </c>
    </row>
    <row r="626" spans="1:24" x14ac:dyDescent="0.35">
      <c r="A626" s="3">
        <v>46126</v>
      </c>
      <c r="B626" t="s">
        <v>854</v>
      </c>
      <c r="C626" t="s">
        <v>929</v>
      </c>
      <c r="D626" t="s">
        <v>18</v>
      </c>
      <c r="E626" t="s">
        <v>35</v>
      </c>
      <c r="F626" t="s">
        <v>20</v>
      </c>
      <c r="G626" t="s">
        <v>41</v>
      </c>
      <c r="H626" t="s">
        <v>51</v>
      </c>
      <c r="I626">
        <v>2981</v>
      </c>
      <c r="J626">
        <v>2597</v>
      </c>
      <c r="K626">
        <v>2342</v>
      </c>
      <c r="L626">
        <v>188</v>
      </c>
      <c r="M626">
        <v>89</v>
      </c>
      <c r="N626">
        <v>6</v>
      </c>
      <c r="O626">
        <v>370.16</v>
      </c>
      <c r="P626">
        <v>6993.61</v>
      </c>
      <c r="Q626" s="5">
        <f t="shared" si="72"/>
        <v>0.90180978051597993</v>
      </c>
      <c r="R626" s="5">
        <f t="shared" si="73"/>
        <v>8.0273270708795905E-2</v>
      </c>
      <c r="S626" s="5">
        <f t="shared" si="74"/>
        <v>0.47340425531914893</v>
      </c>
      <c r="T626" s="5">
        <f t="shared" si="75"/>
        <v>6.741573033707865E-2</v>
      </c>
      <c r="U626" s="5">
        <f t="shared" si="76"/>
        <v>2.5619128949615714E-3</v>
      </c>
      <c r="V626" s="6">
        <f t="shared" si="77"/>
        <v>4.159101123595506</v>
      </c>
      <c r="W626" s="7">
        <f t="shared" si="78"/>
        <v>1.9689361702127661</v>
      </c>
      <c r="X626" s="5">
        <f t="shared" si="79"/>
        <v>17.893478495785605</v>
      </c>
    </row>
    <row r="627" spans="1:24" x14ac:dyDescent="0.35">
      <c r="A627" s="3">
        <v>46126</v>
      </c>
      <c r="B627" t="s">
        <v>887</v>
      </c>
      <c r="C627" t="s">
        <v>930</v>
      </c>
      <c r="D627" t="s">
        <v>18</v>
      </c>
      <c r="E627" t="s">
        <v>56</v>
      </c>
      <c r="F627" t="s">
        <v>20</v>
      </c>
      <c r="G627" t="s">
        <v>59</v>
      </c>
      <c r="H627" t="s">
        <v>37</v>
      </c>
      <c r="I627">
        <v>2286</v>
      </c>
      <c r="J627">
        <v>2279</v>
      </c>
      <c r="K627">
        <v>2105</v>
      </c>
      <c r="L627">
        <v>138</v>
      </c>
      <c r="M627">
        <v>65</v>
      </c>
      <c r="N627">
        <v>4</v>
      </c>
      <c r="O627">
        <v>274.99</v>
      </c>
      <c r="P627">
        <v>4709.16</v>
      </c>
      <c r="Q627" s="5">
        <f t="shared" si="72"/>
        <v>0.92365072400175519</v>
      </c>
      <c r="R627" s="5">
        <f t="shared" si="73"/>
        <v>6.5558194774346795E-2</v>
      </c>
      <c r="S627" s="5">
        <f t="shared" si="74"/>
        <v>0.47101449275362317</v>
      </c>
      <c r="T627" s="5">
        <f t="shared" si="75"/>
        <v>6.1538461538461542E-2</v>
      </c>
      <c r="U627" s="5">
        <f t="shared" si="76"/>
        <v>1.9002375296912114E-3</v>
      </c>
      <c r="V627" s="6">
        <f t="shared" si="77"/>
        <v>4.2306153846153851</v>
      </c>
      <c r="W627" s="7">
        <f t="shared" si="78"/>
        <v>1.99268115942029</v>
      </c>
      <c r="X627" s="5">
        <f t="shared" si="79"/>
        <v>16.124840903305575</v>
      </c>
    </row>
    <row r="628" spans="1:24" x14ac:dyDescent="0.35">
      <c r="A628" s="3">
        <v>46126</v>
      </c>
      <c r="B628" t="s">
        <v>899</v>
      </c>
      <c r="C628" t="s">
        <v>931</v>
      </c>
      <c r="D628" t="s">
        <v>18</v>
      </c>
      <c r="E628" t="s">
        <v>25</v>
      </c>
      <c r="F628" t="s">
        <v>20</v>
      </c>
      <c r="G628" t="s">
        <v>59</v>
      </c>
      <c r="H628" t="s">
        <v>28</v>
      </c>
      <c r="I628">
        <v>4257</v>
      </c>
      <c r="J628">
        <v>4162</v>
      </c>
      <c r="K628">
        <v>3668</v>
      </c>
      <c r="L628">
        <v>114</v>
      </c>
      <c r="M628">
        <v>58</v>
      </c>
      <c r="N628">
        <v>3</v>
      </c>
      <c r="O628">
        <v>544.16999999999996</v>
      </c>
      <c r="P628">
        <v>3444.79</v>
      </c>
      <c r="Q628" s="5">
        <f t="shared" si="72"/>
        <v>0.88130706391158098</v>
      </c>
      <c r="R628" s="5">
        <f t="shared" si="73"/>
        <v>3.1079607415485277E-2</v>
      </c>
      <c r="S628" s="5">
        <f t="shared" si="74"/>
        <v>0.50877192982456143</v>
      </c>
      <c r="T628" s="5">
        <f t="shared" si="75"/>
        <v>5.1724137931034482E-2</v>
      </c>
      <c r="U628" s="5">
        <f t="shared" si="76"/>
        <v>8.178844056706652E-4</v>
      </c>
      <c r="V628" s="6">
        <f t="shared" si="77"/>
        <v>9.3822413793103436</v>
      </c>
      <c r="W628" s="7">
        <f t="shared" si="78"/>
        <v>4.773421052631579</v>
      </c>
      <c r="X628" s="5">
        <f t="shared" si="79"/>
        <v>5.330356322472757</v>
      </c>
    </row>
    <row r="629" spans="1:24" x14ac:dyDescent="0.35">
      <c r="A629" s="3">
        <v>46126</v>
      </c>
      <c r="B629" t="s">
        <v>800</v>
      </c>
      <c r="C629" t="s">
        <v>932</v>
      </c>
      <c r="D629" t="s">
        <v>40</v>
      </c>
      <c r="E629" t="s">
        <v>56</v>
      </c>
      <c r="F629" t="s">
        <v>20</v>
      </c>
      <c r="G629" t="s">
        <v>59</v>
      </c>
      <c r="H629" t="s">
        <v>37</v>
      </c>
      <c r="I629">
        <v>2205</v>
      </c>
      <c r="J629">
        <v>2096</v>
      </c>
      <c r="K629">
        <v>1978</v>
      </c>
      <c r="L629">
        <v>113</v>
      </c>
      <c r="M629">
        <v>56</v>
      </c>
      <c r="N629">
        <v>3</v>
      </c>
      <c r="O629">
        <v>283.79000000000002</v>
      </c>
      <c r="P629">
        <v>2880.58</v>
      </c>
      <c r="Q629" s="5">
        <f t="shared" si="72"/>
        <v>0.94370229007633588</v>
      </c>
      <c r="R629" s="5">
        <f t="shared" si="73"/>
        <v>5.7128412537917089E-2</v>
      </c>
      <c r="S629" s="5">
        <f t="shared" si="74"/>
        <v>0.49557522123893805</v>
      </c>
      <c r="T629" s="5">
        <f t="shared" si="75"/>
        <v>5.3571428571428568E-2</v>
      </c>
      <c r="U629" s="5">
        <f t="shared" si="76"/>
        <v>1.5166835187057635E-3</v>
      </c>
      <c r="V629" s="6">
        <f t="shared" si="77"/>
        <v>5.0676785714285719</v>
      </c>
      <c r="W629" s="7">
        <f t="shared" si="78"/>
        <v>2.5114159292035398</v>
      </c>
      <c r="X629" s="5">
        <f t="shared" si="79"/>
        <v>9.1503928961556067</v>
      </c>
    </row>
    <row r="630" spans="1:24" x14ac:dyDescent="0.35">
      <c r="A630" s="3">
        <v>46126</v>
      </c>
      <c r="B630" t="s">
        <v>933</v>
      </c>
      <c r="C630" t="s">
        <v>934</v>
      </c>
      <c r="D630" t="s">
        <v>18</v>
      </c>
      <c r="E630" t="s">
        <v>25</v>
      </c>
      <c r="F630" t="s">
        <v>26</v>
      </c>
      <c r="G630" t="s">
        <v>36</v>
      </c>
      <c r="H630" t="s">
        <v>22</v>
      </c>
      <c r="I630">
        <v>3666</v>
      </c>
      <c r="J630">
        <v>3089</v>
      </c>
      <c r="K630">
        <v>2826</v>
      </c>
      <c r="L630">
        <v>180</v>
      </c>
      <c r="M630">
        <v>108</v>
      </c>
      <c r="N630">
        <v>6</v>
      </c>
      <c r="O630">
        <v>440.19</v>
      </c>
      <c r="P630">
        <v>6306.75</v>
      </c>
      <c r="Q630" s="5">
        <f t="shared" si="72"/>
        <v>0.91485917772741987</v>
      </c>
      <c r="R630" s="5">
        <f t="shared" si="73"/>
        <v>6.3694267515923567E-2</v>
      </c>
      <c r="S630" s="5">
        <f t="shared" si="74"/>
        <v>0.6</v>
      </c>
      <c r="T630" s="5">
        <f t="shared" si="75"/>
        <v>5.5555555555555552E-2</v>
      </c>
      <c r="U630" s="5">
        <f t="shared" si="76"/>
        <v>2.1231422505307855E-3</v>
      </c>
      <c r="V630" s="6">
        <f t="shared" si="77"/>
        <v>4.0758333333333336</v>
      </c>
      <c r="W630" s="7">
        <f t="shared" si="78"/>
        <v>2.4455</v>
      </c>
      <c r="X630" s="5">
        <f t="shared" si="79"/>
        <v>13.327335923124107</v>
      </c>
    </row>
    <row r="631" spans="1:24" x14ac:dyDescent="0.35">
      <c r="A631" s="3">
        <v>46126</v>
      </c>
      <c r="B631" t="s">
        <v>892</v>
      </c>
      <c r="C631" t="s">
        <v>935</v>
      </c>
      <c r="D631" t="s">
        <v>34</v>
      </c>
      <c r="E631" t="s">
        <v>19</v>
      </c>
      <c r="F631" t="s">
        <v>20</v>
      </c>
      <c r="G631" t="s">
        <v>21</v>
      </c>
      <c r="H631" t="s">
        <v>51</v>
      </c>
      <c r="I631">
        <v>3618</v>
      </c>
      <c r="J631">
        <v>2717</v>
      </c>
      <c r="K631">
        <v>2559</v>
      </c>
      <c r="L631">
        <v>44</v>
      </c>
      <c r="M631">
        <v>20</v>
      </c>
      <c r="N631">
        <v>1</v>
      </c>
      <c r="O631">
        <v>239.64</v>
      </c>
      <c r="P631">
        <v>576.16999999999996</v>
      </c>
      <c r="Q631" s="5">
        <f t="shared" si="72"/>
        <v>0.94184762605815242</v>
      </c>
      <c r="R631" s="5">
        <f t="shared" si="73"/>
        <v>1.7194216490816726E-2</v>
      </c>
      <c r="S631" s="5">
        <f t="shared" si="74"/>
        <v>0.45454545454545453</v>
      </c>
      <c r="T631" s="5">
        <f t="shared" si="75"/>
        <v>0.05</v>
      </c>
      <c r="U631" s="5">
        <f t="shared" si="76"/>
        <v>3.9077764751856197E-4</v>
      </c>
      <c r="V631" s="6">
        <f t="shared" si="77"/>
        <v>11.981999999999999</v>
      </c>
      <c r="W631" s="7">
        <f t="shared" si="78"/>
        <v>5.4463636363636363</v>
      </c>
      <c r="X631" s="5">
        <f t="shared" si="79"/>
        <v>1.4043148055416457</v>
      </c>
    </row>
    <row r="632" spans="1:24" x14ac:dyDescent="0.35">
      <c r="A632" s="3">
        <v>46126</v>
      </c>
      <c r="B632" t="s">
        <v>821</v>
      </c>
      <c r="C632" t="s">
        <v>936</v>
      </c>
      <c r="D632" t="s">
        <v>34</v>
      </c>
      <c r="E632" t="s">
        <v>35</v>
      </c>
      <c r="F632" t="s">
        <v>20</v>
      </c>
      <c r="G632" t="s">
        <v>59</v>
      </c>
      <c r="H632" t="s">
        <v>28</v>
      </c>
      <c r="I632">
        <v>861</v>
      </c>
      <c r="J632">
        <v>828</v>
      </c>
      <c r="K632">
        <v>769</v>
      </c>
      <c r="L632">
        <v>50</v>
      </c>
      <c r="M632">
        <v>21</v>
      </c>
      <c r="N632">
        <v>1</v>
      </c>
      <c r="O632">
        <v>59.78</v>
      </c>
      <c r="P632">
        <v>937.16</v>
      </c>
      <c r="Q632" s="5">
        <f t="shared" si="72"/>
        <v>0.92874396135265702</v>
      </c>
      <c r="R632" s="5">
        <f t="shared" si="73"/>
        <v>6.5019505851755532E-2</v>
      </c>
      <c r="S632" s="5">
        <f t="shared" si="74"/>
        <v>0.42</v>
      </c>
      <c r="T632" s="5">
        <f t="shared" si="75"/>
        <v>4.7619047619047616E-2</v>
      </c>
      <c r="U632" s="5">
        <f t="shared" si="76"/>
        <v>1.3003901170351106E-3</v>
      </c>
      <c r="V632" s="6">
        <f t="shared" si="77"/>
        <v>2.8466666666666667</v>
      </c>
      <c r="W632" s="7">
        <f t="shared" si="78"/>
        <v>1.1956</v>
      </c>
      <c r="X632" s="5">
        <f t="shared" si="79"/>
        <v>14.676814988290397</v>
      </c>
    </row>
    <row r="633" spans="1:24" x14ac:dyDescent="0.35">
      <c r="A633" s="3">
        <v>46126</v>
      </c>
      <c r="B633" t="s">
        <v>937</v>
      </c>
      <c r="C633" t="s">
        <v>938</v>
      </c>
      <c r="D633" t="s">
        <v>18</v>
      </c>
      <c r="E633" t="s">
        <v>35</v>
      </c>
      <c r="F633" t="s">
        <v>20</v>
      </c>
      <c r="G633" t="s">
        <v>27</v>
      </c>
      <c r="H633" t="s">
        <v>51</v>
      </c>
      <c r="I633">
        <v>3461</v>
      </c>
      <c r="J633">
        <v>2802</v>
      </c>
      <c r="K633">
        <v>2491</v>
      </c>
      <c r="L633">
        <v>227</v>
      </c>
      <c r="M633">
        <v>113</v>
      </c>
      <c r="N633">
        <v>7</v>
      </c>
      <c r="O633">
        <v>317.02</v>
      </c>
      <c r="P633">
        <v>9399.16</v>
      </c>
      <c r="Q633" s="5">
        <f t="shared" si="72"/>
        <v>0.88900785153461814</v>
      </c>
      <c r="R633" s="5">
        <f t="shared" si="73"/>
        <v>9.1128061019670817E-2</v>
      </c>
      <c r="S633" s="5">
        <f t="shared" si="74"/>
        <v>0.49779735682819382</v>
      </c>
      <c r="T633" s="5">
        <f t="shared" si="75"/>
        <v>6.1946902654867256E-2</v>
      </c>
      <c r="U633" s="5">
        <f t="shared" si="76"/>
        <v>2.8101164191087916E-3</v>
      </c>
      <c r="V633" s="6">
        <f t="shared" si="77"/>
        <v>2.8054867256637168</v>
      </c>
      <c r="W633" s="7">
        <f t="shared" si="78"/>
        <v>1.3965638766519823</v>
      </c>
      <c r="X633" s="5">
        <f t="shared" si="79"/>
        <v>28.648476436817866</v>
      </c>
    </row>
    <row r="634" spans="1:24" x14ac:dyDescent="0.35">
      <c r="A634" s="3">
        <v>46126</v>
      </c>
      <c r="B634" t="s">
        <v>939</v>
      </c>
      <c r="C634" t="s">
        <v>940</v>
      </c>
      <c r="D634" t="s">
        <v>31</v>
      </c>
      <c r="E634" t="s">
        <v>19</v>
      </c>
      <c r="F634" t="s">
        <v>26</v>
      </c>
      <c r="G634" t="s">
        <v>27</v>
      </c>
      <c r="H634" t="s">
        <v>51</v>
      </c>
      <c r="I634">
        <v>2872</v>
      </c>
      <c r="J634">
        <v>2144</v>
      </c>
      <c r="K634">
        <v>2059</v>
      </c>
      <c r="L634">
        <v>8</v>
      </c>
      <c r="M634">
        <v>4</v>
      </c>
      <c r="N634">
        <v>0</v>
      </c>
      <c r="O634">
        <v>395.58</v>
      </c>
      <c r="P634">
        <v>0</v>
      </c>
      <c r="Q634" s="5">
        <f t="shared" si="72"/>
        <v>0.96035447761194026</v>
      </c>
      <c r="R634" s="5">
        <f t="shared" si="73"/>
        <v>3.885381253035454E-3</v>
      </c>
      <c r="S634" s="5">
        <f t="shared" si="74"/>
        <v>0.5</v>
      </c>
      <c r="T634" s="5">
        <f t="shared" si="75"/>
        <v>0</v>
      </c>
      <c r="U634" s="5">
        <f t="shared" si="76"/>
        <v>0</v>
      </c>
      <c r="V634" s="6">
        <f t="shared" si="77"/>
        <v>98.894999999999996</v>
      </c>
      <c r="W634" s="7">
        <f t="shared" si="78"/>
        <v>49.447499999999998</v>
      </c>
      <c r="X634" s="5">
        <f t="shared" si="79"/>
        <v>-1</v>
      </c>
    </row>
    <row r="635" spans="1:24" x14ac:dyDescent="0.35">
      <c r="A635" s="3">
        <v>46126</v>
      </c>
      <c r="B635" t="s">
        <v>867</v>
      </c>
      <c r="C635" t="s">
        <v>941</v>
      </c>
      <c r="D635" t="s">
        <v>34</v>
      </c>
      <c r="E635" t="s">
        <v>25</v>
      </c>
      <c r="F635" t="s">
        <v>20</v>
      </c>
      <c r="G635" t="s">
        <v>27</v>
      </c>
      <c r="H635" t="s">
        <v>48</v>
      </c>
      <c r="I635">
        <v>1290</v>
      </c>
      <c r="J635">
        <v>1199</v>
      </c>
      <c r="K635">
        <v>1099</v>
      </c>
      <c r="L635">
        <v>41</v>
      </c>
      <c r="M635">
        <v>21</v>
      </c>
      <c r="N635">
        <v>1</v>
      </c>
      <c r="O635">
        <v>82.6</v>
      </c>
      <c r="P635">
        <v>1275.6400000000001</v>
      </c>
      <c r="Q635" s="5">
        <f t="shared" si="72"/>
        <v>0.91659716430358629</v>
      </c>
      <c r="R635" s="5">
        <f t="shared" si="73"/>
        <v>3.7306642402183801E-2</v>
      </c>
      <c r="S635" s="5">
        <f t="shared" si="74"/>
        <v>0.51219512195121952</v>
      </c>
      <c r="T635" s="5">
        <f t="shared" si="75"/>
        <v>4.7619047619047616E-2</v>
      </c>
      <c r="U635" s="5">
        <f t="shared" si="76"/>
        <v>9.099181073703367E-4</v>
      </c>
      <c r="V635" s="6">
        <f t="shared" si="77"/>
        <v>3.9333333333333331</v>
      </c>
      <c r="W635" s="7">
        <f t="shared" si="78"/>
        <v>2.0146341463414634</v>
      </c>
      <c r="X635" s="5">
        <f t="shared" si="79"/>
        <v>14.443583535108962</v>
      </c>
    </row>
    <row r="636" spans="1:24" x14ac:dyDescent="0.35">
      <c r="A636" s="3">
        <v>46127</v>
      </c>
      <c r="B636" t="s">
        <v>833</v>
      </c>
      <c r="C636" t="s">
        <v>942</v>
      </c>
      <c r="D636" t="s">
        <v>34</v>
      </c>
      <c r="E636" t="s">
        <v>25</v>
      </c>
      <c r="F636" t="s">
        <v>20</v>
      </c>
      <c r="G636" t="s">
        <v>21</v>
      </c>
      <c r="H636" t="s">
        <v>28</v>
      </c>
      <c r="I636">
        <v>4824</v>
      </c>
      <c r="J636">
        <v>4648</v>
      </c>
      <c r="K636">
        <v>4428</v>
      </c>
      <c r="L636">
        <v>198</v>
      </c>
      <c r="M636">
        <v>96</v>
      </c>
      <c r="N636">
        <v>4</v>
      </c>
      <c r="O636">
        <v>320.74</v>
      </c>
      <c r="P636">
        <v>3863.15</v>
      </c>
      <c r="Q636" s="5">
        <f t="shared" si="72"/>
        <v>0.95266781411359724</v>
      </c>
      <c r="R636" s="5">
        <f t="shared" si="73"/>
        <v>4.4715447154471545E-2</v>
      </c>
      <c r="S636" s="5">
        <f t="shared" si="74"/>
        <v>0.48484848484848486</v>
      </c>
      <c r="T636" s="5">
        <f t="shared" si="75"/>
        <v>4.1666666666666664E-2</v>
      </c>
      <c r="U636" s="5">
        <f t="shared" si="76"/>
        <v>9.0334236675700087E-4</v>
      </c>
      <c r="V636" s="6">
        <f t="shared" si="77"/>
        <v>3.3410416666666669</v>
      </c>
      <c r="W636" s="7">
        <f t="shared" si="78"/>
        <v>1.6198989898989899</v>
      </c>
      <c r="X636" s="5">
        <f t="shared" si="79"/>
        <v>11.044490864874977</v>
      </c>
    </row>
    <row r="637" spans="1:24" x14ac:dyDescent="0.35">
      <c r="A637" s="3">
        <v>46127</v>
      </c>
      <c r="B637" t="s">
        <v>943</v>
      </c>
      <c r="C637" t="s">
        <v>944</v>
      </c>
      <c r="D637" t="s">
        <v>31</v>
      </c>
      <c r="E637" t="s">
        <v>19</v>
      </c>
      <c r="F637" t="s">
        <v>20</v>
      </c>
      <c r="G637" t="s">
        <v>59</v>
      </c>
      <c r="H637" t="s">
        <v>48</v>
      </c>
      <c r="I637">
        <v>4066</v>
      </c>
      <c r="J637">
        <v>3203</v>
      </c>
      <c r="K637">
        <v>3027</v>
      </c>
      <c r="L637">
        <v>9</v>
      </c>
      <c r="M637">
        <v>4</v>
      </c>
      <c r="N637">
        <v>0</v>
      </c>
      <c r="O637">
        <v>619.28</v>
      </c>
      <c r="P637">
        <v>0</v>
      </c>
      <c r="Q637" s="5">
        <f t="shared" si="72"/>
        <v>0.94505151420543243</v>
      </c>
      <c r="R637" s="5">
        <f t="shared" si="73"/>
        <v>2.973240832507433E-3</v>
      </c>
      <c r="S637" s="5">
        <f t="shared" si="74"/>
        <v>0.44444444444444442</v>
      </c>
      <c r="T637" s="5">
        <f t="shared" si="75"/>
        <v>0</v>
      </c>
      <c r="U637" s="5">
        <f t="shared" si="76"/>
        <v>0</v>
      </c>
      <c r="V637" s="6">
        <f t="shared" si="77"/>
        <v>154.82</v>
      </c>
      <c r="W637" s="7">
        <f t="shared" si="78"/>
        <v>68.808888888888887</v>
      </c>
      <c r="X637" s="5">
        <f t="shared" si="79"/>
        <v>-1</v>
      </c>
    </row>
    <row r="638" spans="1:24" x14ac:dyDescent="0.35">
      <c r="A638" s="3">
        <v>46127</v>
      </c>
      <c r="B638" t="s">
        <v>809</v>
      </c>
      <c r="C638" t="s">
        <v>945</v>
      </c>
      <c r="D638" t="s">
        <v>40</v>
      </c>
      <c r="E638" t="s">
        <v>35</v>
      </c>
      <c r="F638" t="s">
        <v>20</v>
      </c>
      <c r="G638" t="s">
        <v>21</v>
      </c>
      <c r="H638" t="s">
        <v>51</v>
      </c>
      <c r="I638">
        <v>3020</v>
      </c>
      <c r="J638">
        <v>2702</v>
      </c>
      <c r="K638">
        <v>2548</v>
      </c>
      <c r="L638">
        <v>183</v>
      </c>
      <c r="M638">
        <v>114</v>
      </c>
      <c r="N638">
        <v>5</v>
      </c>
      <c r="O638">
        <v>403.62</v>
      </c>
      <c r="P638">
        <v>7175.9</v>
      </c>
      <c r="Q638" s="5">
        <f t="shared" si="72"/>
        <v>0.94300518134715028</v>
      </c>
      <c r="R638" s="5">
        <f t="shared" si="73"/>
        <v>7.1821036106750391E-2</v>
      </c>
      <c r="S638" s="5">
        <f t="shared" si="74"/>
        <v>0.62295081967213117</v>
      </c>
      <c r="T638" s="5">
        <f t="shared" si="75"/>
        <v>4.3859649122807015E-2</v>
      </c>
      <c r="U638" s="5">
        <f t="shared" si="76"/>
        <v>1.9623233908948193E-3</v>
      </c>
      <c r="V638" s="6">
        <f t="shared" si="77"/>
        <v>3.5405263157894735</v>
      </c>
      <c r="W638" s="7">
        <f t="shared" si="78"/>
        <v>2.2055737704918035</v>
      </c>
      <c r="X638" s="5">
        <f t="shared" si="79"/>
        <v>16.778851394876369</v>
      </c>
    </row>
    <row r="639" spans="1:24" x14ac:dyDescent="0.35">
      <c r="A639" s="3">
        <v>46127</v>
      </c>
      <c r="B639" t="s">
        <v>819</v>
      </c>
      <c r="C639" t="s">
        <v>946</v>
      </c>
      <c r="D639" t="s">
        <v>31</v>
      </c>
      <c r="E639" t="s">
        <v>25</v>
      </c>
      <c r="F639" t="s">
        <v>20</v>
      </c>
      <c r="G639" t="s">
        <v>21</v>
      </c>
      <c r="H639" t="s">
        <v>51</v>
      </c>
      <c r="I639">
        <v>1223</v>
      </c>
      <c r="J639">
        <v>1061</v>
      </c>
      <c r="K639">
        <v>1040</v>
      </c>
      <c r="L639">
        <v>23</v>
      </c>
      <c r="M639">
        <v>9</v>
      </c>
      <c r="N639">
        <v>0</v>
      </c>
      <c r="O639">
        <v>183.9</v>
      </c>
      <c r="P639">
        <v>0</v>
      </c>
      <c r="Q639" s="5">
        <f t="shared" si="72"/>
        <v>0.98020735155513672</v>
      </c>
      <c r="R639" s="5">
        <f t="shared" si="73"/>
        <v>2.2115384615384617E-2</v>
      </c>
      <c r="S639" s="5">
        <f t="shared" si="74"/>
        <v>0.39130434782608697</v>
      </c>
      <c r="T639" s="5">
        <f t="shared" si="75"/>
        <v>0</v>
      </c>
      <c r="U639" s="5">
        <f t="shared" si="76"/>
        <v>0</v>
      </c>
      <c r="V639" s="6">
        <f t="shared" si="77"/>
        <v>20.433333333333334</v>
      </c>
      <c r="W639" s="7">
        <f t="shared" si="78"/>
        <v>7.9956521739130437</v>
      </c>
      <c r="X639" s="5">
        <f t="shared" si="79"/>
        <v>-1</v>
      </c>
    </row>
    <row r="640" spans="1:24" x14ac:dyDescent="0.35">
      <c r="A640" s="3">
        <v>46127</v>
      </c>
      <c r="B640" t="s">
        <v>794</v>
      </c>
      <c r="C640" t="s">
        <v>947</v>
      </c>
      <c r="D640" t="s">
        <v>18</v>
      </c>
      <c r="E640" t="s">
        <v>35</v>
      </c>
      <c r="F640" t="s">
        <v>20</v>
      </c>
      <c r="G640" t="s">
        <v>36</v>
      </c>
      <c r="H640" t="s">
        <v>51</v>
      </c>
      <c r="I640">
        <v>1061</v>
      </c>
      <c r="J640">
        <v>949</v>
      </c>
      <c r="K640">
        <v>854</v>
      </c>
      <c r="L640">
        <v>65</v>
      </c>
      <c r="M640">
        <v>38</v>
      </c>
      <c r="N640">
        <v>2</v>
      </c>
      <c r="O640">
        <v>108.24</v>
      </c>
      <c r="P640">
        <v>2975.53</v>
      </c>
      <c r="Q640" s="5">
        <f t="shared" si="72"/>
        <v>0.89989462592202318</v>
      </c>
      <c r="R640" s="5">
        <f t="shared" si="73"/>
        <v>7.611241217798595E-2</v>
      </c>
      <c r="S640" s="5">
        <f t="shared" si="74"/>
        <v>0.58461538461538465</v>
      </c>
      <c r="T640" s="5">
        <f t="shared" si="75"/>
        <v>5.2631578947368418E-2</v>
      </c>
      <c r="U640" s="5">
        <f t="shared" si="76"/>
        <v>2.34192037470726E-3</v>
      </c>
      <c r="V640" s="6">
        <f t="shared" si="77"/>
        <v>2.8484210526315787</v>
      </c>
      <c r="W640" s="7">
        <f t="shared" si="78"/>
        <v>1.6652307692307691</v>
      </c>
      <c r="X640" s="5">
        <f t="shared" si="79"/>
        <v>26.490114560236517</v>
      </c>
    </row>
    <row r="641" spans="1:24" x14ac:dyDescent="0.35">
      <c r="A641" s="3">
        <v>46127</v>
      </c>
      <c r="B641" t="s">
        <v>867</v>
      </c>
      <c r="C641" t="s">
        <v>948</v>
      </c>
      <c r="D641" t="s">
        <v>31</v>
      </c>
      <c r="E641" t="s">
        <v>25</v>
      </c>
      <c r="F641" t="s">
        <v>20</v>
      </c>
      <c r="G641" t="s">
        <v>59</v>
      </c>
      <c r="H641" t="s">
        <v>22</v>
      </c>
      <c r="I641">
        <v>640</v>
      </c>
      <c r="J641">
        <v>471</v>
      </c>
      <c r="K641">
        <v>466</v>
      </c>
      <c r="L641">
        <v>18</v>
      </c>
      <c r="M641">
        <v>6</v>
      </c>
      <c r="N641">
        <v>0</v>
      </c>
      <c r="O641">
        <v>97.76</v>
      </c>
      <c r="P641">
        <v>0</v>
      </c>
      <c r="Q641" s="5">
        <f t="shared" si="72"/>
        <v>0.98938428874734607</v>
      </c>
      <c r="R641" s="5">
        <f t="shared" si="73"/>
        <v>3.8626609442060089E-2</v>
      </c>
      <c r="S641" s="5">
        <f t="shared" si="74"/>
        <v>0.33333333333333331</v>
      </c>
      <c r="T641" s="5">
        <f t="shared" si="75"/>
        <v>0</v>
      </c>
      <c r="U641" s="5">
        <f t="shared" si="76"/>
        <v>0</v>
      </c>
      <c r="V641" s="6">
        <f t="shared" si="77"/>
        <v>16.293333333333333</v>
      </c>
      <c r="W641" s="7">
        <f t="shared" si="78"/>
        <v>5.431111111111111</v>
      </c>
      <c r="X641" s="5">
        <f t="shared" si="79"/>
        <v>-1</v>
      </c>
    </row>
    <row r="642" spans="1:24" x14ac:dyDescent="0.35">
      <c r="A642" s="3">
        <v>46128</v>
      </c>
      <c r="B642" t="s">
        <v>850</v>
      </c>
      <c r="C642" t="s">
        <v>949</v>
      </c>
      <c r="D642" t="s">
        <v>40</v>
      </c>
      <c r="E642" t="s">
        <v>25</v>
      </c>
      <c r="F642" t="s">
        <v>20</v>
      </c>
      <c r="G642" t="s">
        <v>36</v>
      </c>
      <c r="H642" t="s">
        <v>37</v>
      </c>
      <c r="I642">
        <v>4554</v>
      </c>
      <c r="J642">
        <v>4498</v>
      </c>
      <c r="K642">
        <v>4210</v>
      </c>
      <c r="L642">
        <v>177</v>
      </c>
      <c r="M642">
        <v>82</v>
      </c>
      <c r="N642">
        <v>4</v>
      </c>
      <c r="O642">
        <v>765.86</v>
      </c>
      <c r="P642">
        <v>3601.34</v>
      </c>
      <c r="Q642" s="5">
        <f t="shared" si="72"/>
        <v>0.93597154290795914</v>
      </c>
      <c r="R642" s="5">
        <f t="shared" si="73"/>
        <v>4.2042755344418051E-2</v>
      </c>
      <c r="S642" s="5">
        <f t="shared" si="74"/>
        <v>0.4632768361581921</v>
      </c>
      <c r="T642" s="5">
        <f t="shared" si="75"/>
        <v>4.878048780487805E-2</v>
      </c>
      <c r="U642" s="5">
        <f t="shared" si="76"/>
        <v>9.501187648456057E-4</v>
      </c>
      <c r="V642" s="6">
        <f t="shared" si="77"/>
        <v>9.3397560975609757</v>
      </c>
      <c r="W642" s="7">
        <f t="shared" si="78"/>
        <v>4.3268926553672316</v>
      </c>
      <c r="X642" s="5">
        <f t="shared" si="79"/>
        <v>3.7023476875669181</v>
      </c>
    </row>
    <row r="643" spans="1:24" x14ac:dyDescent="0.35">
      <c r="A643" s="3">
        <v>46128</v>
      </c>
      <c r="B643" t="s">
        <v>950</v>
      </c>
      <c r="C643" t="s">
        <v>951</v>
      </c>
      <c r="D643" t="s">
        <v>18</v>
      </c>
      <c r="E643" t="s">
        <v>56</v>
      </c>
      <c r="F643" t="s">
        <v>26</v>
      </c>
      <c r="G643" t="s">
        <v>59</v>
      </c>
      <c r="H643" t="s">
        <v>37</v>
      </c>
      <c r="I643">
        <v>4474</v>
      </c>
      <c r="J643">
        <v>4113</v>
      </c>
      <c r="K643">
        <v>3743</v>
      </c>
      <c r="L643">
        <v>347</v>
      </c>
      <c r="M643">
        <v>206</v>
      </c>
      <c r="N643">
        <v>13</v>
      </c>
      <c r="O643">
        <v>516.24</v>
      </c>
      <c r="P643">
        <v>11899.37</v>
      </c>
      <c r="Q643" s="5">
        <f t="shared" ref="Q643:Q706" si="80">K643/J643</f>
        <v>0.9100413323608072</v>
      </c>
      <c r="R643" s="5">
        <f t="shared" ref="R643:R706" si="81">L643/K643</f>
        <v>9.2706385252471282E-2</v>
      </c>
      <c r="S643" s="5">
        <f t="shared" ref="S643:S706" si="82">M643/L643</f>
        <v>0.59365994236311237</v>
      </c>
      <c r="T643" s="5">
        <f t="shared" ref="T643:T706" si="83">N643/M643</f>
        <v>6.3106796116504854E-2</v>
      </c>
      <c r="U643" s="5">
        <f t="shared" ref="U643:U706" si="84">N643/K643</f>
        <v>3.473149879775581E-3</v>
      </c>
      <c r="V643" s="6">
        <f t="shared" ref="V643:V706" si="85">O643/M643</f>
        <v>2.506019417475728</v>
      </c>
      <c r="W643" s="7">
        <f t="shared" ref="W643:W706" si="86">O643/L643</f>
        <v>1.4877233429394814</v>
      </c>
      <c r="X643" s="5">
        <f t="shared" ref="X643:X706" si="87">(P643-O643)/O643</f>
        <v>22.050073609174028</v>
      </c>
    </row>
    <row r="644" spans="1:24" x14ac:dyDescent="0.35">
      <c r="A644" s="3">
        <v>46128</v>
      </c>
      <c r="B644" t="s">
        <v>896</v>
      </c>
      <c r="C644" t="s">
        <v>952</v>
      </c>
      <c r="D644" t="s">
        <v>18</v>
      </c>
      <c r="E644" t="s">
        <v>19</v>
      </c>
      <c r="F644" t="s">
        <v>26</v>
      </c>
      <c r="G644" t="s">
        <v>59</v>
      </c>
      <c r="H644" t="s">
        <v>37</v>
      </c>
      <c r="I644">
        <v>3592</v>
      </c>
      <c r="J644">
        <v>2981</v>
      </c>
      <c r="K644">
        <v>2669</v>
      </c>
      <c r="L644">
        <v>64</v>
      </c>
      <c r="M644">
        <v>48</v>
      </c>
      <c r="N644">
        <v>1</v>
      </c>
      <c r="O644">
        <v>330.04</v>
      </c>
      <c r="P644">
        <v>1306.5</v>
      </c>
      <c r="Q644" s="5">
        <f t="shared" si="80"/>
        <v>0.89533713518953373</v>
      </c>
      <c r="R644" s="5">
        <f t="shared" si="81"/>
        <v>2.3979018358935931E-2</v>
      </c>
      <c r="S644" s="5">
        <f t="shared" si="82"/>
        <v>0.75</v>
      </c>
      <c r="T644" s="5">
        <f t="shared" si="83"/>
        <v>2.0833333333333332E-2</v>
      </c>
      <c r="U644" s="5">
        <f t="shared" si="84"/>
        <v>3.7467216185837392E-4</v>
      </c>
      <c r="V644" s="6">
        <f t="shared" si="85"/>
        <v>6.8758333333333335</v>
      </c>
      <c r="W644" s="7">
        <f t="shared" si="86"/>
        <v>5.1568750000000003</v>
      </c>
      <c r="X644" s="5">
        <f t="shared" si="87"/>
        <v>2.9586110774451582</v>
      </c>
    </row>
    <row r="645" spans="1:24" x14ac:dyDescent="0.35">
      <c r="A645" s="3">
        <v>46128</v>
      </c>
      <c r="B645" t="s">
        <v>809</v>
      </c>
      <c r="C645" t="s">
        <v>953</v>
      </c>
      <c r="D645" t="s">
        <v>34</v>
      </c>
      <c r="E645" t="s">
        <v>25</v>
      </c>
      <c r="F645" t="s">
        <v>20</v>
      </c>
      <c r="G645" t="s">
        <v>36</v>
      </c>
      <c r="H645" t="s">
        <v>48</v>
      </c>
      <c r="I645">
        <v>2027</v>
      </c>
      <c r="J645">
        <v>1919</v>
      </c>
      <c r="K645">
        <v>1749</v>
      </c>
      <c r="L645">
        <v>67</v>
      </c>
      <c r="M645">
        <v>30</v>
      </c>
      <c r="N645">
        <v>1</v>
      </c>
      <c r="O645">
        <v>158.72</v>
      </c>
      <c r="P645">
        <v>1211.56</v>
      </c>
      <c r="Q645" s="5">
        <f t="shared" si="80"/>
        <v>0.91141219385096406</v>
      </c>
      <c r="R645" s="5">
        <f t="shared" si="81"/>
        <v>3.8307604345340196E-2</v>
      </c>
      <c r="S645" s="5">
        <f t="shared" si="82"/>
        <v>0.44776119402985076</v>
      </c>
      <c r="T645" s="5">
        <f t="shared" si="83"/>
        <v>3.3333333333333333E-2</v>
      </c>
      <c r="U645" s="5">
        <f t="shared" si="84"/>
        <v>5.717552887364208E-4</v>
      </c>
      <c r="V645" s="6">
        <f t="shared" si="85"/>
        <v>5.2906666666666666</v>
      </c>
      <c r="W645" s="7">
        <f t="shared" si="86"/>
        <v>2.3689552238805969</v>
      </c>
      <c r="X645" s="5">
        <f t="shared" si="87"/>
        <v>6.6333165322580641</v>
      </c>
    </row>
    <row r="646" spans="1:24" x14ac:dyDescent="0.35">
      <c r="A646" s="3">
        <v>46128</v>
      </c>
      <c r="B646" t="s">
        <v>899</v>
      </c>
      <c r="C646" t="s">
        <v>954</v>
      </c>
      <c r="D646" t="s">
        <v>31</v>
      </c>
      <c r="E646" t="s">
        <v>19</v>
      </c>
      <c r="F646" t="s">
        <v>20</v>
      </c>
      <c r="G646" t="s">
        <v>27</v>
      </c>
      <c r="H646" t="s">
        <v>51</v>
      </c>
      <c r="I646">
        <v>4864</v>
      </c>
      <c r="J646">
        <v>4579</v>
      </c>
      <c r="K646">
        <v>4353</v>
      </c>
      <c r="L646">
        <v>23</v>
      </c>
      <c r="M646">
        <v>7</v>
      </c>
      <c r="N646">
        <v>0</v>
      </c>
      <c r="O646">
        <v>948.82</v>
      </c>
      <c r="P646">
        <v>0</v>
      </c>
      <c r="Q646" s="5">
        <f t="shared" si="80"/>
        <v>0.95064424546844284</v>
      </c>
      <c r="R646" s="5">
        <f t="shared" si="81"/>
        <v>5.2837123822651044E-3</v>
      </c>
      <c r="S646" s="5">
        <f t="shared" si="82"/>
        <v>0.30434782608695654</v>
      </c>
      <c r="T646" s="5">
        <f t="shared" si="83"/>
        <v>0</v>
      </c>
      <c r="U646" s="5">
        <f t="shared" si="84"/>
        <v>0</v>
      </c>
      <c r="V646" s="6">
        <f t="shared" si="85"/>
        <v>135.5457142857143</v>
      </c>
      <c r="W646" s="7">
        <f t="shared" si="86"/>
        <v>41.253043478260871</v>
      </c>
      <c r="X646" s="5">
        <f t="shared" si="87"/>
        <v>-1</v>
      </c>
    </row>
    <row r="647" spans="1:24" x14ac:dyDescent="0.35">
      <c r="A647" s="3">
        <v>46128</v>
      </c>
      <c r="B647" t="s">
        <v>955</v>
      </c>
      <c r="C647" t="s">
        <v>956</v>
      </c>
      <c r="D647" t="s">
        <v>31</v>
      </c>
      <c r="E647" t="s">
        <v>25</v>
      </c>
      <c r="F647" t="s">
        <v>20</v>
      </c>
      <c r="G647" t="s">
        <v>59</v>
      </c>
      <c r="H647" t="s">
        <v>22</v>
      </c>
      <c r="I647">
        <v>4892</v>
      </c>
      <c r="J647">
        <v>3569</v>
      </c>
      <c r="K647">
        <v>3478</v>
      </c>
      <c r="L647">
        <v>96</v>
      </c>
      <c r="M647">
        <v>32</v>
      </c>
      <c r="N647">
        <v>1</v>
      </c>
      <c r="O647">
        <v>746.4</v>
      </c>
      <c r="P647">
        <v>1300.8900000000001</v>
      </c>
      <c r="Q647" s="5">
        <f t="shared" si="80"/>
        <v>0.97450266181003087</v>
      </c>
      <c r="R647" s="5">
        <f t="shared" si="81"/>
        <v>2.7602070155261643E-2</v>
      </c>
      <c r="S647" s="5">
        <f t="shared" si="82"/>
        <v>0.33333333333333331</v>
      </c>
      <c r="T647" s="5">
        <f t="shared" si="83"/>
        <v>3.125E-2</v>
      </c>
      <c r="U647" s="5">
        <f t="shared" si="84"/>
        <v>2.875215641173088E-4</v>
      </c>
      <c r="V647" s="6">
        <f t="shared" si="85"/>
        <v>23.324999999999999</v>
      </c>
      <c r="W647" s="7">
        <f t="shared" si="86"/>
        <v>7.7749999999999995</v>
      </c>
      <c r="X647" s="5">
        <f t="shared" si="87"/>
        <v>0.74288585209003233</v>
      </c>
    </row>
    <row r="648" spans="1:24" x14ac:dyDescent="0.35">
      <c r="A648" s="3">
        <v>46128</v>
      </c>
      <c r="B648" t="s">
        <v>920</v>
      </c>
      <c r="C648" t="s">
        <v>957</v>
      </c>
      <c r="D648" t="s">
        <v>40</v>
      </c>
      <c r="E648" t="s">
        <v>35</v>
      </c>
      <c r="F648" t="s">
        <v>20</v>
      </c>
      <c r="G648" t="s">
        <v>36</v>
      </c>
      <c r="H648" t="s">
        <v>37</v>
      </c>
      <c r="I648">
        <v>1316</v>
      </c>
      <c r="J648">
        <v>1206</v>
      </c>
      <c r="K648">
        <v>1124</v>
      </c>
      <c r="L648">
        <v>83</v>
      </c>
      <c r="M648">
        <v>41</v>
      </c>
      <c r="N648">
        <v>3</v>
      </c>
      <c r="O648">
        <v>195.91</v>
      </c>
      <c r="P648">
        <v>2758.53</v>
      </c>
      <c r="Q648" s="5">
        <f t="shared" si="80"/>
        <v>0.93200663349917079</v>
      </c>
      <c r="R648" s="5">
        <f t="shared" si="81"/>
        <v>7.384341637010676E-2</v>
      </c>
      <c r="S648" s="5">
        <f t="shared" si="82"/>
        <v>0.49397590361445781</v>
      </c>
      <c r="T648" s="5">
        <f t="shared" si="83"/>
        <v>7.3170731707317069E-2</v>
      </c>
      <c r="U648" s="5">
        <f t="shared" si="84"/>
        <v>2.6690391459074734E-3</v>
      </c>
      <c r="V648" s="6">
        <f t="shared" si="85"/>
        <v>4.7782926829268293</v>
      </c>
      <c r="W648" s="7">
        <f t="shared" si="86"/>
        <v>2.3603614457831323</v>
      </c>
      <c r="X648" s="5">
        <f t="shared" si="87"/>
        <v>13.080598233882908</v>
      </c>
    </row>
    <row r="649" spans="1:24" x14ac:dyDescent="0.35">
      <c r="A649" s="3">
        <v>46128</v>
      </c>
      <c r="B649" t="s">
        <v>827</v>
      </c>
      <c r="C649" t="s">
        <v>958</v>
      </c>
      <c r="D649" t="s">
        <v>40</v>
      </c>
      <c r="E649" t="s">
        <v>19</v>
      </c>
      <c r="F649" t="s">
        <v>20</v>
      </c>
      <c r="G649" t="s">
        <v>27</v>
      </c>
      <c r="H649" t="s">
        <v>37</v>
      </c>
      <c r="I649">
        <v>1640</v>
      </c>
      <c r="J649">
        <v>1324</v>
      </c>
      <c r="K649">
        <v>1226</v>
      </c>
      <c r="L649">
        <v>17</v>
      </c>
      <c r="M649">
        <v>8</v>
      </c>
      <c r="N649">
        <v>0</v>
      </c>
      <c r="O649">
        <v>178.54</v>
      </c>
      <c r="P649">
        <v>0</v>
      </c>
      <c r="Q649" s="5">
        <f t="shared" si="80"/>
        <v>0.92598187311178248</v>
      </c>
      <c r="R649" s="5">
        <f t="shared" si="81"/>
        <v>1.3866231647634585E-2</v>
      </c>
      <c r="S649" s="5">
        <f t="shared" si="82"/>
        <v>0.47058823529411764</v>
      </c>
      <c r="T649" s="5">
        <f t="shared" si="83"/>
        <v>0</v>
      </c>
      <c r="U649" s="5">
        <f t="shared" si="84"/>
        <v>0</v>
      </c>
      <c r="V649" s="6">
        <f t="shared" si="85"/>
        <v>22.317499999999999</v>
      </c>
      <c r="W649" s="7">
        <f t="shared" si="86"/>
        <v>10.50235294117647</v>
      </c>
      <c r="X649" s="5">
        <f t="shared" si="87"/>
        <v>-1</v>
      </c>
    </row>
    <row r="650" spans="1:24" x14ac:dyDescent="0.35">
      <c r="A650" s="3">
        <v>46128</v>
      </c>
      <c r="B650" t="s">
        <v>805</v>
      </c>
      <c r="C650" t="s">
        <v>959</v>
      </c>
      <c r="D650" t="s">
        <v>40</v>
      </c>
      <c r="E650" t="s">
        <v>25</v>
      </c>
      <c r="F650" t="s">
        <v>20</v>
      </c>
      <c r="G650" t="s">
        <v>27</v>
      </c>
      <c r="H650" t="s">
        <v>37</v>
      </c>
      <c r="I650">
        <v>3390</v>
      </c>
      <c r="J650">
        <v>2837</v>
      </c>
      <c r="K650">
        <v>2622</v>
      </c>
      <c r="L650">
        <v>98</v>
      </c>
      <c r="M650">
        <v>57</v>
      </c>
      <c r="N650">
        <v>3</v>
      </c>
      <c r="O650">
        <v>466.72</v>
      </c>
      <c r="P650">
        <v>2585.27</v>
      </c>
      <c r="Q650" s="5">
        <f t="shared" si="80"/>
        <v>0.92421572083186465</v>
      </c>
      <c r="R650" s="5">
        <f t="shared" si="81"/>
        <v>3.7376048817696413E-2</v>
      </c>
      <c r="S650" s="5">
        <f t="shared" si="82"/>
        <v>0.58163265306122447</v>
      </c>
      <c r="T650" s="5">
        <f t="shared" si="83"/>
        <v>5.2631578947368418E-2</v>
      </c>
      <c r="U650" s="5">
        <f t="shared" si="84"/>
        <v>1.1441647597254005E-3</v>
      </c>
      <c r="V650" s="6">
        <f t="shared" si="85"/>
        <v>8.1880701754385967</v>
      </c>
      <c r="W650" s="7">
        <f t="shared" si="86"/>
        <v>4.762448979591837</v>
      </c>
      <c r="X650" s="5">
        <f t="shared" si="87"/>
        <v>4.5392312307164895</v>
      </c>
    </row>
    <row r="651" spans="1:24" x14ac:dyDescent="0.35">
      <c r="A651" s="3">
        <v>46128</v>
      </c>
      <c r="B651" t="s">
        <v>869</v>
      </c>
      <c r="C651" t="s">
        <v>960</v>
      </c>
      <c r="D651" t="s">
        <v>34</v>
      </c>
      <c r="E651" t="s">
        <v>19</v>
      </c>
      <c r="F651" t="s">
        <v>26</v>
      </c>
      <c r="G651" t="s">
        <v>21</v>
      </c>
      <c r="H651" t="s">
        <v>22</v>
      </c>
      <c r="I651">
        <v>2501</v>
      </c>
      <c r="J651">
        <v>2122</v>
      </c>
      <c r="K651">
        <v>1931</v>
      </c>
      <c r="L651">
        <v>44</v>
      </c>
      <c r="M651">
        <v>27</v>
      </c>
      <c r="N651">
        <v>0</v>
      </c>
      <c r="O651">
        <v>156.44</v>
      </c>
      <c r="P651">
        <v>0</v>
      </c>
      <c r="Q651" s="5">
        <f t="shared" si="80"/>
        <v>0.90999057492931201</v>
      </c>
      <c r="R651" s="5">
        <f t="shared" si="81"/>
        <v>2.2786121180735371E-2</v>
      </c>
      <c r="S651" s="5">
        <f t="shared" si="82"/>
        <v>0.61363636363636365</v>
      </c>
      <c r="T651" s="5">
        <f t="shared" si="83"/>
        <v>0</v>
      </c>
      <c r="U651" s="5">
        <f t="shared" si="84"/>
        <v>0</v>
      </c>
      <c r="V651" s="6">
        <f t="shared" si="85"/>
        <v>5.7940740740740742</v>
      </c>
      <c r="W651" s="7">
        <f t="shared" si="86"/>
        <v>3.5554545454545452</v>
      </c>
      <c r="X651" s="5">
        <f t="shared" si="87"/>
        <v>-1</v>
      </c>
    </row>
    <row r="652" spans="1:24" x14ac:dyDescent="0.35">
      <c r="A652" s="3">
        <v>46129</v>
      </c>
      <c r="B652" t="s">
        <v>823</v>
      </c>
      <c r="C652" t="s">
        <v>961</v>
      </c>
      <c r="D652" t="s">
        <v>34</v>
      </c>
      <c r="E652" t="s">
        <v>35</v>
      </c>
      <c r="F652" t="s">
        <v>20</v>
      </c>
      <c r="G652" t="s">
        <v>27</v>
      </c>
      <c r="H652" t="s">
        <v>22</v>
      </c>
      <c r="I652">
        <v>3330</v>
      </c>
      <c r="J652">
        <v>2832</v>
      </c>
      <c r="K652">
        <v>2628</v>
      </c>
      <c r="L652">
        <v>171</v>
      </c>
      <c r="M652">
        <v>79</v>
      </c>
      <c r="N652">
        <v>6</v>
      </c>
      <c r="O652">
        <v>205.91</v>
      </c>
      <c r="P652">
        <v>7121.91</v>
      </c>
      <c r="Q652" s="5">
        <f t="shared" si="80"/>
        <v>0.92796610169491522</v>
      </c>
      <c r="R652" s="5">
        <f t="shared" si="81"/>
        <v>6.5068493150684928E-2</v>
      </c>
      <c r="S652" s="5">
        <f t="shared" si="82"/>
        <v>0.46198830409356723</v>
      </c>
      <c r="T652" s="5">
        <f t="shared" si="83"/>
        <v>7.5949367088607597E-2</v>
      </c>
      <c r="U652" s="5">
        <f t="shared" si="84"/>
        <v>2.2831050228310501E-3</v>
      </c>
      <c r="V652" s="6">
        <f t="shared" si="85"/>
        <v>2.6064556962025316</v>
      </c>
      <c r="W652" s="7">
        <f t="shared" si="86"/>
        <v>1.2041520467836258</v>
      </c>
      <c r="X652" s="5">
        <f t="shared" si="87"/>
        <v>33.587489679957265</v>
      </c>
    </row>
    <row r="653" spans="1:24" x14ac:dyDescent="0.35">
      <c r="A653" s="3">
        <v>46129</v>
      </c>
      <c r="B653" t="s">
        <v>904</v>
      </c>
      <c r="C653" t="s">
        <v>962</v>
      </c>
      <c r="D653" t="s">
        <v>31</v>
      </c>
      <c r="E653" t="s">
        <v>35</v>
      </c>
      <c r="F653" t="s">
        <v>20</v>
      </c>
      <c r="G653" t="s">
        <v>21</v>
      </c>
      <c r="H653" t="s">
        <v>28</v>
      </c>
      <c r="I653">
        <v>1034</v>
      </c>
      <c r="J653">
        <v>971</v>
      </c>
      <c r="K653">
        <v>945</v>
      </c>
      <c r="L653">
        <v>38</v>
      </c>
      <c r="M653">
        <v>10</v>
      </c>
      <c r="N653">
        <v>1</v>
      </c>
      <c r="O653">
        <v>160.30000000000001</v>
      </c>
      <c r="P653">
        <v>1027.0999999999999</v>
      </c>
      <c r="Q653" s="5">
        <f t="shared" si="80"/>
        <v>0.97322348094747679</v>
      </c>
      <c r="R653" s="5">
        <f t="shared" si="81"/>
        <v>4.0211640211640212E-2</v>
      </c>
      <c r="S653" s="5">
        <f t="shared" si="82"/>
        <v>0.26315789473684209</v>
      </c>
      <c r="T653" s="5">
        <f t="shared" si="83"/>
        <v>0.1</v>
      </c>
      <c r="U653" s="5">
        <f t="shared" si="84"/>
        <v>1.0582010582010583E-3</v>
      </c>
      <c r="V653" s="6">
        <f t="shared" si="85"/>
        <v>16.03</v>
      </c>
      <c r="W653" s="7">
        <f t="shared" si="86"/>
        <v>4.2184210526315793</v>
      </c>
      <c r="X653" s="5">
        <f t="shared" si="87"/>
        <v>5.4073611977542102</v>
      </c>
    </row>
    <row r="654" spans="1:24" x14ac:dyDescent="0.35">
      <c r="A654" s="3">
        <v>46129</v>
      </c>
      <c r="B654" t="s">
        <v>798</v>
      </c>
      <c r="C654" t="s">
        <v>963</v>
      </c>
      <c r="D654" t="s">
        <v>34</v>
      </c>
      <c r="E654" t="s">
        <v>56</v>
      </c>
      <c r="F654" t="s">
        <v>20</v>
      </c>
      <c r="G654" t="s">
        <v>41</v>
      </c>
      <c r="H654" t="s">
        <v>48</v>
      </c>
      <c r="I654">
        <v>1103</v>
      </c>
      <c r="J654">
        <v>1023</v>
      </c>
      <c r="K654">
        <v>950</v>
      </c>
      <c r="L654">
        <v>51</v>
      </c>
      <c r="M654">
        <v>22</v>
      </c>
      <c r="N654">
        <v>1</v>
      </c>
      <c r="O654">
        <v>96.21</v>
      </c>
      <c r="P654">
        <v>941.71</v>
      </c>
      <c r="Q654" s="5">
        <f t="shared" si="80"/>
        <v>0.92864125122189634</v>
      </c>
      <c r="R654" s="5">
        <f t="shared" si="81"/>
        <v>5.3684210526315793E-2</v>
      </c>
      <c r="S654" s="5">
        <f t="shared" si="82"/>
        <v>0.43137254901960786</v>
      </c>
      <c r="T654" s="5">
        <f t="shared" si="83"/>
        <v>4.5454545454545456E-2</v>
      </c>
      <c r="U654" s="5">
        <f t="shared" si="84"/>
        <v>1.0526315789473684E-3</v>
      </c>
      <c r="V654" s="6">
        <f t="shared" si="85"/>
        <v>4.3731818181818181</v>
      </c>
      <c r="W654" s="7">
        <f t="shared" si="86"/>
        <v>1.8864705882352939</v>
      </c>
      <c r="X654" s="5">
        <f t="shared" si="87"/>
        <v>8.7880677684232413</v>
      </c>
    </row>
    <row r="655" spans="1:24" x14ac:dyDescent="0.35">
      <c r="A655" s="3">
        <v>46129</v>
      </c>
      <c r="B655" t="s">
        <v>892</v>
      </c>
      <c r="C655" t="s">
        <v>964</v>
      </c>
      <c r="D655" t="s">
        <v>18</v>
      </c>
      <c r="E655" t="s">
        <v>19</v>
      </c>
      <c r="F655" t="s">
        <v>20</v>
      </c>
      <c r="G655" t="s">
        <v>41</v>
      </c>
      <c r="H655" t="s">
        <v>28</v>
      </c>
      <c r="I655">
        <v>1686</v>
      </c>
      <c r="J655">
        <v>1599</v>
      </c>
      <c r="K655">
        <v>1445</v>
      </c>
      <c r="L655">
        <v>32</v>
      </c>
      <c r="M655">
        <v>18</v>
      </c>
      <c r="N655">
        <v>0</v>
      </c>
      <c r="O655">
        <v>174.99</v>
      </c>
      <c r="P655">
        <v>0</v>
      </c>
      <c r="Q655" s="5">
        <f t="shared" si="80"/>
        <v>0.90368980612883054</v>
      </c>
      <c r="R655" s="5">
        <f t="shared" si="81"/>
        <v>2.2145328719723183E-2</v>
      </c>
      <c r="S655" s="5">
        <f t="shared" si="82"/>
        <v>0.5625</v>
      </c>
      <c r="T655" s="5">
        <f t="shared" si="83"/>
        <v>0</v>
      </c>
      <c r="U655" s="5">
        <f t="shared" si="84"/>
        <v>0</v>
      </c>
      <c r="V655" s="6">
        <f t="shared" si="85"/>
        <v>9.7216666666666676</v>
      </c>
      <c r="W655" s="7">
        <f t="shared" si="86"/>
        <v>5.4684375000000003</v>
      </c>
      <c r="X655" s="5">
        <f t="shared" si="87"/>
        <v>-1</v>
      </c>
    </row>
    <row r="656" spans="1:24" x14ac:dyDescent="0.35">
      <c r="A656" s="3">
        <v>46130</v>
      </c>
      <c r="B656" t="s">
        <v>912</v>
      </c>
      <c r="C656" t="s">
        <v>965</v>
      </c>
      <c r="D656" t="s">
        <v>18</v>
      </c>
      <c r="E656" t="s">
        <v>56</v>
      </c>
      <c r="F656" t="s">
        <v>20</v>
      </c>
      <c r="G656" t="s">
        <v>41</v>
      </c>
      <c r="H656" t="s">
        <v>48</v>
      </c>
      <c r="I656">
        <v>3419</v>
      </c>
      <c r="J656">
        <v>3068</v>
      </c>
      <c r="K656">
        <v>2790</v>
      </c>
      <c r="L656">
        <v>156</v>
      </c>
      <c r="M656">
        <v>85</v>
      </c>
      <c r="N656">
        <v>5</v>
      </c>
      <c r="O656">
        <v>345.53</v>
      </c>
      <c r="P656">
        <v>5407.64</v>
      </c>
      <c r="Q656" s="5">
        <f t="shared" si="80"/>
        <v>0.90938722294654495</v>
      </c>
      <c r="R656" s="5">
        <f t="shared" si="81"/>
        <v>5.5913978494623658E-2</v>
      </c>
      <c r="S656" s="5">
        <f t="shared" si="82"/>
        <v>0.54487179487179482</v>
      </c>
      <c r="T656" s="5">
        <f t="shared" si="83"/>
        <v>5.8823529411764705E-2</v>
      </c>
      <c r="U656" s="5">
        <f t="shared" si="84"/>
        <v>1.7921146953405018E-3</v>
      </c>
      <c r="V656" s="6">
        <f t="shared" si="85"/>
        <v>4.0650588235294114</v>
      </c>
      <c r="W656" s="7">
        <f t="shared" si="86"/>
        <v>2.2149358974358972</v>
      </c>
      <c r="X656" s="5">
        <f t="shared" si="87"/>
        <v>14.650276386999684</v>
      </c>
    </row>
    <row r="657" spans="1:24" x14ac:dyDescent="0.35">
      <c r="A657" s="3">
        <v>46130</v>
      </c>
      <c r="B657" t="s">
        <v>784</v>
      </c>
      <c r="C657" t="s">
        <v>966</v>
      </c>
      <c r="D657" t="s">
        <v>40</v>
      </c>
      <c r="E657" t="s">
        <v>35</v>
      </c>
      <c r="F657" t="s">
        <v>20</v>
      </c>
      <c r="G657" t="s">
        <v>41</v>
      </c>
      <c r="H657" t="s">
        <v>37</v>
      </c>
      <c r="I657">
        <v>4312</v>
      </c>
      <c r="J657">
        <v>3696</v>
      </c>
      <c r="K657">
        <v>3473</v>
      </c>
      <c r="L657">
        <v>267</v>
      </c>
      <c r="M657">
        <v>135</v>
      </c>
      <c r="N657">
        <v>9</v>
      </c>
      <c r="O657">
        <v>562.53</v>
      </c>
      <c r="P657">
        <v>10808.24</v>
      </c>
      <c r="Q657" s="5">
        <f t="shared" si="80"/>
        <v>0.93966450216450215</v>
      </c>
      <c r="R657" s="5">
        <f t="shared" si="81"/>
        <v>7.687877915346962E-2</v>
      </c>
      <c r="S657" s="5">
        <f t="shared" si="82"/>
        <v>0.5056179775280899</v>
      </c>
      <c r="T657" s="5">
        <f t="shared" si="83"/>
        <v>6.6666666666666666E-2</v>
      </c>
      <c r="U657" s="5">
        <f t="shared" si="84"/>
        <v>2.5914195220270659E-3</v>
      </c>
      <c r="V657" s="6">
        <f t="shared" si="85"/>
        <v>4.1668888888888889</v>
      </c>
      <c r="W657" s="7">
        <f t="shared" si="86"/>
        <v>2.1068539325842695</v>
      </c>
      <c r="X657" s="5">
        <f t="shared" si="87"/>
        <v>18.2136241622669</v>
      </c>
    </row>
    <row r="658" spans="1:24" x14ac:dyDescent="0.35">
      <c r="A658" s="3">
        <v>46130</v>
      </c>
      <c r="B658" t="s">
        <v>798</v>
      </c>
      <c r="C658" t="s">
        <v>967</v>
      </c>
      <c r="D658" t="s">
        <v>18</v>
      </c>
      <c r="E658" t="s">
        <v>25</v>
      </c>
      <c r="F658" t="s">
        <v>20</v>
      </c>
      <c r="G658" t="s">
        <v>59</v>
      </c>
      <c r="H658" t="s">
        <v>48</v>
      </c>
      <c r="I658">
        <v>1968</v>
      </c>
      <c r="J658">
        <v>1894</v>
      </c>
      <c r="K658">
        <v>1731</v>
      </c>
      <c r="L658">
        <v>54</v>
      </c>
      <c r="M658">
        <v>21</v>
      </c>
      <c r="N658">
        <v>0</v>
      </c>
      <c r="O658">
        <v>213.28</v>
      </c>
      <c r="P658">
        <v>0</v>
      </c>
      <c r="Q658" s="5">
        <f t="shared" si="80"/>
        <v>0.91393875395987323</v>
      </c>
      <c r="R658" s="5">
        <f t="shared" si="81"/>
        <v>3.1195840554592721E-2</v>
      </c>
      <c r="S658" s="5">
        <f t="shared" si="82"/>
        <v>0.3888888888888889</v>
      </c>
      <c r="T658" s="5">
        <f t="shared" si="83"/>
        <v>0</v>
      </c>
      <c r="U658" s="5">
        <f t="shared" si="84"/>
        <v>0</v>
      </c>
      <c r="V658" s="6">
        <f t="shared" si="85"/>
        <v>10.156190476190476</v>
      </c>
      <c r="W658" s="7">
        <f t="shared" si="86"/>
        <v>3.9496296296296296</v>
      </c>
      <c r="X658" s="5">
        <f t="shared" si="87"/>
        <v>-1</v>
      </c>
    </row>
    <row r="659" spans="1:24" x14ac:dyDescent="0.35">
      <c r="A659" s="3">
        <v>46130</v>
      </c>
      <c r="B659" t="s">
        <v>917</v>
      </c>
      <c r="C659" t="s">
        <v>968</v>
      </c>
      <c r="D659" t="s">
        <v>18</v>
      </c>
      <c r="E659" t="s">
        <v>25</v>
      </c>
      <c r="F659" t="s">
        <v>26</v>
      </c>
      <c r="G659" t="s">
        <v>21</v>
      </c>
      <c r="H659" t="s">
        <v>22</v>
      </c>
      <c r="I659">
        <v>900</v>
      </c>
      <c r="J659">
        <v>766</v>
      </c>
      <c r="K659">
        <v>685</v>
      </c>
      <c r="L659">
        <v>37</v>
      </c>
      <c r="M659">
        <v>25</v>
      </c>
      <c r="N659">
        <v>2</v>
      </c>
      <c r="O659">
        <v>82.49</v>
      </c>
      <c r="P659">
        <v>2050.27</v>
      </c>
      <c r="Q659" s="5">
        <f t="shared" si="80"/>
        <v>0.89425587467362921</v>
      </c>
      <c r="R659" s="5">
        <f t="shared" si="81"/>
        <v>5.4014598540145987E-2</v>
      </c>
      <c r="S659" s="5">
        <f t="shared" si="82"/>
        <v>0.67567567567567566</v>
      </c>
      <c r="T659" s="5">
        <f t="shared" si="83"/>
        <v>0.08</v>
      </c>
      <c r="U659" s="5">
        <f t="shared" si="84"/>
        <v>2.9197080291970801E-3</v>
      </c>
      <c r="V659" s="6">
        <f t="shared" si="85"/>
        <v>3.2995999999999999</v>
      </c>
      <c r="W659" s="7">
        <f t="shared" si="86"/>
        <v>2.2294594594594592</v>
      </c>
      <c r="X659" s="5">
        <f t="shared" si="87"/>
        <v>23.854770275184872</v>
      </c>
    </row>
    <row r="660" spans="1:24" x14ac:dyDescent="0.35">
      <c r="A660" s="3">
        <v>46130</v>
      </c>
      <c r="B660" t="s">
        <v>969</v>
      </c>
      <c r="C660" t="s">
        <v>970</v>
      </c>
      <c r="D660" t="s">
        <v>18</v>
      </c>
      <c r="E660" t="s">
        <v>56</v>
      </c>
      <c r="F660" t="s">
        <v>20</v>
      </c>
      <c r="G660" t="s">
        <v>21</v>
      </c>
      <c r="H660" t="s">
        <v>22</v>
      </c>
      <c r="I660">
        <v>4219</v>
      </c>
      <c r="J660">
        <v>3209</v>
      </c>
      <c r="K660">
        <v>3041</v>
      </c>
      <c r="L660">
        <v>216</v>
      </c>
      <c r="M660">
        <v>101</v>
      </c>
      <c r="N660">
        <v>6</v>
      </c>
      <c r="O660">
        <v>392.27</v>
      </c>
      <c r="P660">
        <v>8549.58</v>
      </c>
      <c r="Q660" s="5">
        <f t="shared" si="80"/>
        <v>0.9476472421315052</v>
      </c>
      <c r="R660" s="5">
        <f t="shared" si="81"/>
        <v>7.1029266688589277E-2</v>
      </c>
      <c r="S660" s="5">
        <f t="shared" si="82"/>
        <v>0.46759259259259262</v>
      </c>
      <c r="T660" s="5">
        <f t="shared" si="83"/>
        <v>5.9405940594059403E-2</v>
      </c>
      <c r="U660" s="5">
        <f t="shared" si="84"/>
        <v>1.9730351857941467E-3</v>
      </c>
      <c r="V660" s="6">
        <f t="shared" si="85"/>
        <v>3.8838613861386135</v>
      </c>
      <c r="W660" s="7">
        <f t="shared" si="86"/>
        <v>1.8160648148148146</v>
      </c>
      <c r="X660" s="5">
        <f t="shared" si="87"/>
        <v>20.795141101792133</v>
      </c>
    </row>
    <row r="661" spans="1:24" x14ac:dyDescent="0.35">
      <c r="A661" s="3">
        <v>46130</v>
      </c>
      <c r="B661" t="s">
        <v>971</v>
      </c>
      <c r="C661" t="s">
        <v>972</v>
      </c>
      <c r="D661" t="s">
        <v>34</v>
      </c>
      <c r="E661" t="s">
        <v>35</v>
      </c>
      <c r="F661" t="s">
        <v>26</v>
      </c>
      <c r="G661" t="s">
        <v>59</v>
      </c>
      <c r="H661" t="s">
        <v>37</v>
      </c>
      <c r="I661">
        <v>2730</v>
      </c>
      <c r="J661">
        <v>2398</v>
      </c>
      <c r="K661">
        <v>2234</v>
      </c>
      <c r="L661">
        <v>216</v>
      </c>
      <c r="M661">
        <v>109</v>
      </c>
      <c r="N661">
        <v>10</v>
      </c>
      <c r="O661">
        <v>169.32</v>
      </c>
      <c r="P661">
        <v>11834.69</v>
      </c>
      <c r="Q661" s="5">
        <f t="shared" si="80"/>
        <v>0.93160967472894074</v>
      </c>
      <c r="R661" s="5">
        <f t="shared" si="81"/>
        <v>9.6687555953446733E-2</v>
      </c>
      <c r="S661" s="5">
        <f t="shared" si="82"/>
        <v>0.50462962962962965</v>
      </c>
      <c r="T661" s="5">
        <f t="shared" si="83"/>
        <v>9.1743119266055051E-2</v>
      </c>
      <c r="U661" s="5">
        <f t="shared" si="84"/>
        <v>4.4762757385854966E-3</v>
      </c>
      <c r="V661" s="6">
        <f t="shared" si="85"/>
        <v>1.553394495412844</v>
      </c>
      <c r="W661" s="7">
        <f t="shared" si="86"/>
        <v>0.78388888888888886</v>
      </c>
      <c r="X661" s="5">
        <f t="shared" si="87"/>
        <v>68.895405150011825</v>
      </c>
    </row>
    <row r="662" spans="1:24" x14ac:dyDescent="0.35">
      <c r="A662" s="3">
        <v>46130</v>
      </c>
      <c r="B662" t="s">
        <v>821</v>
      </c>
      <c r="C662" t="s">
        <v>973</v>
      </c>
      <c r="D662" t="s">
        <v>31</v>
      </c>
      <c r="E662" t="s">
        <v>19</v>
      </c>
      <c r="F662" t="s">
        <v>20</v>
      </c>
      <c r="G662" t="s">
        <v>27</v>
      </c>
      <c r="H662" t="s">
        <v>28</v>
      </c>
      <c r="I662">
        <v>3962</v>
      </c>
      <c r="J662">
        <v>3198</v>
      </c>
      <c r="K662">
        <v>3106</v>
      </c>
      <c r="L662">
        <v>51</v>
      </c>
      <c r="M662">
        <v>24</v>
      </c>
      <c r="N662">
        <v>1</v>
      </c>
      <c r="O662">
        <v>564.9</v>
      </c>
      <c r="P662">
        <v>951.24</v>
      </c>
      <c r="Q662" s="5">
        <f t="shared" si="80"/>
        <v>0.97123202001250786</v>
      </c>
      <c r="R662" s="5">
        <f t="shared" si="81"/>
        <v>1.6419832582099163E-2</v>
      </c>
      <c r="S662" s="5">
        <f t="shared" si="82"/>
        <v>0.47058823529411764</v>
      </c>
      <c r="T662" s="5">
        <f t="shared" si="83"/>
        <v>4.1666666666666664E-2</v>
      </c>
      <c r="U662" s="5">
        <f t="shared" si="84"/>
        <v>3.219575016097875E-4</v>
      </c>
      <c r="V662" s="6">
        <f t="shared" si="85"/>
        <v>23.537499999999998</v>
      </c>
      <c r="W662" s="7">
        <f t="shared" si="86"/>
        <v>11.076470588235294</v>
      </c>
      <c r="X662" s="5">
        <f t="shared" si="87"/>
        <v>0.68390865639936282</v>
      </c>
    </row>
    <row r="663" spans="1:24" x14ac:dyDescent="0.35">
      <c r="A663" s="3">
        <v>46130</v>
      </c>
      <c r="B663" t="s">
        <v>867</v>
      </c>
      <c r="C663" t="s">
        <v>974</v>
      </c>
      <c r="D663" t="s">
        <v>34</v>
      </c>
      <c r="E663" t="s">
        <v>35</v>
      </c>
      <c r="F663" t="s">
        <v>26</v>
      </c>
      <c r="G663" t="s">
        <v>21</v>
      </c>
      <c r="H663" t="s">
        <v>28</v>
      </c>
      <c r="I663">
        <v>4479</v>
      </c>
      <c r="J663">
        <v>4118</v>
      </c>
      <c r="K663">
        <v>3836</v>
      </c>
      <c r="L663">
        <v>347</v>
      </c>
      <c r="M663">
        <v>188</v>
      </c>
      <c r="N663">
        <v>12</v>
      </c>
      <c r="O663">
        <v>366.37</v>
      </c>
      <c r="P663">
        <v>16996.11</v>
      </c>
      <c r="Q663" s="5">
        <f t="shared" si="80"/>
        <v>0.93152015541525013</v>
      </c>
      <c r="R663" s="5">
        <f t="shared" si="81"/>
        <v>9.045881126173097E-2</v>
      </c>
      <c r="S663" s="5">
        <f t="shared" si="82"/>
        <v>0.5417867435158501</v>
      </c>
      <c r="T663" s="5">
        <f t="shared" si="83"/>
        <v>6.3829787234042548E-2</v>
      </c>
      <c r="U663" s="5">
        <f t="shared" si="84"/>
        <v>3.1282586027111575E-3</v>
      </c>
      <c r="V663" s="6">
        <f t="shared" si="85"/>
        <v>1.948776595744681</v>
      </c>
      <c r="W663" s="7">
        <f t="shared" si="86"/>
        <v>1.055821325648415</v>
      </c>
      <c r="X663" s="5">
        <f t="shared" si="87"/>
        <v>45.390561454267548</v>
      </c>
    </row>
    <row r="664" spans="1:24" x14ac:dyDescent="0.35">
      <c r="A664" s="3">
        <v>46131</v>
      </c>
      <c r="B664" t="s">
        <v>975</v>
      </c>
      <c r="C664" t="s">
        <v>976</v>
      </c>
      <c r="D664" t="s">
        <v>18</v>
      </c>
      <c r="E664" t="s">
        <v>25</v>
      </c>
      <c r="F664" t="s">
        <v>20</v>
      </c>
      <c r="G664" t="s">
        <v>59</v>
      </c>
      <c r="H664" t="s">
        <v>48</v>
      </c>
      <c r="I664">
        <v>1641</v>
      </c>
      <c r="J664">
        <v>1225</v>
      </c>
      <c r="K664">
        <v>1098</v>
      </c>
      <c r="L664">
        <v>54</v>
      </c>
      <c r="M664">
        <v>26</v>
      </c>
      <c r="N664">
        <v>1</v>
      </c>
      <c r="O664">
        <v>152.71</v>
      </c>
      <c r="P664">
        <v>1056.46</v>
      </c>
      <c r="Q664" s="5">
        <f t="shared" si="80"/>
        <v>0.89632653061224488</v>
      </c>
      <c r="R664" s="5">
        <f t="shared" si="81"/>
        <v>4.9180327868852458E-2</v>
      </c>
      <c r="S664" s="5">
        <f t="shared" si="82"/>
        <v>0.48148148148148145</v>
      </c>
      <c r="T664" s="5">
        <f t="shared" si="83"/>
        <v>3.8461538461538464E-2</v>
      </c>
      <c r="U664" s="5">
        <f t="shared" si="84"/>
        <v>9.1074681238615665E-4</v>
      </c>
      <c r="V664" s="6">
        <f t="shared" si="85"/>
        <v>5.8734615384615392</v>
      </c>
      <c r="W664" s="7">
        <f t="shared" si="86"/>
        <v>2.827962962962963</v>
      </c>
      <c r="X664" s="5">
        <f t="shared" si="87"/>
        <v>5.9180800209547506</v>
      </c>
    </row>
    <row r="665" spans="1:24" x14ac:dyDescent="0.35">
      <c r="A665" s="3">
        <v>46131</v>
      </c>
      <c r="B665" t="s">
        <v>975</v>
      </c>
      <c r="C665" t="s">
        <v>977</v>
      </c>
      <c r="D665" t="s">
        <v>40</v>
      </c>
      <c r="E665" t="s">
        <v>35</v>
      </c>
      <c r="F665" t="s">
        <v>26</v>
      </c>
      <c r="G665" t="s">
        <v>27</v>
      </c>
      <c r="H665" t="s">
        <v>28</v>
      </c>
      <c r="I665">
        <v>4701</v>
      </c>
      <c r="J665">
        <v>3621</v>
      </c>
      <c r="K665">
        <v>3343</v>
      </c>
      <c r="L665">
        <v>310</v>
      </c>
      <c r="M665">
        <v>185</v>
      </c>
      <c r="N665">
        <v>19</v>
      </c>
      <c r="O665">
        <v>636.67999999999995</v>
      </c>
      <c r="P665">
        <v>21085.69</v>
      </c>
      <c r="Q665" s="5">
        <f t="shared" si="80"/>
        <v>0.92322562827948085</v>
      </c>
      <c r="R665" s="5">
        <f t="shared" si="81"/>
        <v>9.2731079868381694E-2</v>
      </c>
      <c r="S665" s="5">
        <f t="shared" si="82"/>
        <v>0.59677419354838712</v>
      </c>
      <c r="T665" s="5">
        <f t="shared" si="83"/>
        <v>0.10270270270270271</v>
      </c>
      <c r="U665" s="5">
        <f t="shared" si="84"/>
        <v>5.6835177983846847E-3</v>
      </c>
      <c r="V665" s="6">
        <f t="shared" si="85"/>
        <v>3.4415135135135131</v>
      </c>
      <c r="W665" s="7">
        <f t="shared" si="86"/>
        <v>2.0538064516129029</v>
      </c>
      <c r="X665" s="5">
        <f t="shared" si="87"/>
        <v>32.118191242068228</v>
      </c>
    </row>
    <row r="666" spans="1:24" x14ac:dyDescent="0.35">
      <c r="A666" s="3">
        <v>46131</v>
      </c>
      <c r="B666" t="s">
        <v>881</v>
      </c>
      <c r="C666" t="s">
        <v>978</v>
      </c>
      <c r="D666" t="s">
        <v>18</v>
      </c>
      <c r="E666" t="s">
        <v>35</v>
      </c>
      <c r="F666" t="s">
        <v>20</v>
      </c>
      <c r="G666" t="s">
        <v>21</v>
      </c>
      <c r="H666" t="s">
        <v>28</v>
      </c>
      <c r="I666">
        <v>2303</v>
      </c>
      <c r="J666">
        <v>2282</v>
      </c>
      <c r="K666">
        <v>2113</v>
      </c>
      <c r="L666">
        <v>168</v>
      </c>
      <c r="M666">
        <v>86</v>
      </c>
      <c r="N666">
        <v>5</v>
      </c>
      <c r="O666">
        <v>315.95</v>
      </c>
      <c r="P666">
        <v>6252.31</v>
      </c>
      <c r="Q666" s="5">
        <f t="shared" si="80"/>
        <v>0.92594215600350571</v>
      </c>
      <c r="R666" s="5">
        <f t="shared" si="81"/>
        <v>7.9507808802650265E-2</v>
      </c>
      <c r="S666" s="5">
        <f t="shared" si="82"/>
        <v>0.51190476190476186</v>
      </c>
      <c r="T666" s="5">
        <f t="shared" si="83"/>
        <v>5.8139534883720929E-2</v>
      </c>
      <c r="U666" s="5">
        <f t="shared" si="84"/>
        <v>2.3663038334122101E-3</v>
      </c>
      <c r="V666" s="6">
        <f t="shared" si="85"/>
        <v>3.6738372093023255</v>
      </c>
      <c r="W666" s="7">
        <f t="shared" si="86"/>
        <v>1.8806547619047618</v>
      </c>
      <c r="X666" s="5">
        <f t="shared" si="87"/>
        <v>18.788922297831938</v>
      </c>
    </row>
    <row r="667" spans="1:24" x14ac:dyDescent="0.35">
      <c r="A667" s="3">
        <v>46132</v>
      </c>
      <c r="B667" t="s">
        <v>950</v>
      </c>
      <c r="C667" t="s">
        <v>979</v>
      </c>
      <c r="D667" t="s">
        <v>18</v>
      </c>
      <c r="E667" t="s">
        <v>56</v>
      </c>
      <c r="F667" t="s">
        <v>20</v>
      </c>
      <c r="G667" t="s">
        <v>36</v>
      </c>
      <c r="H667" t="s">
        <v>22</v>
      </c>
      <c r="I667">
        <v>1726</v>
      </c>
      <c r="J667">
        <v>1250</v>
      </c>
      <c r="K667">
        <v>1120</v>
      </c>
      <c r="L667">
        <v>65</v>
      </c>
      <c r="M667">
        <v>33</v>
      </c>
      <c r="N667">
        <v>2</v>
      </c>
      <c r="O667">
        <v>164.23</v>
      </c>
      <c r="P667">
        <v>1957.37</v>
      </c>
      <c r="Q667" s="5">
        <f t="shared" si="80"/>
        <v>0.89600000000000002</v>
      </c>
      <c r="R667" s="5">
        <f t="shared" si="81"/>
        <v>5.8035714285714288E-2</v>
      </c>
      <c r="S667" s="5">
        <f t="shared" si="82"/>
        <v>0.50769230769230766</v>
      </c>
      <c r="T667" s="5">
        <f t="shared" si="83"/>
        <v>6.0606060606060608E-2</v>
      </c>
      <c r="U667" s="5">
        <f t="shared" si="84"/>
        <v>1.7857142857142857E-3</v>
      </c>
      <c r="V667" s="6">
        <f t="shared" si="85"/>
        <v>4.9766666666666666</v>
      </c>
      <c r="W667" s="7">
        <f t="shared" si="86"/>
        <v>2.5266153846153845</v>
      </c>
      <c r="X667" s="5">
        <f t="shared" si="87"/>
        <v>10.918468002192048</v>
      </c>
    </row>
    <row r="668" spans="1:24" x14ac:dyDescent="0.35">
      <c r="A668" s="3">
        <v>46132</v>
      </c>
      <c r="B668" t="s">
        <v>885</v>
      </c>
      <c r="C668" t="s">
        <v>980</v>
      </c>
      <c r="D668" t="s">
        <v>18</v>
      </c>
      <c r="E668" t="s">
        <v>19</v>
      </c>
      <c r="F668" t="s">
        <v>20</v>
      </c>
      <c r="G668" t="s">
        <v>41</v>
      </c>
      <c r="H668" t="s">
        <v>48</v>
      </c>
      <c r="I668">
        <v>3958</v>
      </c>
      <c r="J668">
        <v>3899</v>
      </c>
      <c r="K668">
        <v>3608</v>
      </c>
      <c r="L668">
        <v>85</v>
      </c>
      <c r="M668">
        <v>45</v>
      </c>
      <c r="N668">
        <v>0</v>
      </c>
      <c r="O668">
        <v>498.91</v>
      </c>
      <c r="P668">
        <v>0</v>
      </c>
      <c r="Q668" s="5">
        <f t="shared" si="80"/>
        <v>0.92536547832777638</v>
      </c>
      <c r="R668" s="5">
        <f t="shared" si="81"/>
        <v>2.3558758314855877E-2</v>
      </c>
      <c r="S668" s="5">
        <f t="shared" si="82"/>
        <v>0.52941176470588236</v>
      </c>
      <c r="T668" s="5">
        <f t="shared" si="83"/>
        <v>0</v>
      </c>
      <c r="U668" s="5">
        <f t="shared" si="84"/>
        <v>0</v>
      </c>
      <c r="V668" s="6">
        <f t="shared" si="85"/>
        <v>11.08688888888889</v>
      </c>
      <c r="W668" s="7">
        <f t="shared" si="86"/>
        <v>5.8695294117647059</v>
      </c>
      <c r="X668" s="5">
        <f t="shared" si="87"/>
        <v>-1</v>
      </c>
    </row>
    <row r="669" spans="1:24" x14ac:dyDescent="0.35">
      <c r="A669" s="3">
        <v>46132</v>
      </c>
      <c r="B669" t="s">
        <v>837</v>
      </c>
      <c r="C669" t="s">
        <v>981</v>
      </c>
      <c r="D669" t="s">
        <v>40</v>
      </c>
      <c r="E669" t="s">
        <v>35</v>
      </c>
      <c r="F669" t="s">
        <v>20</v>
      </c>
      <c r="G669" t="s">
        <v>21</v>
      </c>
      <c r="H669" t="s">
        <v>51</v>
      </c>
      <c r="I669">
        <v>3146</v>
      </c>
      <c r="J669">
        <v>2505</v>
      </c>
      <c r="K669">
        <v>2395</v>
      </c>
      <c r="L669">
        <v>182</v>
      </c>
      <c r="M669">
        <v>86</v>
      </c>
      <c r="N669">
        <v>6</v>
      </c>
      <c r="O669">
        <v>428.84</v>
      </c>
      <c r="P669">
        <v>8917.9699999999993</v>
      </c>
      <c r="Q669" s="5">
        <f t="shared" si="80"/>
        <v>0.95608782435129736</v>
      </c>
      <c r="R669" s="5">
        <f t="shared" si="81"/>
        <v>7.5991649269311068E-2</v>
      </c>
      <c r="S669" s="5">
        <f t="shared" si="82"/>
        <v>0.47252747252747251</v>
      </c>
      <c r="T669" s="5">
        <f t="shared" si="83"/>
        <v>6.9767441860465115E-2</v>
      </c>
      <c r="U669" s="5">
        <f t="shared" si="84"/>
        <v>2.5052192066805845E-3</v>
      </c>
      <c r="V669" s="6">
        <f t="shared" si="85"/>
        <v>4.9865116279069763</v>
      </c>
      <c r="W669" s="7">
        <f t="shared" si="86"/>
        <v>2.356263736263736</v>
      </c>
      <c r="X669" s="5">
        <f t="shared" si="87"/>
        <v>19.795564779404906</v>
      </c>
    </row>
    <row r="670" spans="1:24" x14ac:dyDescent="0.35">
      <c r="A670" s="3">
        <v>46132</v>
      </c>
      <c r="B670" t="s">
        <v>846</v>
      </c>
      <c r="C670" t="s">
        <v>982</v>
      </c>
      <c r="D670" t="s">
        <v>31</v>
      </c>
      <c r="E670" t="s">
        <v>19</v>
      </c>
      <c r="F670" t="s">
        <v>20</v>
      </c>
      <c r="G670" t="s">
        <v>27</v>
      </c>
      <c r="H670" t="s">
        <v>37</v>
      </c>
      <c r="I670">
        <v>1358</v>
      </c>
      <c r="J670">
        <v>1016</v>
      </c>
      <c r="K670">
        <v>958</v>
      </c>
      <c r="L670">
        <v>26</v>
      </c>
      <c r="M670">
        <v>8</v>
      </c>
      <c r="N670">
        <v>0</v>
      </c>
      <c r="O670">
        <v>199.49</v>
      </c>
      <c r="P670">
        <v>0</v>
      </c>
      <c r="Q670" s="5">
        <f t="shared" si="80"/>
        <v>0.94291338582677164</v>
      </c>
      <c r="R670" s="5">
        <f t="shared" si="81"/>
        <v>2.7139874739039668E-2</v>
      </c>
      <c r="S670" s="5">
        <f t="shared" si="82"/>
        <v>0.30769230769230771</v>
      </c>
      <c r="T670" s="5">
        <f t="shared" si="83"/>
        <v>0</v>
      </c>
      <c r="U670" s="5">
        <f t="shared" si="84"/>
        <v>0</v>
      </c>
      <c r="V670" s="6">
        <f t="shared" si="85"/>
        <v>24.936250000000001</v>
      </c>
      <c r="W670" s="7">
        <f t="shared" si="86"/>
        <v>7.6726923076923077</v>
      </c>
      <c r="X670" s="5">
        <f t="shared" si="87"/>
        <v>-1</v>
      </c>
    </row>
    <row r="671" spans="1:24" x14ac:dyDescent="0.35">
      <c r="A671" s="3">
        <v>46132</v>
      </c>
      <c r="B671" t="s">
        <v>846</v>
      </c>
      <c r="C671" t="s">
        <v>983</v>
      </c>
      <c r="D671" t="s">
        <v>31</v>
      </c>
      <c r="E671" t="s">
        <v>25</v>
      </c>
      <c r="F671" t="s">
        <v>20</v>
      </c>
      <c r="G671" t="s">
        <v>27</v>
      </c>
      <c r="H671" t="s">
        <v>22</v>
      </c>
      <c r="I671">
        <v>1535</v>
      </c>
      <c r="J671">
        <v>1484</v>
      </c>
      <c r="K671">
        <v>1425</v>
      </c>
      <c r="L671">
        <v>36</v>
      </c>
      <c r="M671">
        <v>18</v>
      </c>
      <c r="N671">
        <v>1</v>
      </c>
      <c r="O671">
        <v>265.76</v>
      </c>
      <c r="P671">
        <v>889.06</v>
      </c>
      <c r="Q671" s="5">
        <f t="shared" si="80"/>
        <v>0.96024258760107817</v>
      </c>
      <c r="R671" s="5">
        <f t="shared" si="81"/>
        <v>2.5263157894736842E-2</v>
      </c>
      <c r="S671" s="5">
        <f t="shared" si="82"/>
        <v>0.5</v>
      </c>
      <c r="T671" s="5">
        <f t="shared" si="83"/>
        <v>5.5555555555555552E-2</v>
      </c>
      <c r="U671" s="5">
        <f t="shared" si="84"/>
        <v>7.0175438596491223E-4</v>
      </c>
      <c r="V671" s="6">
        <f t="shared" si="85"/>
        <v>14.764444444444443</v>
      </c>
      <c r="W671" s="7">
        <f t="shared" si="86"/>
        <v>7.3822222222222216</v>
      </c>
      <c r="X671" s="5">
        <f t="shared" si="87"/>
        <v>2.3453491872366046</v>
      </c>
    </row>
    <row r="672" spans="1:24" x14ac:dyDescent="0.35">
      <c r="A672" s="3">
        <v>46132</v>
      </c>
      <c r="B672" t="s">
        <v>892</v>
      </c>
      <c r="C672" t="s">
        <v>984</v>
      </c>
      <c r="D672" t="s">
        <v>31</v>
      </c>
      <c r="E672" t="s">
        <v>56</v>
      </c>
      <c r="F672" t="s">
        <v>20</v>
      </c>
      <c r="G672" t="s">
        <v>27</v>
      </c>
      <c r="H672" t="s">
        <v>37</v>
      </c>
      <c r="I672">
        <v>2822</v>
      </c>
      <c r="J672">
        <v>2629</v>
      </c>
      <c r="K672">
        <v>2524</v>
      </c>
      <c r="L672">
        <v>59</v>
      </c>
      <c r="M672">
        <v>26</v>
      </c>
      <c r="N672">
        <v>1</v>
      </c>
      <c r="O672">
        <v>505.34</v>
      </c>
      <c r="P672">
        <v>1030.79</v>
      </c>
      <c r="Q672" s="5">
        <f t="shared" si="80"/>
        <v>0.96006085964244958</v>
      </c>
      <c r="R672" s="5">
        <f t="shared" si="81"/>
        <v>2.3375594294770204E-2</v>
      </c>
      <c r="S672" s="5">
        <f t="shared" si="82"/>
        <v>0.44067796610169491</v>
      </c>
      <c r="T672" s="5">
        <f t="shared" si="83"/>
        <v>3.8461538461538464E-2</v>
      </c>
      <c r="U672" s="5">
        <f t="shared" si="84"/>
        <v>3.9619651347068147E-4</v>
      </c>
      <c r="V672" s="6">
        <f t="shared" si="85"/>
        <v>19.436153846153847</v>
      </c>
      <c r="W672" s="7">
        <f t="shared" si="86"/>
        <v>8.5650847457627108</v>
      </c>
      <c r="X672" s="5">
        <f t="shared" si="87"/>
        <v>1.0397949895120118</v>
      </c>
    </row>
    <row r="673" spans="1:24" x14ac:dyDescent="0.35">
      <c r="A673" s="3">
        <v>46133</v>
      </c>
      <c r="B673" t="s">
        <v>854</v>
      </c>
      <c r="C673" t="s">
        <v>985</v>
      </c>
      <c r="D673" t="s">
        <v>31</v>
      </c>
      <c r="E673" t="s">
        <v>19</v>
      </c>
      <c r="F673" t="s">
        <v>20</v>
      </c>
      <c r="G673" t="s">
        <v>27</v>
      </c>
      <c r="H673" t="s">
        <v>51</v>
      </c>
      <c r="I673">
        <v>584</v>
      </c>
      <c r="J673">
        <v>561</v>
      </c>
      <c r="K673">
        <v>534</v>
      </c>
      <c r="L673">
        <v>4</v>
      </c>
      <c r="M673">
        <v>2</v>
      </c>
      <c r="N673">
        <v>0</v>
      </c>
      <c r="O673">
        <v>119.09</v>
      </c>
      <c r="P673">
        <v>0</v>
      </c>
      <c r="Q673" s="5">
        <f t="shared" si="80"/>
        <v>0.95187165775401072</v>
      </c>
      <c r="R673" s="5">
        <f t="shared" si="81"/>
        <v>7.4906367041198503E-3</v>
      </c>
      <c r="S673" s="5">
        <f t="shared" si="82"/>
        <v>0.5</v>
      </c>
      <c r="T673" s="5">
        <f t="shared" si="83"/>
        <v>0</v>
      </c>
      <c r="U673" s="5">
        <f t="shared" si="84"/>
        <v>0</v>
      </c>
      <c r="V673" s="6">
        <f t="shared" si="85"/>
        <v>59.545000000000002</v>
      </c>
      <c r="W673" s="7">
        <f t="shared" si="86"/>
        <v>29.772500000000001</v>
      </c>
      <c r="X673" s="5">
        <f t="shared" si="87"/>
        <v>-1</v>
      </c>
    </row>
    <row r="674" spans="1:24" x14ac:dyDescent="0.35">
      <c r="A674" s="3">
        <v>46133</v>
      </c>
      <c r="B674" t="s">
        <v>811</v>
      </c>
      <c r="C674" t="s">
        <v>986</v>
      </c>
      <c r="D674" t="s">
        <v>40</v>
      </c>
      <c r="E674" t="s">
        <v>35</v>
      </c>
      <c r="F674" t="s">
        <v>20</v>
      </c>
      <c r="G674" t="s">
        <v>21</v>
      </c>
      <c r="H674" t="s">
        <v>22</v>
      </c>
      <c r="I674">
        <v>2162</v>
      </c>
      <c r="J674">
        <v>2066</v>
      </c>
      <c r="K674">
        <v>1933</v>
      </c>
      <c r="L674">
        <v>125</v>
      </c>
      <c r="M674">
        <v>45</v>
      </c>
      <c r="N674">
        <v>3</v>
      </c>
      <c r="O674">
        <v>301.54000000000002</v>
      </c>
      <c r="P674">
        <v>3293.59</v>
      </c>
      <c r="Q674" s="5">
        <f t="shared" si="80"/>
        <v>0.93562439496611816</v>
      </c>
      <c r="R674" s="5">
        <f t="shared" si="81"/>
        <v>6.4666321779617175E-2</v>
      </c>
      <c r="S674" s="5">
        <f t="shared" si="82"/>
        <v>0.36</v>
      </c>
      <c r="T674" s="5">
        <f t="shared" si="83"/>
        <v>6.6666666666666666E-2</v>
      </c>
      <c r="U674" s="5">
        <f t="shared" si="84"/>
        <v>1.5519917227108122E-3</v>
      </c>
      <c r="V674" s="6">
        <f t="shared" si="85"/>
        <v>6.7008888888888896</v>
      </c>
      <c r="W674" s="7">
        <f t="shared" si="86"/>
        <v>2.4123200000000002</v>
      </c>
      <c r="X674" s="5">
        <f t="shared" si="87"/>
        <v>9.9225641705909666</v>
      </c>
    </row>
    <row r="675" spans="1:24" x14ac:dyDescent="0.35">
      <c r="A675" s="3">
        <v>46133</v>
      </c>
      <c r="B675" t="s">
        <v>837</v>
      </c>
      <c r="C675" t="s">
        <v>987</v>
      </c>
      <c r="D675" t="s">
        <v>34</v>
      </c>
      <c r="E675" t="s">
        <v>35</v>
      </c>
      <c r="F675" t="s">
        <v>20</v>
      </c>
      <c r="G675" t="s">
        <v>41</v>
      </c>
      <c r="H675" t="s">
        <v>48</v>
      </c>
      <c r="I675">
        <v>4036</v>
      </c>
      <c r="J675">
        <v>3800</v>
      </c>
      <c r="K675">
        <v>3532</v>
      </c>
      <c r="L675">
        <v>238</v>
      </c>
      <c r="M675">
        <v>82</v>
      </c>
      <c r="N675">
        <v>7</v>
      </c>
      <c r="O675">
        <v>352.85</v>
      </c>
      <c r="P675">
        <v>7296.94</v>
      </c>
      <c r="Q675" s="5">
        <f t="shared" si="80"/>
        <v>0.92947368421052634</v>
      </c>
      <c r="R675" s="5">
        <f t="shared" si="81"/>
        <v>6.7383918459796147E-2</v>
      </c>
      <c r="S675" s="5">
        <f t="shared" si="82"/>
        <v>0.34453781512605042</v>
      </c>
      <c r="T675" s="5">
        <f t="shared" si="83"/>
        <v>8.5365853658536592E-2</v>
      </c>
      <c r="U675" s="5">
        <f t="shared" si="84"/>
        <v>1.9818799546998866E-3</v>
      </c>
      <c r="V675" s="6">
        <f t="shared" si="85"/>
        <v>4.3030487804878055</v>
      </c>
      <c r="W675" s="7">
        <f t="shared" si="86"/>
        <v>1.4825630252100841</v>
      </c>
      <c r="X675" s="5">
        <f t="shared" si="87"/>
        <v>19.680005668130931</v>
      </c>
    </row>
    <row r="676" spans="1:24" x14ac:dyDescent="0.35">
      <c r="A676" s="3">
        <v>46133</v>
      </c>
      <c r="B676" t="s">
        <v>805</v>
      </c>
      <c r="C676" t="s">
        <v>988</v>
      </c>
      <c r="D676" t="s">
        <v>31</v>
      </c>
      <c r="E676" t="s">
        <v>19</v>
      </c>
      <c r="F676" t="s">
        <v>20</v>
      </c>
      <c r="G676" t="s">
        <v>27</v>
      </c>
      <c r="H676" t="s">
        <v>28</v>
      </c>
      <c r="I676">
        <v>4223</v>
      </c>
      <c r="J676">
        <v>3374</v>
      </c>
      <c r="K676">
        <v>3186</v>
      </c>
      <c r="L676">
        <v>13</v>
      </c>
      <c r="M676">
        <v>5</v>
      </c>
      <c r="N676">
        <v>0</v>
      </c>
      <c r="O676">
        <v>693.16</v>
      </c>
      <c r="P676">
        <v>0</v>
      </c>
      <c r="Q676" s="5">
        <f t="shared" si="80"/>
        <v>0.94427978660343803</v>
      </c>
      <c r="R676" s="5">
        <f t="shared" si="81"/>
        <v>4.0803515379786567E-3</v>
      </c>
      <c r="S676" s="5">
        <f t="shared" si="82"/>
        <v>0.38461538461538464</v>
      </c>
      <c r="T676" s="5">
        <f t="shared" si="83"/>
        <v>0</v>
      </c>
      <c r="U676" s="5">
        <f t="shared" si="84"/>
        <v>0</v>
      </c>
      <c r="V676" s="6">
        <f t="shared" si="85"/>
        <v>138.63200000000001</v>
      </c>
      <c r="W676" s="7">
        <f t="shared" si="86"/>
        <v>53.32</v>
      </c>
      <c r="X676" s="5">
        <f t="shared" si="87"/>
        <v>-1</v>
      </c>
    </row>
    <row r="677" spans="1:24" x14ac:dyDescent="0.35">
      <c r="A677" s="3">
        <v>46134</v>
      </c>
      <c r="B677" t="s">
        <v>892</v>
      </c>
      <c r="C677" t="s">
        <v>989</v>
      </c>
      <c r="D677" t="s">
        <v>31</v>
      </c>
      <c r="E677" t="s">
        <v>19</v>
      </c>
      <c r="F677" t="s">
        <v>26</v>
      </c>
      <c r="G677" t="s">
        <v>27</v>
      </c>
      <c r="H677" t="s">
        <v>48</v>
      </c>
      <c r="I677">
        <v>2373</v>
      </c>
      <c r="J677">
        <v>1817</v>
      </c>
      <c r="K677">
        <v>1723</v>
      </c>
      <c r="L677">
        <v>11</v>
      </c>
      <c r="M677">
        <v>6</v>
      </c>
      <c r="N677">
        <v>0</v>
      </c>
      <c r="O677">
        <v>389.66</v>
      </c>
      <c r="P677">
        <v>0</v>
      </c>
      <c r="Q677" s="5">
        <f t="shared" si="80"/>
        <v>0.9482663731425427</v>
      </c>
      <c r="R677" s="5">
        <f t="shared" si="81"/>
        <v>6.3842135809634359E-3</v>
      </c>
      <c r="S677" s="5">
        <f t="shared" si="82"/>
        <v>0.54545454545454541</v>
      </c>
      <c r="T677" s="5">
        <f t="shared" si="83"/>
        <v>0</v>
      </c>
      <c r="U677" s="5">
        <f t="shared" si="84"/>
        <v>0</v>
      </c>
      <c r="V677" s="6">
        <f t="shared" si="85"/>
        <v>64.943333333333342</v>
      </c>
      <c r="W677" s="7">
        <f t="shared" si="86"/>
        <v>35.423636363636369</v>
      </c>
      <c r="X677" s="5">
        <f t="shared" si="87"/>
        <v>-1</v>
      </c>
    </row>
    <row r="678" spans="1:24" x14ac:dyDescent="0.35">
      <c r="A678" s="3">
        <v>46134</v>
      </c>
      <c r="B678" t="s">
        <v>892</v>
      </c>
      <c r="C678" t="s">
        <v>990</v>
      </c>
      <c r="D678" t="s">
        <v>40</v>
      </c>
      <c r="E678" t="s">
        <v>19</v>
      </c>
      <c r="F678" t="s">
        <v>20</v>
      </c>
      <c r="G678" t="s">
        <v>59</v>
      </c>
      <c r="H678" t="s">
        <v>48</v>
      </c>
      <c r="I678">
        <v>3061</v>
      </c>
      <c r="J678">
        <v>3025</v>
      </c>
      <c r="K678">
        <v>2891</v>
      </c>
      <c r="L678">
        <v>79</v>
      </c>
      <c r="M678">
        <v>39</v>
      </c>
      <c r="N678">
        <v>1</v>
      </c>
      <c r="O678">
        <v>502.09</v>
      </c>
      <c r="P678">
        <v>736.85</v>
      </c>
      <c r="Q678" s="5">
        <f t="shared" si="80"/>
        <v>0.955702479338843</v>
      </c>
      <c r="R678" s="5">
        <f t="shared" si="81"/>
        <v>2.7326184711172603E-2</v>
      </c>
      <c r="S678" s="5">
        <f t="shared" si="82"/>
        <v>0.49367088607594939</v>
      </c>
      <c r="T678" s="5">
        <f t="shared" si="83"/>
        <v>2.564102564102564E-2</v>
      </c>
      <c r="U678" s="5">
        <f t="shared" si="84"/>
        <v>3.4590107229332413E-4</v>
      </c>
      <c r="V678" s="6">
        <f t="shared" si="85"/>
        <v>12.874102564102563</v>
      </c>
      <c r="W678" s="7">
        <f t="shared" si="86"/>
        <v>6.3555696202531644</v>
      </c>
      <c r="X678" s="5">
        <f t="shared" si="87"/>
        <v>0.46756557589276837</v>
      </c>
    </row>
    <row r="679" spans="1:24" x14ac:dyDescent="0.35">
      <c r="A679" s="3">
        <v>46134</v>
      </c>
      <c r="B679" t="s">
        <v>819</v>
      </c>
      <c r="C679" t="s">
        <v>991</v>
      </c>
      <c r="D679" t="s">
        <v>18</v>
      </c>
      <c r="E679" t="s">
        <v>35</v>
      </c>
      <c r="F679" t="s">
        <v>20</v>
      </c>
      <c r="G679" t="s">
        <v>36</v>
      </c>
      <c r="H679" t="s">
        <v>37</v>
      </c>
      <c r="I679">
        <v>495</v>
      </c>
      <c r="J679">
        <v>484</v>
      </c>
      <c r="K679">
        <v>442</v>
      </c>
      <c r="L679">
        <v>34</v>
      </c>
      <c r="M679">
        <v>19</v>
      </c>
      <c r="N679">
        <v>1</v>
      </c>
      <c r="O679">
        <v>63.02</v>
      </c>
      <c r="P679">
        <v>885.64</v>
      </c>
      <c r="Q679" s="5">
        <f t="shared" si="80"/>
        <v>0.91322314049586772</v>
      </c>
      <c r="R679" s="5">
        <f t="shared" si="81"/>
        <v>7.6923076923076927E-2</v>
      </c>
      <c r="S679" s="5">
        <f t="shared" si="82"/>
        <v>0.55882352941176472</v>
      </c>
      <c r="T679" s="5">
        <f t="shared" si="83"/>
        <v>5.2631578947368418E-2</v>
      </c>
      <c r="U679" s="5">
        <f t="shared" si="84"/>
        <v>2.2624434389140274E-3</v>
      </c>
      <c r="V679" s="6">
        <f t="shared" si="85"/>
        <v>3.316842105263158</v>
      </c>
      <c r="W679" s="7">
        <f t="shared" si="86"/>
        <v>1.8535294117647059</v>
      </c>
      <c r="X679" s="5">
        <f t="shared" si="87"/>
        <v>13.053316407489685</v>
      </c>
    </row>
    <row r="680" spans="1:24" x14ac:dyDescent="0.35">
      <c r="A680" s="3">
        <v>46134</v>
      </c>
      <c r="B680" t="s">
        <v>821</v>
      </c>
      <c r="C680" t="s">
        <v>992</v>
      </c>
      <c r="D680" t="s">
        <v>31</v>
      </c>
      <c r="E680" t="s">
        <v>19</v>
      </c>
      <c r="F680" t="s">
        <v>20</v>
      </c>
      <c r="G680" t="s">
        <v>21</v>
      </c>
      <c r="H680" t="s">
        <v>48</v>
      </c>
      <c r="I680">
        <v>3018</v>
      </c>
      <c r="J680">
        <v>2317</v>
      </c>
      <c r="K680">
        <v>2230</v>
      </c>
      <c r="L680">
        <v>24</v>
      </c>
      <c r="M680">
        <v>10</v>
      </c>
      <c r="N680">
        <v>0</v>
      </c>
      <c r="O680">
        <v>465.25</v>
      </c>
      <c r="P680">
        <v>0</v>
      </c>
      <c r="Q680" s="5">
        <f t="shared" si="80"/>
        <v>0.96245144583513165</v>
      </c>
      <c r="R680" s="5">
        <f t="shared" si="81"/>
        <v>1.0762331838565023E-2</v>
      </c>
      <c r="S680" s="5">
        <f t="shared" si="82"/>
        <v>0.41666666666666669</v>
      </c>
      <c r="T680" s="5">
        <f t="shared" si="83"/>
        <v>0</v>
      </c>
      <c r="U680" s="5">
        <f t="shared" si="84"/>
        <v>0</v>
      </c>
      <c r="V680" s="6">
        <f t="shared" si="85"/>
        <v>46.524999999999999</v>
      </c>
      <c r="W680" s="7">
        <f t="shared" si="86"/>
        <v>19.385416666666668</v>
      </c>
      <c r="X680" s="5">
        <f t="shared" si="87"/>
        <v>-1</v>
      </c>
    </row>
    <row r="681" spans="1:24" x14ac:dyDescent="0.35">
      <c r="A681" s="3">
        <v>46134</v>
      </c>
      <c r="B681" t="s">
        <v>993</v>
      </c>
      <c r="C681" t="s">
        <v>994</v>
      </c>
      <c r="D681" t="s">
        <v>18</v>
      </c>
      <c r="E681" t="s">
        <v>19</v>
      </c>
      <c r="F681" t="s">
        <v>20</v>
      </c>
      <c r="G681" t="s">
        <v>27</v>
      </c>
      <c r="H681" t="s">
        <v>37</v>
      </c>
      <c r="I681">
        <v>1967</v>
      </c>
      <c r="J681">
        <v>1630</v>
      </c>
      <c r="K681">
        <v>1474</v>
      </c>
      <c r="L681">
        <v>31</v>
      </c>
      <c r="M681">
        <v>16</v>
      </c>
      <c r="N681">
        <v>0</v>
      </c>
      <c r="O681">
        <v>223.99</v>
      </c>
      <c r="P681">
        <v>0</v>
      </c>
      <c r="Q681" s="5">
        <f t="shared" si="80"/>
        <v>0.90429447852760736</v>
      </c>
      <c r="R681" s="5">
        <f t="shared" si="81"/>
        <v>2.1031207598371779E-2</v>
      </c>
      <c r="S681" s="5">
        <f t="shared" si="82"/>
        <v>0.5161290322580645</v>
      </c>
      <c r="T681" s="5">
        <f t="shared" si="83"/>
        <v>0</v>
      </c>
      <c r="U681" s="5">
        <f t="shared" si="84"/>
        <v>0</v>
      </c>
      <c r="V681" s="6">
        <f t="shared" si="85"/>
        <v>13.999375000000001</v>
      </c>
      <c r="W681" s="7">
        <f t="shared" si="86"/>
        <v>7.225483870967742</v>
      </c>
      <c r="X681" s="5">
        <f t="shared" si="87"/>
        <v>-1</v>
      </c>
    </row>
    <row r="682" spans="1:24" x14ac:dyDescent="0.35">
      <c r="A682" s="3">
        <v>46134</v>
      </c>
      <c r="B682" t="s">
        <v>865</v>
      </c>
      <c r="C682" t="s">
        <v>995</v>
      </c>
      <c r="D682" t="s">
        <v>18</v>
      </c>
      <c r="E682" t="s">
        <v>25</v>
      </c>
      <c r="F682" t="s">
        <v>20</v>
      </c>
      <c r="G682" t="s">
        <v>59</v>
      </c>
      <c r="H682" t="s">
        <v>22</v>
      </c>
      <c r="I682">
        <v>4447</v>
      </c>
      <c r="J682">
        <v>3544</v>
      </c>
      <c r="K682">
        <v>3238</v>
      </c>
      <c r="L682">
        <v>146</v>
      </c>
      <c r="M682">
        <v>60</v>
      </c>
      <c r="N682">
        <v>2</v>
      </c>
      <c r="O682">
        <v>419.96</v>
      </c>
      <c r="P682">
        <v>1587.44</v>
      </c>
      <c r="Q682" s="5">
        <f t="shared" si="80"/>
        <v>0.91365688487584651</v>
      </c>
      <c r="R682" s="5">
        <f t="shared" si="81"/>
        <v>4.5089561457689935E-2</v>
      </c>
      <c r="S682" s="5">
        <f t="shared" si="82"/>
        <v>0.41095890410958902</v>
      </c>
      <c r="T682" s="5">
        <f t="shared" si="83"/>
        <v>3.3333333333333333E-2</v>
      </c>
      <c r="U682" s="5">
        <f t="shared" si="84"/>
        <v>6.1766522544780733E-4</v>
      </c>
      <c r="V682" s="6">
        <f t="shared" si="85"/>
        <v>6.9993333333333334</v>
      </c>
      <c r="W682" s="7">
        <f t="shared" si="86"/>
        <v>2.8764383561643836</v>
      </c>
      <c r="X682" s="5">
        <f t="shared" si="87"/>
        <v>2.779979045623393</v>
      </c>
    </row>
    <row r="683" spans="1:24" x14ac:dyDescent="0.35">
      <c r="A683" s="3">
        <v>46135</v>
      </c>
      <c r="B683" t="s">
        <v>852</v>
      </c>
      <c r="C683" t="s">
        <v>996</v>
      </c>
      <c r="D683" t="s">
        <v>31</v>
      </c>
      <c r="E683" t="s">
        <v>25</v>
      </c>
      <c r="F683" t="s">
        <v>20</v>
      </c>
      <c r="G683" t="s">
        <v>41</v>
      </c>
      <c r="H683" t="s">
        <v>51</v>
      </c>
      <c r="I683">
        <v>464</v>
      </c>
      <c r="J683">
        <v>344</v>
      </c>
      <c r="K683">
        <v>322</v>
      </c>
      <c r="L683">
        <v>3</v>
      </c>
      <c r="M683">
        <v>1</v>
      </c>
      <c r="N683">
        <v>0</v>
      </c>
      <c r="O683">
        <v>67.430000000000007</v>
      </c>
      <c r="P683">
        <v>0</v>
      </c>
      <c r="Q683" s="5">
        <f t="shared" si="80"/>
        <v>0.93604651162790697</v>
      </c>
      <c r="R683" s="5">
        <f t="shared" si="81"/>
        <v>9.316770186335404E-3</v>
      </c>
      <c r="S683" s="5">
        <f t="shared" si="82"/>
        <v>0.33333333333333331</v>
      </c>
      <c r="T683" s="5">
        <f t="shared" si="83"/>
        <v>0</v>
      </c>
      <c r="U683" s="5">
        <f t="shared" si="84"/>
        <v>0</v>
      </c>
      <c r="V683" s="6">
        <f t="shared" si="85"/>
        <v>67.430000000000007</v>
      </c>
      <c r="W683" s="7">
        <f t="shared" si="86"/>
        <v>22.47666666666667</v>
      </c>
      <c r="X683" s="5">
        <f t="shared" si="87"/>
        <v>-1</v>
      </c>
    </row>
    <row r="684" spans="1:24" x14ac:dyDescent="0.35">
      <c r="A684" s="3">
        <v>46135</v>
      </c>
      <c r="B684" t="s">
        <v>896</v>
      </c>
      <c r="C684" t="s">
        <v>997</v>
      </c>
      <c r="D684" t="s">
        <v>31</v>
      </c>
      <c r="E684" t="s">
        <v>56</v>
      </c>
      <c r="F684" t="s">
        <v>20</v>
      </c>
      <c r="G684" t="s">
        <v>27</v>
      </c>
      <c r="H684" t="s">
        <v>28</v>
      </c>
      <c r="I684">
        <v>2043</v>
      </c>
      <c r="J684">
        <v>1643</v>
      </c>
      <c r="K684">
        <v>1615</v>
      </c>
      <c r="L684">
        <v>60</v>
      </c>
      <c r="M684">
        <v>20</v>
      </c>
      <c r="N684">
        <v>1</v>
      </c>
      <c r="O684">
        <v>277.89</v>
      </c>
      <c r="P684">
        <v>853.69</v>
      </c>
      <c r="Q684" s="5">
        <f t="shared" si="80"/>
        <v>0.98295800365185637</v>
      </c>
      <c r="R684" s="5">
        <f t="shared" si="81"/>
        <v>3.7151702786377708E-2</v>
      </c>
      <c r="S684" s="5">
        <f t="shared" si="82"/>
        <v>0.33333333333333331</v>
      </c>
      <c r="T684" s="5">
        <f t="shared" si="83"/>
        <v>0.05</v>
      </c>
      <c r="U684" s="5">
        <f t="shared" si="84"/>
        <v>6.1919504643962852E-4</v>
      </c>
      <c r="V684" s="6">
        <f t="shared" si="85"/>
        <v>13.894499999999999</v>
      </c>
      <c r="W684" s="7">
        <f t="shared" si="86"/>
        <v>4.6315</v>
      </c>
      <c r="X684" s="5">
        <f t="shared" si="87"/>
        <v>2.0720428946705534</v>
      </c>
    </row>
    <row r="685" spans="1:24" x14ac:dyDescent="0.35">
      <c r="A685" s="3">
        <v>46135</v>
      </c>
      <c r="B685" t="s">
        <v>904</v>
      </c>
      <c r="C685" t="s">
        <v>998</v>
      </c>
      <c r="D685" t="s">
        <v>18</v>
      </c>
      <c r="E685" t="s">
        <v>56</v>
      </c>
      <c r="F685" t="s">
        <v>20</v>
      </c>
      <c r="G685" t="s">
        <v>41</v>
      </c>
      <c r="H685" t="s">
        <v>22</v>
      </c>
      <c r="I685">
        <v>2160</v>
      </c>
      <c r="J685">
        <v>2094</v>
      </c>
      <c r="K685">
        <v>1873</v>
      </c>
      <c r="L685">
        <v>112</v>
      </c>
      <c r="M685">
        <v>57</v>
      </c>
      <c r="N685">
        <v>2</v>
      </c>
      <c r="O685">
        <v>234.25</v>
      </c>
      <c r="P685">
        <v>1781.86</v>
      </c>
      <c r="Q685" s="5">
        <f t="shared" si="80"/>
        <v>0.89446036294173825</v>
      </c>
      <c r="R685" s="5">
        <f t="shared" si="81"/>
        <v>5.9797116924719701E-2</v>
      </c>
      <c r="S685" s="5">
        <f t="shared" si="82"/>
        <v>0.5089285714285714</v>
      </c>
      <c r="T685" s="5">
        <f t="shared" si="83"/>
        <v>3.5087719298245612E-2</v>
      </c>
      <c r="U685" s="5">
        <f t="shared" si="84"/>
        <v>1.0678056593699946E-3</v>
      </c>
      <c r="V685" s="6">
        <f t="shared" si="85"/>
        <v>4.1096491228070171</v>
      </c>
      <c r="W685" s="7">
        <f t="shared" si="86"/>
        <v>2.0915178571428572</v>
      </c>
      <c r="X685" s="5">
        <f t="shared" si="87"/>
        <v>6.6066595517609388</v>
      </c>
    </row>
    <row r="686" spans="1:24" x14ac:dyDescent="0.35">
      <c r="A686" s="3">
        <v>46135</v>
      </c>
      <c r="B686" t="s">
        <v>955</v>
      </c>
      <c r="C686" t="s">
        <v>999</v>
      </c>
      <c r="D686" t="s">
        <v>34</v>
      </c>
      <c r="E686" t="s">
        <v>25</v>
      </c>
      <c r="F686" t="s">
        <v>20</v>
      </c>
      <c r="G686" t="s">
        <v>59</v>
      </c>
      <c r="H686" t="s">
        <v>51</v>
      </c>
      <c r="I686">
        <v>1905</v>
      </c>
      <c r="J686">
        <v>1492</v>
      </c>
      <c r="K686">
        <v>1377</v>
      </c>
      <c r="L686">
        <v>56</v>
      </c>
      <c r="M686">
        <v>26</v>
      </c>
      <c r="N686">
        <v>1</v>
      </c>
      <c r="O686">
        <v>109.22</v>
      </c>
      <c r="P686">
        <v>829.5</v>
      </c>
      <c r="Q686" s="5">
        <f t="shared" si="80"/>
        <v>0.92292225201072386</v>
      </c>
      <c r="R686" s="5">
        <f t="shared" si="81"/>
        <v>4.0668119099491647E-2</v>
      </c>
      <c r="S686" s="5">
        <f t="shared" si="82"/>
        <v>0.4642857142857143</v>
      </c>
      <c r="T686" s="5">
        <f t="shared" si="83"/>
        <v>3.8461538461538464E-2</v>
      </c>
      <c r="U686" s="5">
        <f t="shared" si="84"/>
        <v>7.2621641249092229E-4</v>
      </c>
      <c r="V686" s="6">
        <f t="shared" si="85"/>
        <v>4.2007692307692306</v>
      </c>
      <c r="W686" s="7">
        <f t="shared" si="86"/>
        <v>1.9503571428571429</v>
      </c>
      <c r="X686" s="5">
        <f t="shared" si="87"/>
        <v>6.5947628639443323</v>
      </c>
    </row>
    <row r="687" spans="1:24" x14ac:dyDescent="0.35">
      <c r="A687" s="3">
        <v>46135</v>
      </c>
      <c r="B687" t="s">
        <v>1000</v>
      </c>
      <c r="C687" t="s">
        <v>1001</v>
      </c>
      <c r="D687" t="s">
        <v>34</v>
      </c>
      <c r="E687" t="s">
        <v>19</v>
      </c>
      <c r="F687" t="s">
        <v>20</v>
      </c>
      <c r="G687" t="s">
        <v>21</v>
      </c>
      <c r="H687" t="s">
        <v>48</v>
      </c>
      <c r="I687">
        <v>2247</v>
      </c>
      <c r="J687">
        <v>2075</v>
      </c>
      <c r="K687">
        <v>1941</v>
      </c>
      <c r="L687">
        <v>38</v>
      </c>
      <c r="M687">
        <v>16</v>
      </c>
      <c r="N687">
        <v>0</v>
      </c>
      <c r="O687">
        <v>164.44</v>
      </c>
      <c r="P687">
        <v>0</v>
      </c>
      <c r="Q687" s="5">
        <f t="shared" si="80"/>
        <v>0.935421686746988</v>
      </c>
      <c r="R687" s="5">
        <f t="shared" si="81"/>
        <v>1.9577537351880475E-2</v>
      </c>
      <c r="S687" s="5">
        <f t="shared" si="82"/>
        <v>0.42105263157894735</v>
      </c>
      <c r="T687" s="5">
        <f t="shared" si="83"/>
        <v>0</v>
      </c>
      <c r="U687" s="5">
        <f t="shared" si="84"/>
        <v>0</v>
      </c>
      <c r="V687" s="6">
        <f t="shared" si="85"/>
        <v>10.2775</v>
      </c>
      <c r="W687" s="7">
        <f t="shared" si="86"/>
        <v>4.3273684210526318</v>
      </c>
      <c r="X687" s="5">
        <f t="shared" si="87"/>
        <v>-1</v>
      </c>
    </row>
    <row r="688" spans="1:24" x14ac:dyDescent="0.35">
      <c r="A688" s="3">
        <v>46135</v>
      </c>
      <c r="B688" t="s">
        <v>993</v>
      </c>
      <c r="C688" t="s">
        <v>1002</v>
      </c>
      <c r="D688" t="s">
        <v>34</v>
      </c>
      <c r="E688" t="s">
        <v>25</v>
      </c>
      <c r="F688" t="s">
        <v>26</v>
      </c>
      <c r="G688" t="s">
        <v>21</v>
      </c>
      <c r="H688" t="s">
        <v>28</v>
      </c>
      <c r="I688">
        <v>971</v>
      </c>
      <c r="J688">
        <v>813</v>
      </c>
      <c r="K688">
        <v>753</v>
      </c>
      <c r="L688">
        <v>33</v>
      </c>
      <c r="M688">
        <v>17</v>
      </c>
      <c r="N688">
        <v>1</v>
      </c>
      <c r="O688">
        <v>65.319999999999993</v>
      </c>
      <c r="P688">
        <v>1007.74</v>
      </c>
      <c r="Q688" s="5">
        <f t="shared" si="80"/>
        <v>0.92619926199261993</v>
      </c>
      <c r="R688" s="5">
        <f t="shared" si="81"/>
        <v>4.3824701195219126E-2</v>
      </c>
      <c r="S688" s="5">
        <f t="shared" si="82"/>
        <v>0.51515151515151514</v>
      </c>
      <c r="T688" s="5">
        <f t="shared" si="83"/>
        <v>5.8823529411764705E-2</v>
      </c>
      <c r="U688" s="5">
        <f t="shared" si="84"/>
        <v>1.3280212483399733E-3</v>
      </c>
      <c r="V688" s="6">
        <f t="shared" si="85"/>
        <v>3.8423529411764701</v>
      </c>
      <c r="W688" s="7">
        <f t="shared" si="86"/>
        <v>1.9793939393939393</v>
      </c>
      <c r="X688" s="5">
        <f t="shared" si="87"/>
        <v>14.427740355174528</v>
      </c>
    </row>
    <row r="689" spans="1:24" x14ac:dyDescent="0.35">
      <c r="A689" s="3">
        <v>46135</v>
      </c>
      <c r="B689" t="s">
        <v>794</v>
      </c>
      <c r="C689" t="s">
        <v>1003</v>
      </c>
      <c r="D689" t="s">
        <v>34</v>
      </c>
      <c r="E689" t="s">
        <v>25</v>
      </c>
      <c r="F689" t="s">
        <v>20</v>
      </c>
      <c r="G689" t="s">
        <v>21</v>
      </c>
      <c r="H689" t="s">
        <v>28</v>
      </c>
      <c r="I689">
        <v>1474</v>
      </c>
      <c r="J689">
        <v>1290</v>
      </c>
      <c r="K689">
        <v>1246</v>
      </c>
      <c r="L689">
        <v>45</v>
      </c>
      <c r="M689">
        <v>18</v>
      </c>
      <c r="N689">
        <v>1</v>
      </c>
      <c r="O689">
        <v>94.34</v>
      </c>
      <c r="P689">
        <v>995.33</v>
      </c>
      <c r="Q689" s="5">
        <f t="shared" si="80"/>
        <v>0.96589147286821708</v>
      </c>
      <c r="R689" s="5">
        <f t="shared" si="81"/>
        <v>3.6115569823434994E-2</v>
      </c>
      <c r="S689" s="5">
        <f t="shared" si="82"/>
        <v>0.4</v>
      </c>
      <c r="T689" s="5">
        <f t="shared" si="83"/>
        <v>5.5555555555555552E-2</v>
      </c>
      <c r="U689" s="5">
        <f t="shared" si="84"/>
        <v>8.0256821829855537E-4</v>
      </c>
      <c r="V689" s="6">
        <f t="shared" si="85"/>
        <v>5.2411111111111115</v>
      </c>
      <c r="W689" s="7">
        <f t="shared" si="86"/>
        <v>2.0964444444444443</v>
      </c>
      <c r="X689" s="5">
        <f t="shared" si="87"/>
        <v>9.5504557981768077</v>
      </c>
    </row>
    <row r="690" spans="1:24" x14ac:dyDescent="0.35">
      <c r="A690" s="3">
        <v>46135</v>
      </c>
      <c r="B690" t="s">
        <v>1004</v>
      </c>
      <c r="C690" t="s">
        <v>1005</v>
      </c>
      <c r="D690" t="s">
        <v>34</v>
      </c>
      <c r="E690" t="s">
        <v>25</v>
      </c>
      <c r="F690" t="s">
        <v>20</v>
      </c>
      <c r="G690" t="s">
        <v>21</v>
      </c>
      <c r="H690" t="s">
        <v>28</v>
      </c>
      <c r="I690">
        <v>463</v>
      </c>
      <c r="J690">
        <v>448</v>
      </c>
      <c r="K690">
        <v>424</v>
      </c>
      <c r="L690">
        <v>5</v>
      </c>
      <c r="M690">
        <v>2</v>
      </c>
      <c r="N690">
        <v>0</v>
      </c>
      <c r="O690">
        <v>41.69</v>
      </c>
      <c r="P690">
        <v>0</v>
      </c>
      <c r="Q690" s="5">
        <f t="shared" si="80"/>
        <v>0.9464285714285714</v>
      </c>
      <c r="R690" s="5">
        <f t="shared" si="81"/>
        <v>1.179245283018868E-2</v>
      </c>
      <c r="S690" s="5">
        <f t="shared" si="82"/>
        <v>0.4</v>
      </c>
      <c r="T690" s="5">
        <f t="shared" si="83"/>
        <v>0</v>
      </c>
      <c r="U690" s="5">
        <f t="shared" si="84"/>
        <v>0</v>
      </c>
      <c r="V690" s="6">
        <f t="shared" si="85"/>
        <v>20.844999999999999</v>
      </c>
      <c r="W690" s="7">
        <f t="shared" si="86"/>
        <v>8.3379999999999992</v>
      </c>
      <c r="X690" s="5">
        <f t="shared" si="87"/>
        <v>-1</v>
      </c>
    </row>
    <row r="691" spans="1:24" x14ac:dyDescent="0.35">
      <c r="A691" s="3">
        <v>46136</v>
      </c>
      <c r="B691" t="s">
        <v>1006</v>
      </c>
      <c r="C691" t="s">
        <v>1007</v>
      </c>
      <c r="D691" t="s">
        <v>40</v>
      </c>
      <c r="E691" t="s">
        <v>35</v>
      </c>
      <c r="F691" t="s">
        <v>20</v>
      </c>
      <c r="G691" t="s">
        <v>41</v>
      </c>
      <c r="H691" t="s">
        <v>51</v>
      </c>
      <c r="I691">
        <v>4388</v>
      </c>
      <c r="J691">
        <v>3511</v>
      </c>
      <c r="K691">
        <v>3281</v>
      </c>
      <c r="L691">
        <v>246</v>
      </c>
      <c r="M691">
        <v>125</v>
      </c>
      <c r="N691">
        <v>7</v>
      </c>
      <c r="O691">
        <v>532.54</v>
      </c>
      <c r="P691">
        <v>10377.01</v>
      </c>
      <c r="Q691" s="5">
        <f t="shared" si="80"/>
        <v>0.9344915978353745</v>
      </c>
      <c r="R691" s="5">
        <f t="shared" si="81"/>
        <v>7.4977141115513568E-2</v>
      </c>
      <c r="S691" s="5">
        <f t="shared" si="82"/>
        <v>0.50813008130081305</v>
      </c>
      <c r="T691" s="5">
        <f t="shared" si="83"/>
        <v>5.6000000000000001E-2</v>
      </c>
      <c r="U691" s="5">
        <f t="shared" si="84"/>
        <v>2.1334958854007926E-3</v>
      </c>
      <c r="V691" s="6">
        <f t="shared" si="85"/>
        <v>4.2603200000000001</v>
      </c>
      <c r="W691" s="7">
        <f t="shared" si="86"/>
        <v>2.1647967479674795</v>
      </c>
      <c r="X691" s="5">
        <f t="shared" si="87"/>
        <v>18.485878995005073</v>
      </c>
    </row>
    <row r="692" spans="1:24" x14ac:dyDescent="0.35">
      <c r="A692" s="3">
        <v>46136</v>
      </c>
      <c r="B692" t="s">
        <v>920</v>
      </c>
      <c r="C692" t="s">
        <v>1008</v>
      </c>
      <c r="D692" t="s">
        <v>34</v>
      </c>
      <c r="E692" t="s">
        <v>19</v>
      </c>
      <c r="F692" t="s">
        <v>26</v>
      </c>
      <c r="G692" t="s">
        <v>21</v>
      </c>
      <c r="H692" t="s">
        <v>28</v>
      </c>
      <c r="I692">
        <v>4530</v>
      </c>
      <c r="J692">
        <v>3756</v>
      </c>
      <c r="K692">
        <v>3619</v>
      </c>
      <c r="L692">
        <v>39</v>
      </c>
      <c r="M692">
        <v>23</v>
      </c>
      <c r="N692">
        <v>0</v>
      </c>
      <c r="O692">
        <v>325.36</v>
      </c>
      <c r="P692">
        <v>0</v>
      </c>
      <c r="Q692" s="5">
        <f t="shared" si="80"/>
        <v>0.96352502662406814</v>
      </c>
      <c r="R692" s="5">
        <f t="shared" si="81"/>
        <v>1.0776457584968223E-2</v>
      </c>
      <c r="S692" s="5">
        <f t="shared" si="82"/>
        <v>0.58974358974358976</v>
      </c>
      <c r="T692" s="5">
        <f t="shared" si="83"/>
        <v>0</v>
      </c>
      <c r="U692" s="5">
        <f t="shared" si="84"/>
        <v>0</v>
      </c>
      <c r="V692" s="6">
        <f t="shared" si="85"/>
        <v>14.14608695652174</v>
      </c>
      <c r="W692" s="7">
        <f t="shared" si="86"/>
        <v>8.3425641025641024</v>
      </c>
      <c r="X692" s="5">
        <f t="shared" si="87"/>
        <v>-1</v>
      </c>
    </row>
    <row r="693" spans="1:24" x14ac:dyDescent="0.35">
      <c r="A693" s="3">
        <v>46136</v>
      </c>
      <c r="B693" t="s">
        <v>829</v>
      </c>
      <c r="C693" t="s">
        <v>1009</v>
      </c>
      <c r="D693" t="s">
        <v>18</v>
      </c>
      <c r="E693" t="s">
        <v>35</v>
      </c>
      <c r="F693" t="s">
        <v>20</v>
      </c>
      <c r="G693" t="s">
        <v>21</v>
      </c>
      <c r="H693" t="s">
        <v>51</v>
      </c>
      <c r="I693">
        <v>2891</v>
      </c>
      <c r="J693">
        <v>2437</v>
      </c>
      <c r="K693">
        <v>2225</v>
      </c>
      <c r="L693">
        <v>164</v>
      </c>
      <c r="M693">
        <v>88</v>
      </c>
      <c r="N693">
        <v>6</v>
      </c>
      <c r="O693">
        <v>286.75</v>
      </c>
      <c r="P693">
        <v>7512.48</v>
      </c>
      <c r="Q693" s="5">
        <f t="shared" si="80"/>
        <v>0.913007796471071</v>
      </c>
      <c r="R693" s="5">
        <f t="shared" si="81"/>
        <v>7.3707865168539333E-2</v>
      </c>
      <c r="S693" s="5">
        <f t="shared" si="82"/>
        <v>0.53658536585365857</v>
      </c>
      <c r="T693" s="5">
        <f t="shared" si="83"/>
        <v>6.8181818181818177E-2</v>
      </c>
      <c r="U693" s="5">
        <f t="shared" si="84"/>
        <v>2.696629213483146E-3</v>
      </c>
      <c r="V693" s="6">
        <f t="shared" si="85"/>
        <v>3.2585227272727271</v>
      </c>
      <c r="W693" s="7">
        <f t="shared" si="86"/>
        <v>1.7484756097560976</v>
      </c>
      <c r="X693" s="5">
        <f t="shared" si="87"/>
        <v>25.198709677419352</v>
      </c>
    </row>
    <row r="694" spans="1:24" x14ac:dyDescent="0.35">
      <c r="A694" s="3">
        <v>46137</v>
      </c>
      <c r="B694" t="s">
        <v>889</v>
      </c>
      <c r="C694" t="s">
        <v>1010</v>
      </c>
      <c r="D694" t="s">
        <v>18</v>
      </c>
      <c r="E694" t="s">
        <v>25</v>
      </c>
      <c r="F694" t="s">
        <v>26</v>
      </c>
      <c r="G694" t="s">
        <v>36</v>
      </c>
      <c r="H694" t="s">
        <v>22</v>
      </c>
      <c r="I694">
        <v>2941</v>
      </c>
      <c r="J694">
        <v>2928</v>
      </c>
      <c r="K694">
        <v>2608</v>
      </c>
      <c r="L694">
        <v>145</v>
      </c>
      <c r="M694">
        <v>82</v>
      </c>
      <c r="N694">
        <v>4</v>
      </c>
      <c r="O694">
        <v>366.81</v>
      </c>
      <c r="P694">
        <v>5059.3100000000004</v>
      </c>
      <c r="Q694" s="5">
        <f t="shared" si="80"/>
        <v>0.89071038251366119</v>
      </c>
      <c r="R694" s="5">
        <f t="shared" si="81"/>
        <v>5.5598159509202452E-2</v>
      </c>
      <c r="S694" s="5">
        <f t="shared" si="82"/>
        <v>0.56551724137931036</v>
      </c>
      <c r="T694" s="5">
        <f t="shared" si="83"/>
        <v>4.878048780487805E-2</v>
      </c>
      <c r="U694" s="5">
        <f t="shared" si="84"/>
        <v>1.5337423312883436E-3</v>
      </c>
      <c r="V694" s="6">
        <f t="shared" si="85"/>
        <v>4.4732926829268296</v>
      </c>
      <c r="W694" s="7">
        <f t="shared" si="86"/>
        <v>2.5297241379310345</v>
      </c>
      <c r="X694" s="5">
        <f t="shared" si="87"/>
        <v>12.792726479648865</v>
      </c>
    </row>
    <row r="695" spans="1:24" x14ac:dyDescent="0.35">
      <c r="A695" s="3">
        <v>46137</v>
      </c>
      <c r="B695" t="s">
        <v>889</v>
      </c>
      <c r="C695" t="s">
        <v>1011</v>
      </c>
      <c r="D695" t="s">
        <v>18</v>
      </c>
      <c r="E695" t="s">
        <v>25</v>
      </c>
      <c r="F695" t="s">
        <v>20</v>
      </c>
      <c r="G695" t="s">
        <v>36</v>
      </c>
      <c r="H695" t="s">
        <v>48</v>
      </c>
      <c r="I695">
        <v>3104</v>
      </c>
      <c r="J695">
        <v>2505</v>
      </c>
      <c r="K695">
        <v>2314</v>
      </c>
      <c r="L695">
        <v>93</v>
      </c>
      <c r="M695">
        <v>47</v>
      </c>
      <c r="N695">
        <v>3</v>
      </c>
      <c r="O695">
        <v>305.54000000000002</v>
      </c>
      <c r="P695">
        <v>3609.74</v>
      </c>
      <c r="Q695" s="5">
        <f t="shared" si="80"/>
        <v>0.92375249500998002</v>
      </c>
      <c r="R695" s="5">
        <f t="shared" si="81"/>
        <v>4.0190146931719968E-2</v>
      </c>
      <c r="S695" s="5">
        <f t="shared" si="82"/>
        <v>0.5053763440860215</v>
      </c>
      <c r="T695" s="5">
        <f t="shared" si="83"/>
        <v>6.3829787234042548E-2</v>
      </c>
      <c r="U695" s="5">
        <f t="shared" si="84"/>
        <v>1.2964563526361278E-3</v>
      </c>
      <c r="V695" s="6">
        <f t="shared" si="85"/>
        <v>6.5008510638297876</v>
      </c>
      <c r="W695" s="7">
        <f t="shared" si="86"/>
        <v>3.2853763440860217</v>
      </c>
      <c r="X695" s="5">
        <f t="shared" si="87"/>
        <v>10.814296000523662</v>
      </c>
    </row>
    <row r="696" spans="1:24" x14ac:dyDescent="0.35">
      <c r="A696" s="3">
        <v>46137</v>
      </c>
      <c r="B696" t="s">
        <v>815</v>
      </c>
      <c r="C696" t="s">
        <v>1012</v>
      </c>
      <c r="D696" t="s">
        <v>18</v>
      </c>
      <c r="E696" t="s">
        <v>35</v>
      </c>
      <c r="F696" t="s">
        <v>20</v>
      </c>
      <c r="G696" t="s">
        <v>41</v>
      </c>
      <c r="H696" t="s">
        <v>51</v>
      </c>
      <c r="I696">
        <v>2994</v>
      </c>
      <c r="J696">
        <v>2283</v>
      </c>
      <c r="K696">
        <v>2109</v>
      </c>
      <c r="L696">
        <v>159</v>
      </c>
      <c r="M696">
        <v>81</v>
      </c>
      <c r="N696">
        <v>5</v>
      </c>
      <c r="O696">
        <v>241.38</v>
      </c>
      <c r="P696">
        <v>5746.55</v>
      </c>
      <c r="Q696" s="5">
        <f t="shared" si="80"/>
        <v>0.92378449408672803</v>
      </c>
      <c r="R696" s="5">
        <f t="shared" si="81"/>
        <v>7.5391180654338544E-2</v>
      </c>
      <c r="S696" s="5">
        <f t="shared" si="82"/>
        <v>0.50943396226415094</v>
      </c>
      <c r="T696" s="5">
        <f t="shared" si="83"/>
        <v>6.1728395061728392E-2</v>
      </c>
      <c r="U696" s="5">
        <f t="shared" si="84"/>
        <v>2.3707918444760552E-3</v>
      </c>
      <c r="V696" s="6">
        <f t="shared" si="85"/>
        <v>2.98</v>
      </c>
      <c r="W696" s="7">
        <f t="shared" si="86"/>
        <v>1.5181132075471697</v>
      </c>
      <c r="X696" s="5">
        <f t="shared" si="87"/>
        <v>22.807067694092304</v>
      </c>
    </row>
    <row r="697" spans="1:24" x14ac:dyDescent="0.35">
      <c r="A697" s="3">
        <v>46137</v>
      </c>
      <c r="B697" t="s">
        <v>796</v>
      </c>
      <c r="C697" t="s">
        <v>1013</v>
      </c>
      <c r="D697" t="s">
        <v>18</v>
      </c>
      <c r="E697" t="s">
        <v>35</v>
      </c>
      <c r="F697" t="s">
        <v>26</v>
      </c>
      <c r="G697" t="s">
        <v>59</v>
      </c>
      <c r="H697" t="s">
        <v>48</v>
      </c>
      <c r="I697">
        <v>2456</v>
      </c>
      <c r="J697">
        <v>2235</v>
      </c>
      <c r="K697">
        <v>2023</v>
      </c>
      <c r="L697">
        <v>252</v>
      </c>
      <c r="M697">
        <v>149</v>
      </c>
      <c r="N697">
        <v>11</v>
      </c>
      <c r="O697">
        <v>259.37</v>
      </c>
      <c r="P697">
        <v>12102.41</v>
      </c>
      <c r="Q697" s="5">
        <f t="shared" si="80"/>
        <v>0.90514541387024605</v>
      </c>
      <c r="R697" s="5">
        <f t="shared" si="81"/>
        <v>0.1245674740484429</v>
      </c>
      <c r="S697" s="5">
        <f t="shared" si="82"/>
        <v>0.59126984126984128</v>
      </c>
      <c r="T697" s="5">
        <f t="shared" si="83"/>
        <v>7.3825503355704702E-2</v>
      </c>
      <c r="U697" s="5">
        <f t="shared" si="84"/>
        <v>5.4374691052891744E-3</v>
      </c>
      <c r="V697" s="6">
        <f t="shared" si="85"/>
        <v>1.7407382550335571</v>
      </c>
      <c r="W697" s="7">
        <f t="shared" si="86"/>
        <v>1.0292460317460317</v>
      </c>
      <c r="X697" s="5">
        <f t="shared" si="87"/>
        <v>45.660793461078761</v>
      </c>
    </row>
    <row r="698" spans="1:24" x14ac:dyDescent="0.35">
      <c r="A698" s="3">
        <v>46138</v>
      </c>
      <c r="B698" t="s">
        <v>809</v>
      </c>
      <c r="C698" t="s">
        <v>1014</v>
      </c>
      <c r="D698" t="s">
        <v>34</v>
      </c>
      <c r="E698" t="s">
        <v>56</v>
      </c>
      <c r="F698" t="s">
        <v>26</v>
      </c>
      <c r="G698" t="s">
        <v>59</v>
      </c>
      <c r="H698" t="s">
        <v>48</v>
      </c>
      <c r="I698">
        <v>2094</v>
      </c>
      <c r="J698">
        <v>1609</v>
      </c>
      <c r="K698">
        <v>1517</v>
      </c>
      <c r="L698">
        <v>91</v>
      </c>
      <c r="M698">
        <v>44</v>
      </c>
      <c r="N698">
        <v>4</v>
      </c>
      <c r="O698">
        <v>149.69999999999999</v>
      </c>
      <c r="P698">
        <v>3050.6</v>
      </c>
      <c r="Q698" s="5">
        <f t="shared" si="80"/>
        <v>0.94282162834058425</v>
      </c>
      <c r="R698" s="5">
        <f t="shared" si="81"/>
        <v>5.9986816084377059E-2</v>
      </c>
      <c r="S698" s="5">
        <f t="shared" si="82"/>
        <v>0.48351648351648352</v>
      </c>
      <c r="T698" s="5">
        <f t="shared" si="83"/>
        <v>9.0909090909090912E-2</v>
      </c>
      <c r="U698" s="5">
        <f t="shared" si="84"/>
        <v>2.6367831245880024E-3</v>
      </c>
      <c r="V698" s="6">
        <f t="shared" si="85"/>
        <v>3.4022727272727269</v>
      </c>
      <c r="W698" s="7">
        <f t="shared" si="86"/>
        <v>1.645054945054945</v>
      </c>
      <c r="X698" s="5">
        <f t="shared" si="87"/>
        <v>19.378089512358052</v>
      </c>
    </row>
    <row r="699" spans="1:24" x14ac:dyDescent="0.35">
      <c r="A699" s="3">
        <v>46138</v>
      </c>
      <c r="B699" t="s">
        <v>917</v>
      </c>
      <c r="C699" t="s">
        <v>1015</v>
      </c>
      <c r="D699" t="s">
        <v>18</v>
      </c>
      <c r="E699" t="s">
        <v>35</v>
      </c>
      <c r="F699" t="s">
        <v>26</v>
      </c>
      <c r="G699" t="s">
        <v>27</v>
      </c>
      <c r="H699" t="s">
        <v>51</v>
      </c>
      <c r="I699">
        <v>4514</v>
      </c>
      <c r="J699">
        <v>3762</v>
      </c>
      <c r="K699">
        <v>3379</v>
      </c>
      <c r="L699">
        <v>368</v>
      </c>
      <c r="M699">
        <v>233</v>
      </c>
      <c r="N699">
        <v>18</v>
      </c>
      <c r="O699">
        <v>464.38</v>
      </c>
      <c r="P699">
        <v>18660.03</v>
      </c>
      <c r="Q699" s="5">
        <f t="shared" si="80"/>
        <v>0.89819245082402976</v>
      </c>
      <c r="R699" s="5">
        <f t="shared" si="81"/>
        <v>0.10890796093518793</v>
      </c>
      <c r="S699" s="5">
        <f t="shared" si="82"/>
        <v>0.63315217391304346</v>
      </c>
      <c r="T699" s="5">
        <f t="shared" si="83"/>
        <v>7.7253218884120178E-2</v>
      </c>
      <c r="U699" s="5">
        <f t="shared" si="84"/>
        <v>5.3270198283515832E-3</v>
      </c>
      <c r="V699" s="6">
        <f t="shared" si="85"/>
        <v>1.9930472103004291</v>
      </c>
      <c r="W699" s="7">
        <f t="shared" si="86"/>
        <v>1.2619021739130434</v>
      </c>
      <c r="X699" s="5">
        <f t="shared" si="87"/>
        <v>39.182673672423441</v>
      </c>
    </row>
    <row r="700" spans="1:24" x14ac:dyDescent="0.35">
      <c r="A700" s="3">
        <v>46139</v>
      </c>
      <c r="B700" t="s">
        <v>912</v>
      </c>
      <c r="C700" t="s">
        <v>1016</v>
      </c>
      <c r="D700" t="s">
        <v>31</v>
      </c>
      <c r="E700" t="s">
        <v>56</v>
      </c>
      <c r="F700" t="s">
        <v>20</v>
      </c>
      <c r="G700" t="s">
        <v>59</v>
      </c>
      <c r="H700" t="s">
        <v>22</v>
      </c>
      <c r="I700">
        <v>1795</v>
      </c>
      <c r="J700">
        <v>1511</v>
      </c>
      <c r="K700">
        <v>1435</v>
      </c>
      <c r="L700">
        <v>52</v>
      </c>
      <c r="M700">
        <v>19</v>
      </c>
      <c r="N700">
        <v>1</v>
      </c>
      <c r="O700">
        <v>308.95999999999998</v>
      </c>
      <c r="P700">
        <v>1309.96</v>
      </c>
      <c r="Q700" s="5">
        <f t="shared" si="80"/>
        <v>0.94970218398411643</v>
      </c>
      <c r="R700" s="5">
        <f t="shared" si="81"/>
        <v>3.6236933797909411E-2</v>
      </c>
      <c r="S700" s="5">
        <f t="shared" si="82"/>
        <v>0.36538461538461536</v>
      </c>
      <c r="T700" s="5">
        <f t="shared" si="83"/>
        <v>5.2631578947368418E-2</v>
      </c>
      <c r="U700" s="5">
        <f t="shared" si="84"/>
        <v>6.9686411149825784E-4</v>
      </c>
      <c r="V700" s="6">
        <f t="shared" si="85"/>
        <v>16.261052631578945</v>
      </c>
      <c r="W700" s="7">
        <f t="shared" si="86"/>
        <v>5.9415384615384612</v>
      </c>
      <c r="X700" s="5">
        <f t="shared" si="87"/>
        <v>3.2399016053858105</v>
      </c>
    </row>
    <row r="701" spans="1:24" x14ac:dyDescent="0.35">
      <c r="A701" s="3">
        <v>46139</v>
      </c>
      <c r="B701" t="s">
        <v>871</v>
      </c>
      <c r="C701" t="s">
        <v>1017</v>
      </c>
      <c r="D701" t="s">
        <v>40</v>
      </c>
      <c r="E701" t="s">
        <v>19</v>
      </c>
      <c r="F701" t="s">
        <v>26</v>
      </c>
      <c r="G701" t="s">
        <v>27</v>
      </c>
      <c r="H701" t="s">
        <v>48</v>
      </c>
      <c r="I701">
        <v>1197</v>
      </c>
      <c r="J701">
        <v>900</v>
      </c>
      <c r="K701">
        <v>837</v>
      </c>
      <c r="L701">
        <v>29</v>
      </c>
      <c r="M701">
        <v>18</v>
      </c>
      <c r="N701">
        <v>0</v>
      </c>
      <c r="O701">
        <v>148.34</v>
      </c>
      <c r="P701">
        <v>0</v>
      </c>
      <c r="Q701" s="5">
        <f t="shared" si="80"/>
        <v>0.93</v>
      </c>
      <c r="R701" s="5">
        <f t="shared" si="81"/>
        <v>3.4647550776583033E-2</v>
      </c>
      <c r="S701" s="5">
        <f t="shared" si="82"/>
        <v>0.62068965517241381</v>
      </c>
      <c r="T701" s="5">
        <f t="shared" si="83"/>
        <v>0</v>
      </c>
      <c r="U701" s="5">
        <f t="shared" si="84"/>
        <v>0</v>
      </c>
      <c r="V701" s="6">
        <f t="shared" si="85"/>
        <v>8.2411111111111115</v>
      </c>
      <c r="W701" s="7">
        <f t="shared" si="86"/>
        <v>5.1151724137931032</v>
      </c>
      <c r="X701" s="5">
        <f t="shared" si="87"/>
        <v>-1</v>
      </c>
    </row>
    <row r="702" spans="1:24" x14ac:dyDescent="0.35">
      <c r="A702" s="3">
        <v>46139</v>
      </c>
      <c r="B702" t="s">
        <v>1018</v>
      </c>
      <c r="C702" t="s">
        <v>1019</v>
      </c>
      <c r="D702" t="s">
        <v>40</v>
      </c>
      <c r="E702" t="s">
        <v>19</v>
      </c>
      <c r="F702" t="s">
        <v>20</v>
      </c>
      <c r="G702" t="s">
        <v>41</v>
      </c>
      <c r="H702" t="s">
        <v>48</v>
      </c>
      <c r="I702">
        <v>488</v>
      </c>
      <c r="J702">
        <v>429</v>
      </c>
      <c r="K702">
        <v>396</v>
      </c>
      <c r="L702">
        <v>8</v>
      </c>
      <c r="M702">
        <v>4</v>
      </c>
      <c r="N702">
        <v>0</v>
      </c>
      <c r="O702">
        <v>75.39</v>
      </c>
      <c r="P702">
        <v>0</v>
      </c>
      <c r="Q702" s="5">
        <f t="shared" si="80"/>
        <v>0.92307692307692313</v>
      </c>
      <c r="R702" s="5">
        <f t="shared" si="81"/>
        <v>2.0202020202020204E-2</v>
      </c>
      <c r="S702" s="5">
        <f t="shared" si="82"/>
        <v>0.5</v>
      </c>
      <c r="T702" s="5">
        <f t="shared" si="83"/>
        <v>0</v>
      </c>
      <c r="U702" s="5">
        <f t="shared" si="84"/>
        <v>0</v>
      </c>
      <c r="V702" s="6">
        <f t="shared" si="85"/>
        <v>18.8475</v>
      </c>
      <c r="W702" s="7">
        <f t="shared" si="86"/>
        <v>9.4237500000000001</v>
      </c>
      <c r="X702" s="5">
        <f t="shared" si="87"/>
        <v>-1</v>
      </c>
    </row>
    <row r="703" spans="1:24" x14ac:dyDescent="0.35">
      <c r="A703" s="3">
        <v>46139</v>
      </c>
      <c r="B703" t="s">
        <v>811</v>
      </c>
      <c r="C703" t="s">
        <v>1020</v>
      </c>
      <c r="D703" t="s">
        <v>18</v>
      </c>
      <c r="E703" t="s">
        <v>56</v>
      </c>
      <c r="F703" t="s">
        <v>20</v>
      </c>
      <c r="G703" t="s">
        <v>36</v>
      </c>
      <c r="H703" t="s">
        <v>28</v>
      </c>
      <c r="I703">
        <v>3566</v>
      </c>
      <c r="J703">
        <v>2833</v>
      </c>
      <c r="K703">
        <v>2572</v>
      </c>
      <c r="L703">
        <v>156</v>
      </c>
      <c r="M703">
        <v>73</v>
      </c>
      <c r="N703">
        <v>3</v>
      </c>
      <c r="O703">
        <v>366.28</v>
      </c>
      <c r="P703">
        <v>3982.72</v>
      </c>
      <c r="Q703" s="5">
        <f t="shared" si="80"/>
        <v>0.90787151429579949</v>
      </c>
      <c r="R703" s="5">
        <f t="shared" si="81"/>
        <v>6.0653188180404355E-2</v>
      </c>
      <c r="S703" s="5">
        <f t="shared" si="82"/>
        <v>0.46794871794871795</v>
      </c>
      <c r="T703" s="5">
        <f t="shared" si="83"/>
        <v>4.1095890410958902E-2</v>
      </c>
      <c r="U703" s="5">
        <f t="shared" si="84"/>
        <v>1.1664074650077762E-3</v>
      </c>
      <c r="V703" s="6">
        <f t="shared" si="85"/>
        <v>5.0175342465753419</v>
      </c>
      <c r="W703" s="7">
        <f t="shared" si="86"/>
        <v>2.347948717948718</v>
      </c>
      <c r="X703" s="5">
        <f t="shared" si="87"/>
        <v>9.873430162717046</v>
      </c>
    </row>
    <row r="704" spans="1:24" x14ac:dyDescent="0.35">
      <c r="A704" s="3">
        <v>46139</v>
      </c>
      <c r="B704" t="s">
        <v>1021</v>
      </c>
      <c r="C704" t="s">
        <v>1022</v>
      </c>
      <c r="D704" t="s">
        <v>40</v>
      </c>
      <c r="E704" t="s">
        <v>35</v>
      </c>
      <c r="F704" t="s">
        <v>26</v>
      </c>
      <c r="G704" t="s">
        <v>59</v>
      </c>
      <c r="H704" t="s">
        <v>37</v>
      </c>
      <c r="I704">
        <v>4392</v>
      </c>
      <c r="J704">
        <v>4212</v>
      </c>
      <c r="K704">
        <v>4076</v>
      </c>
      <c r="L704">
        <v>411</v>
      </c>
      <c r="M704">
        <v>251</v>
      </c>
      <c r="N704">
        <v>18</v>
      </c>
      <c r="O704">
        <v>690.71</v>
      </c>
      <c r="P704">
        <v>23125.62</v>
      </c>
      <c r="Q704" s="5">
        <f t="shared" si="80"/>
        <v>0.96771130104463443</v>
      </c>
      <c r="R704" s="5">
        <f t="shared" si="81"/>
        <v>0.10083415112855741</v>
      </c>
      <c r="S704" s="5">
        <f t="shared" si="82"/>
        <v>0.61070559610705599</v>
      </c>
      <c r="T704" s="5">
        <f t="shared" si="83"/>
        <v>7.1713147410358571E-2</v>
      </c>
      <c r="U704" s="5">
        <f t="shared" si="84"/>
        <v>4.416094210009814E-3</v>
      </c>
      <c r="V704" s="6">
        <f t="shared" si="85"/>
        <v>2.7518326693227091</v>
      </c>
      <c r="W704" s="7">
        <f t="shared" si="86"/>
        <v>1.6805596107055962</v>
      </c>
      <c r="X704" s="5">
        <f t="shared" si="87"/>
        <v>32.480939902419244</v>
      </c>
    </row>
    <row r="705" spans="1:24" x14ac:dyDescent="0.35">
      <c r="A705" s="3">
        <v>46139</v>
      </c>
      <c r="B705" t="s">
        <v>1021</v>
      </c>
      <c r="C705" t="s">
        <v>1023</v>
      </c>
      <c r="D705" t="s">
        <v>18</v>
      </c>
      <c r="E705" t="s">
        <v>56</v>
      </c>
      <c r="F705" t="s">
        <v>20</v>
      </c>
      <c r="G705" t="s">
        <v>36</v>
      </c>
      <c r="H705" t="s">
        <v>51</v>
      </c>
      <c r="I705">
        <v>497</v>
      </c>
      <c r="J705">
        <v>436</v>
      </c>
      <c r="K705">
        <v>406</v>
      </c>
      <c r="L705">
        <v>27</v>
      </c>
      <c r="M705">
        <v>12</v>
      </c>
      <c r="N705">
        <v>1</v>
      </c>
      <c r="O705">
        <v>55.52</v>
      </c>
      <c r="P705">
        <v>695.21</v>
      </c>
      <c r="Q705" s="5">
        <f t="shared" si="80"/>
        <v>0.93119266055045868</v>
      </c>
      <c r="R705" s="5">
        <f t="shared" si="81"/>
        <v>6.6502463054187194E-2</v>
      </c>
      <c r="S705" s="5">
        <f t="shared" si="82"/>
        <v>0.44444444444444442</v>
      </c>
      <c r="T705" s="5">
        <f t="shared" si="83"/>
        <v>8.3333333333333329E-2</v>
      </c>
      <c r="U705" s="5">
        <f t="shared" si="84"/>
        <v>2.4630541871921183E-3</v>
      </c>
      <c r="V705" s="6">
        <f t="shared" si="85"/>
        <v>4.6266666666666669</v>
      </c>
      <c r="W705" s="7">
        <f t="shared" si="86"/>
        <v>2.0562962962962965</v>
      </c>
      <c r="X705" s="5">
        <f t="shared" si="87"/>
        <v>11.521793948126801</v>
      </c>
    </row>
    <row r="706" spans="1:24" x14ac:dyDescent="0.35">
      <c r="A706" s="3">
        <v>46139</v>
      </c>
      <c r="B706" t="s">
        <v>829</v>
      </c>
      <c r="C706" t="s">
        <v>1024</v>
      </c>
      <c r="D706" t="s">
        <v>34</v>
      </c>
      <c r="E706" t="s">
        <v>25</v>
      </c>
      <c r="F706" t="s">
        <v>20</v>
      </c>
      <c r="G706" t="s">
        <v>41</v>
      </c>
      <c r="H706" t="s">
        <v>37</v>
      </c>
      <c r="I706">
        <v>2236</v>
      </c>
      <c r="J706">
        <v>2183</v>
      </c>
      <c r="K706">
        <v>2037</v>
      </c>
      <c r="L706">
        <v>64</v>
      </c>
      <c r="M706">
        <v>29</v>
      </c>
      <c r="N706">
        <v>2</v>
      </c>
      <c r="O706">
        <v>204.18</v>
      </c>
      <c r="P706">
        <v>1534.58</v>
      </c>
      <c r="Q706" s="5">
        <f t="shared" si="80"/>
        <v>0.9331195602382043</v>
      </c>
      <c r="R706" s="5">
        <f t="shared" si="81"/>
        <v>3.1418753068237604E-2</v>
      </c>
      <c r="S706" s="5">
        <f t="shared" si="82"/>
        <v>0.453125</v>
      </c>
      <c r="T706" s="5">
        <f t="shared" si="83"/>
        <v>6.8965517241379309E-2</v>
      </c>
      <c r="U706" s="5">
        <f t="shared" si="84"/>
        <v>9.8183603338242512E-4</v>
      </c>
      <c r="V706" s="6">
        <f t="shared" si="85"/>
        <v>7.0406896551724136</v>
      </c>
      <c r="W706" s="7">
        <f t="shared" si="86"/>
        <v>3.1903125000000001</v>
      </c>
      <c r="X706" s="5">
        <f t="shared" si="87"/>
        <v>6.5158193750612199</v>
      </c>
    </row>
    <row r="707" spans="1:24" x14ac:dyDescent="0.35">
      <c r="A707" s="3">
        <v>46139</v>
      </c>
      <c r="B707" t="s">
        <v>846</v>
      </c>
      <c r="C707" t="s">
        <v>1025</v>
      </c>
      <c r="D707" t="s">
        <v>34</v>
      </c>
      <c r="E707" t="s">
        <v>35</v>
      </c>
      <c r="F707" t="s">
        <v>20</v>
      </c>
      <c r="G707" t="s">
        <v>59</v>
      </c>
      <c r="H707" t="s">
        <v>51</v>
      </c>
      <c r="I707">
        <v>2607</v>
      </c>
      <c r="J707">
        <v>1980</v>
      </c>
      <c r="K707">
        <v>1846</v>
      </c>
      <c r="L707">
        <v>150</v>
      </c>
      <c r="M707">
        <v>60</v>
      </c>
      <c r="N707">
        <v>4</v>
      </c>
      <c r="O707">
        <v>162.74</v>
      </c>
      <c r="P707">
        <v>3365.54</v>
      </c>
      <c r="Q707" s="5">
        <f t="shared" ref="Q707:Q770" si="88">K707/J707</f>
        <v>0.93232323232323233</v>
      </c>
      <c r="R707" s="5">
        <f t="shared" ref="R707:R770" si="89">L707/K707</f>
        <v>8.1256771397616473E-2</v>
      </c>
      <c r="S707" s="5">
        <f t="shared" ref="S707:S770" si="90">M707/L707</f>
        <v>0.4</v>
      </c>
      <c r="T707" s="5">
        <f t="shared" ref="T707:T770" si="91">N707/M707</f>
        <v>6.6666666666666666E-2</v>
      </c>
      <c r="U707" s="5">
        <f t="shared" ref="U707:U770" si="92">N707/K707</f>
        <v>2.1668472372697724E-3</v>
      </c>
      <c r="V707" s="6">
        <f t="shared" ref="V707:V770" si="93">O707/M707</f>
        <v>2.7123333333333335</v>
      </c>
      <c r="W707" s="7">
        <f t="shared" ref="W707:W770" si="94">O707/L707</f>
        <v>1.0849333333333333</v>
      </c>
      <c r="X707" s="5">
        <f t="shared" ref="X707:X770" si="95">(P707-O707)/O707</f>
        <v>19.680471918397444</v>
      </c>
    </row>
    <row r="708" spans="1:24" x14ac:dyDescent="0.35">
      <c r="A708" s="3">
        <v>46139</v>
      </c>
      <c r="B708" t="s">
        <v>881</v>
      </c>
      <c r="C708" t="s">
        <v>1026</v>
      </c>
      <c r="D708" t="s">
        <v>34</v>
      </c>
      <c r="E708" t="s">
        <v>25</v>
      </c>
      <c r="F708" t="s">
        <v>20</v>
      </c>
      <c r="G708" t="s">
        <v>27</v>
      </c>
      <c r="H708" t="s">
        <v>37</v>
      </c>
      <c r="I708">
        <v>1341</v>
      </c>
      <c r="J708">
        <v>1270</v>
      </c>
      <c r="K708">
        <v>1174</v>
      </c>
      <c r="L708">
        <v>39</v>
      </c>
      <c r="M708">
        <v>19</v>
      </c>
      <c r="N708">
        <v>1</v>
      </c>
      <c r="O708">
        <v>114.56</v>
      </c>
      <c r="P708">
        <v>1112.96</v>
      </c>
      <c r="Q708" s="5">
        <f t="shared" si="88"/>
        <v>0.92440944881889764</v>
      </c>
      <c r="R708" s="5">
        <f t="shared" si="89"/>
        <v>3.3219761499148209E-2</v>
      </c>
      <c r="S708" s="5">
        <f t="shared" si="90"/>
        <v>0.48717948717948717</v>
      </c>
      <c r="T708" s="5">
        <f t="shared" si="91"/>
        <v>5.2631578947368418E-2</v>
      </c>
      <c r="U708" s="5">
        <f t="shared" si="92"/>
        <v>8.5178875638841568E-4</v>
      </c>
      <c r="V708" s="6">
        <f t="shared" si="93"/>
        <v>6.0294736842105268</v>
      </c>
      <c r="W708" s="7">
        <f t="shared" si="94"/>
        <v>2.9374358974358974</v>
      </c>
      <c r="X708" s="5">
        <f t="shared" si="95"/>
        <v>8.7150837988826826</v>
      </c>
    </row>
    <row r="709" spans="1:24" x14ac:dyDescent="0.35">
      <c r="A709" s="3">
        <v>46139</v>
      </c>
      <c r="B709" t="s">
        <v>821</v>
      </c>
      <c r="C709" t="s">
        <v>1027</v>
      </c>
      <c r="D709" t="s">
        <v>34</v>
      </c>
      <c r="E709" t="s">
        <v>35</v>
      </c>
      <c r="F709" t="s">
        <v>26</v>
      </c>
      <c r="G709" t="s">
        <v>41</v>
      </c>
      <c r="H709" t="s">
        <v>28</v>
      </c>
      <c r="I709">
        <v>573</v>
      </c>
      <c r="J709">
        <v>460</v>
      </c>
      <c r="K709">
        <v>428</v>
      </c>
      <c r="L709">
        <v>41</v>
      </c>
      <c r="M709">
        <v>26</v>
      </c>
      <c r="N709">
        <v>2</v>
      </c>
      <c r="O709">
        <v>36.020000000000003</v>
      </c>
      <c r="P709">
        <v>2716.46</v>
      </c>
      <c r="Q709" s="5">
        <f t="shared" si="88"/>
        <v>0.93043478260869561</v>
      </c>
      <c r="R709" s="5">
        <f t="shared" si="89"/>
        <v>9.5794392523364483E-2</v>
      </c>
      <c r="S709" s="5">
        <f t="shared" si="90"/>
        <v>0.63414634146341464</v>
      </c>
      <c r="T709" s="5">
        <f t="shared" si="91"/>
        <v>7.6923076923076927E-2</v>
      </c>
      <c r="U709" s="5">
        <f t="shared" si="92"/>
        <v>4.6728971962616819E-3</v>
      </c>
      <c r="V709" s="6">
        <f t="shared" si="93"/>
        <v>1.3853846153846154</v>
      </c>
      <c r="W709" s="7">
        <f t="shared" si="94"/>
        <v>0.87853658536585377</v>
      </c>
      <c r="X709" s="5">
        <f t="shared" si="95"/>
        <v>74.415324819544693</v>
      </c>
    </row>
    <row r="710" spans="1:24" x14ac:dyDescent="0.35">
      <c r="A710" s="3">
        <v>46139</v>
      </c>
      <c r="B710" t="s">
        <v>803</v>
      </c>
      <c r="C710" t="s">
        <v>1028</v>
      </c>
      <c r="D710" t="s">
        <v>34</v>
      </c>
      <c r="E710" t="s">
        <v>56</v>
      </c>
      <c r="F710" t="s">
        <v>20</v>
      </c>
      <c r="G710" t="s">
        <v>21</v>
      </c>
      <c r="H710" t="s">
        <v>28</v>
      </c>
      <c r="I710">
        <v>566</v>
      </c>
      <c r="J710">
        <v>495</v>
      </c>
      <c r="K710">
        <v>455</v>
      </c>
      <c r="L710">
        <v>24</v>
      </c>
      <c r="M710">
        <v>8</v>
      </c>
      <c r="N710">
        <v>0</v>
      </c>
      <c r="O710">
        <v>42.29</v>
      </c>
      <c r="P710">
        <v>0</v>
      </c>
      <c r="Q710" s="5">
        <f t="shared" si="88"/>
        <v>0.91919191919191923</v>
      </c>
      <c r="R710" s="5">
        <f t="shared" si="89"/>
        <v>5.2747252747252747E-2</v>
      </c>
      <c r="S710" s="5">
        <f t="shared" si="90"/>
        <v>0.33333333333333331</v>
      </c>
      <c r="T710" s="5">
        <f t="shared" si="91"/>
        <v>0</v>
      </c>
      <c r="U710" s="5">
        <f t="shared" si="92"/>
        <v>0</v>
      </c>
      <c r="V710" s="6">
        <f t="shared" si="93"/>
        <v>5.2862499999999999</v>
      </c>
      <c r="W710" s="7">
        <f t="shared" si="94"/>
        <v>1.7620833333333332</v>
      </c>
      <c r="X710" s="5">
        <f t="shared" si="95"/>
        <v>-1</v>
      </c>
    </row>
    <row r="711" spans="1:24" x14ac:dyDescent="0.35">
      <c r="A711" s="3">
        <v>46139</v>
      </c>
      <c r="B711" t="s">
        <v>993</v>
      </c>
      <c r="C711" t="s">
        <v>1029</v>
      </c>
      <c r="D711" t="s">
        <v>34</v>
      </c>
      <c r="E711" t="s">
        <v>25</v>
      </c>
      <c r="F711" t="s">
        <v>20</v>
      </c>
      <c r="G711" t="s">
        <v>41</v>
      </c>
      <c r="H711" t="s">
        <v>28</v>
      </c>
      <c r="I711">
        <v>3797</v>
      </c>
      <c r="J711">
        <v>2833</v>
      </c>
      <c r="K711">
        <v>2746</v>
      </c>
      <c r="L711">
        <v>101</v>
      </c>
      <c r="M711">
        <v>44</v>
      </c>
      <c r="N711">
        <v>1</v>
      </c>
      <c r="O711">
        <v>260.55</v>
      </c>
      <c r="P711">
        <v>783.94</v>
      </c>
      <c r="Q711" s="5">
        <f t="shared" si="88"/>
        <v>0.96929050476526646</v>
      </c>
      <c r="R711" s="5">
        <f t="shared" si="89"/>
        <v>3.6780772032046612E-2</v>
      </c>
      <c r="S711" s="5">
        <f t="shared" si="90"/>
        <v>0.43564356435643564</v>
      </c>
      <c r="T711" s="5">
        <f t="shared" si="91"/>
        <v>2.2727272727272728E-2</v>
      </c>
      <c r="U711" s="5">
        <f t="shared" si="92"/>
        <v>3.6416605972323381E-4</v>
      </c>
      <c r="V711" s="6">
        <f t="shared" si="93"/>
        <v>5.9215909090909093</v>
      </c>
      <c r="W711" s="7">
        <f t="shared" si="94"/>
        <v>2.57970297029703</v>
      </c>
      <c r="X711" s="5">
        <f t="shared" si="95"/>
        <v>2.00878909998081</v>
      </c>
    </row>
    <row r="712" spans="1:24" x14ac:dyDescent="0.35">
      <c r="A712" s="3">
        <v>46140</v>
      </c>
      <c r="B712" t="s">
        <v>833</v>
      </c>
      <c r="C712" t="s">
        <v>1030</v>
      </c>
      <c r="D712" t="s">
        <v>18</v>
      </c>
      <c r="E712" t="s">
        <v>56</v>
      </c>
      <c r="F712" t="s">
        <v>20</v>
      </c>
      <c r="G712" t="s">
        <v>21</v>
      </c>
      <c r="H712" t="s">
        <v>37</v>
      </c>
      <c r="I712">
        <v>3895</v>
      </c>
      <c r="J712">
        <v>3200</v>
      </c>
      <c r="K712">
        <v>2913</v>
      </c>
      <c r="L712">
        <v>157</v>
      </c>
      <c r="M712">
        <v>70</v>
      </c>
      <c r="N712">
        <v>3</v>
      </c>
      <c r="O712">
        <v>379.28</v>
      </c>
      <c r="P712">
        <v>2266.44</v>
      </c>
      <c r="Q712" s="5">
        <f t="shared" si="88"/>
        <v>0.91031249999999997</v>
      </c>
      <c r="R712" s="5">
        <f t="shared" si="89"/>
        <v>5.3896326810847925E-2</v>
      </c>
      <c r="S712" s="5">
        <f t="shared" si="90"/>
        <v>0.44585987261146498</v>
      </c>
      <c r="T712" s="5">
        <f t="shared" si="91"/>
        <v>4.2857142857142858E-2</v>
      </c>
      <c r="U712" s="5">
        <f t="shared" si="92"/>
        <v>1.0298661174047373E-3</v>
      </c>
      <c r="V712" s="6">
        <f t="shared" si="93"/>
        <v>5.4182857142857141</v>
      </c>
      <c r="W712" s="7">
        <f t="shared" si="94"/>
        <v>2.4157961783439488</v>
      </c>
      <c r="X712" s="5">
        <f t="shared" si="95"/>
        <v>4.9756380510440845</v>
      </c>
    </row>
    <row r="713" spans="1:24" x14ac:dyDescent="0.35">
      <c r="A713" s="3">
        <v>46140</v>
      </c>
      <c r="B713" t="s">
        <v>904</v>
      </c>
      <c r="C713" t="s">
        <v>1031</v>
      </c>
      <c r="D713" t="s">
        <v>40</v>
      </c>
      <c r="E713" t="s">
        <v>25</v>
      </c>
      <c r="F713" t="s">
        <v>20</v>
      </c>
      <c r="G713" t="s">
        <v>36</v>
      </c>
      <c r="H713" t="s">
        <v>22</v>
      </c>
      <c r="I713">
        <v>2282</v>
      </c>
      <c r="J713">
        <v>2101</v>
      </c>
      <c r="K713">
        <v>1913</v>
      </c>
      <c r="L713">
        <v>63</v>
      </c>
      <c r="M713">
        <v>30</v>
      </c>
      <c r="N713">
        <v>1</v>
      </c>
      <c r="O713">
        <v>302.14</v>
      </c>
      <c r="P713">
        <v>1018.78</v>
      </c>
      <c r="Q713" s="5">
        <f t="shared" si="88"/>
        <v>0.91051880057115664</v>
      </c>
      <c r="R713" s="5">
        <f t="shared" si="89"/>
        <v>3.2932566649242032E-2</v>
      </c>
      <c r="S713" s="5">
        <f t="shared" si="90"/>
        <v>0.47619047619047616</v>
      </c>
      <c r="T713" s="5">
        <f t="shared" si="91"/>
        <v>3.3333333333333333E-2</v>
      </c>
      <c r="U713" s="5">
        <f t="shared" si="92"/>
        <v>5.2273915316257186E-4</v>
      </c>
      <c r="V713" s="6">
        <f t="shared" si="93"/>
        <v>10.071333333333333</v>
      </c>
      <c r="W713" s="7">
        <f t="shared" si="94"/>
        <v>4.7958730158730161</v>
      </c>
      <c r="X713" s="5">
        <f t="shared" si="95"/>
        <v>2.371880585159198</v>
      </c>
    </row>
    <row r="714" spans="1:24" x14ac:dyDescent="0.35">
      <c r="A714" s="3">
        <v>46140</v>
      </c>
      <c r="B714" t="s">
        <v>784</v>
      </c>
      <c r="C714" t="s">
        <v>1032</v>
      </c>
      <c r="D714" t="s">
        <v>40</v>
      </c>
      <c r="E714" t="s">
        <v>56</v>
      </c>
      <c r="F714" t="s">
        <v>26</v>
      </c>
      <c r="G714" t="s">
        <v>59</v>
      </c>
      <c r="H714" t="s">
        <v>28</v>
      </c>
      <c r="I714">
        <v>531</v>
      </c>
      <c r="J714">
        <v>399</v>
      </c>
      <c r="K714">
        <v>362</v>
      </c>
      <c r="L714">
        <v>20</v>
      </c>
      <c r="M714">
        <v>11</v>
      </c>
      <c r="N714">
        <v>1</v>
      </c>
      <c r="O714">
        <v>71.64</v>
      </c>
      <c r="P714">
        <v>912.93</v>
      </c>
      <c r="Q714" s="5">
        <f t="shared" si="88"/>
        <v>0.90726817042606511</v>
      </c>
      <c r="R714" s="5">
        <f t="shared" si="89"/>
        <v>5.5248618784530384E-2</v>
      </c>
      <c r="S714" s="5">
        <f t="shared" si="90"/>
        <v>0.55000000000000004</v>
      </c>
      <c r="T714" s="5">
        <f t="shared" si="91"/>
        <v>9.0909090909090912E-2</v>
      </c>
      <c r="U714" s="5">
        <f t="shared" si="92"/>
        <v>2.7624309392265192E-3</v>
      </c>
      <c r="V714" s="6">
        <f t="shared" si="93"/>
        <v>6.5127272727272727</v>
      </c>
      <c r="W714" s="7">
        <f t="shared" si="94"/>
        <v>3.5819999999999999</v>
      </c>
      <c r="X714" s="5">
        <f t="shared" si="95"/>
        <v>11.743299832495811</v>
      </c>
    </row>
    <row r="715" spans="1:24" x14ac:dyDescent="0.35">
      <c r="A715" s="3">
        <v>46140</v>
      </c>
      <c r="B715" t="s">
        <v>975</v>
      </c>
      <c r="C715" t="s">
        <v>1033</v>
      </c>
      <c r="D715" t="s">
        <v>18</v>
      </c>
      <c r="E715" t="s">
        <v>19</v>
      </c>
      <c r="F715" t="s">
        <v>20</v>
      </c>
      <c r="G715" t="s">
        <v>59</v>
      </c>
      <c r="H715" t="s">
        <v>28</v>
      </c>
      <c r="I715">
        <v>1200</v>
      </c>
      <c r="J715">
        <v>1038</v>
      </c>
      <c r="K715">
        <v>940</v>
      </c>
      <c r="L715">
        <v>18</v>
      </c>
      <c r="M715">
        <v>9</v>
      </c>
      <c r="N715">
        <v>0</v>
      </c>
      <c r="O715">
        <v>120.31</v>
      </c>
      <c r="P715">
        <v>0</v>
      </c>
      <c r="Q715" s="5">
        <f t="shared" si="88"/>
        <v>0.90558766859344897</v>
      </c>
      <c r="R715" s="5">
        <f t="shared" si="89"/>
        <v>1.9148936170212766E-2</v>
      </c>
      <c r="S715" s="5">
        <f t="shared" si="90"/>
        <v>0.5</v>
      </c>
      <c r="T715" s="5">
        <f t="shared" si="91"/>
        <v>0</v>
      </c>
      <c r="U715" s="5">
        <f t="shared" si="92"/>
        <v>0</v>
      </c>
      <c r="V715" s="6">
        <f t="shared" si="93"/>
        <v>13.367777777777778</v>
      </c>
      <c r="W715" s="7">
        <f t="shared" si="94"/>
        <v>6.6838888888888892</v>
      </c>
      <c r="X715" s="5">
        <f t="shared" si="95"/>
        <v>-1</v>
      </c>
    </row>
    <row r="716" spans="1:24" x14ac:dyDescent="0.35">
      <c r="A716" s="3">
        <v>46140</v>
      </c>
      <c r="B716" t="s">
        <v>842</v>
      </c>
      <c r="C716" t="s">
        <v>1034</v>
      </c>
      <c r="D716" t="s">
        <v>31</v>
      </c>
      <c r="E716" t="s">
        <v>35</v>
      </c>
      <c r="F716" t="s">
        <v>20</v>
      </c>
      <c r="G716" t="s">
        <v>27</v>
      </c>
      <c r="H716" t="s">
        <v>37</v>
      </c>
      <c r="I716">
        <v>1728</v>
      </c>
      <c r="J716">
        <v>1642</v>
      </c>
      <c r="K716">
        <v>1574</v>
      </c>
      <c r="L716">
        <v>81</v>
      </c>
      <c r="M716">
        <v>32</v>
      </c>
      <c r="N716">
        <v>2</v>
      </c>
      <c r="O716">
        <v>267.54000000000002</v>
      </c>
      <c r="P716">
        <v>2775.46</v>
      </c>
      <c r="Q716" s="5">
        <f t="shared" si="88"/>
        <v>0.95858708891595612</v>
      </c>
      <c r="R716" s="5">
        <f t="shared" si="89"/>
        <v>5.1461245235069883E-2</v>
      </c>
      <c r="S716" s="5">
        <f t="shared" si="90"/>
        <v>0.39506172839506171</v>
      </c>
      <c r="T716" s="5">
        <f t="shared" si="91"/>
        <v>6.25E-2</v>
      </c>
      <c r="U716" s="5">
        <f t="shared" si="92"/>
        <v>1.2706480304955528E-3</v>
      </c>
      <c r="V716" s="6">
        <f t="shared" si="93"/>
        <v>8.3606250000000006</v>
      </c>
      <c r="W716" s="7">
        <f t="shared" si="94"/>
        <v>3.3029629629629631</v>
      </c>
      <c r="X716" s="5">
        <f t="shared" si="95"/>
        <v>9.3740001495103531</v>
      </c>
    </row>
    <row r="717" spans="1:24" x14ac:dyDescent="0.35">
      <c r="A717" s="3">
        <v>46140</v>
      </c>
      <c r="B717" t="s">
        <v>889</v>
      </c>
      <c r="C717" t="s">
        <v>1035</v>
      </c>
      <c r="D717" t="s">
        <v>40</v>
      </c>
      <c r="E717" t="s">
        <v>19</v>
      </c>
      <c r="F717" t="s">
        <v>26</v>
      </c>
      <c r="G717" t="s">
        <v>21</v>
      </c>
      <c r="H717" t="s">
        <v>51</v>
      </c>
      <c r="I717">
        <v>3246</v>
      </c>
      <c r="J717">
        <v>2697</v>
      </c>
      <c r="K717">
        <v>2470</v>
      </c>
      <c r="L717">
        <v>40</v>
      </c>
      <c r="M717">
        <v>24</v>
      </c>
      <c r="N717">
        <v>0</v>
      </c>
      <c r="O717">
        <v>345.18</v>
      </c>
      <c r="P717">
        <v>0</v>
      </c>
      <c r="Q717" s="5">
        <f t="shared" si="88"/>
        <v>0.91583240637745644</v>
      </c>
      <c r="R717" s="5">
        <f t="shared" si="89"/>
        <v>1.6194331983805668E-2</v>
      </c>
      <c r="S717" s="5">
        <f t="shared" si="90"/>
        <v>0.6</v>
      </c>
      <c r="T717" s="5">
        <f t="shared" si="91"/>
        <v>0</v>
      </c>
      <c r="U717" s="5">
        <f t="shared" si="92"/>
        <v>0</v>
      </c>
      <c r="V717" s="6">
        <f t="shared" si="93"/>
        <v>14.3825</v>
      </c>
      <c r="W717" s="7">
        <f t="shared" si="94"/>
        <v>8.6295000000000002</v>
      </c>
      <c r="X717" s="5">
        <f t="shared" si="95"/>
        <v>-1</v>
      </c>
    </row>
    <row r="718" spans="1:24" x14ac:dyDescent="0.35">
      <c r="A718" s="3">
        <v>46140</v>
      </c>
      <c r="B718" t="s">
        <v>1018</v>
      </c>
      <c r="C718" t="s">
        <v>1036</v>
      </c>
      <c r="D718" t="s">
        <v>40</v>
      </c>
      <c r="E718" t="s">
        <v>19</v>
      </c>
      <c r="F718" t="s">
        <v>20</v>
      </c>
      <c r="G718" t="s">
        <v>27</v>
      </c>
      <c r="H718" t="s">
        <v>51</v>
      </c>
      <c r="I718">
        <v>1285</v>
      </c>
      <c r="J718">
        <v>985</v>
      </c>
      <c r="K718">
        <v>912</v>
      </c>
      <c r="L718">
        <v>19</v>
      </c>
      <c r="M718">
        <v>8</v>
      </c>
      <c r="N718">
        <v>0</v>
      </c>
      <c r="O718">
        <v>173.14</v>
      </c>
      <c r="P718">
        <v>0</v>
      </c>
      <c r="Q718" s="5">
        <f t="shared" si="88"/>
        <v>0.92588832487309647</v>
      </c>
      <c r="R718" s="5">
        <f t="shared" si="89"/>
        <v>2.0833333333333332E-2</v>
      </c>
      <c r="S718" s="5">
        <f t="shared" si="90"/>
        <v>0.42105263157894735</v>
      </c>
      <c r="T718" s="5">
        <f t="shared" si="91"/>
        <v>0</v>
      </c>
      <c r="U718" s="5">
        <f t="shared" si="92"/>
        <v>0</v>
      </c>
      <c r="V718" s="6">
        <f t="shared" si="93"/>
        <v>21.642499999999998</v>
      </c>
      <c r="W718" s="7">
        <f t="shared" si="94"/>
        <v>9.1126315789473669</v>
      </c>
      <c r="X718" s="5">
        <f t="shared" si="95"/>
        <v>-1</v>
      </c>
    </row>
    <row r="719" spans="1:24" x14ac:dyDescent="0.35">
      <c r="A719" s="3">
        <v>46140</v>
      </c>
      <c r="B719" t="s">
        <v>811</v>
      </c>
      <c r="C719" t="s">
        <v>1037</v>
      </c>
      <c r="D719" t="s">
        <v>34</v>
      </c>
      <c r="E719" t="s">
        <v>19</v>
      </c>
      <c r="F719" t="s">
        <v>20</v>
      </c>
      <c r="G719" t="s">
        <v>21</v>
      </c>
      <c r="H719" t="s">
        <v>37</v>
      </c>
      <c r="I719">
        <v>992</v>
      </c>
      <c r="J719">
        <v>991</v>
      </c>
      <c r="K719">
        <v>939</v>
      </c>
      <c r="L719">
        <v>10</v>
      </c>
      <c r="M719">
        <v>5</v>
      </c>
      <c r="N719">
        <v>0</v>
      </c>
      <c r="O719">
        <v>75.569999999999993</v>
      </c>
      <c r="P719">
        <v>0</v>
      </c>
      <c r="Q719" s="5">
        <f t="shared" si="88"/>
        <v>0.94752774974772958</v>
      </c>
      <c r="R719" s="5">
        <f t="shared" si="89"/>
        <v>1.0649627263045794E-2</v>
      </c>
      <c r="S719" s="5">
        <f t="shared" si="90"/>
        <v>0.5</v>
      </c>
      <c r="T719" s="5">
        <f t="shared" si="91"/>
        <v>0</v>
      </c>
      <c r="U719" s="5">
        <f t="shared" si="92"/>
        <v>0</v>
      </c>
      <c r="V719" s="6">
        <f t="shared" si="93"/>
        <v>15.113999999999999</v>
      </c>
      <c r="W719" s="7">
        <f t="shared" si="94"/>
        <v>7.5569999999999995</v>
      </c>
      <c r="X719" s="5">
        <f t="shared" si="95"/>
        <v>-1</v>
      </c>
    </row>
    <row r="720" spans="1:24" x14ac:dyDescent="0.35">
      <c r="A720" s="3">
        <v>46140</v>
      </c>
      <c r="B720" t="s">
        <v>815</v>
      </c>
      <c r="C720" t="s">
        <v>1038</v>
      </c>
      <c r="D720" t="s">
        <v>31</v>
      </c>
      <c r="E720" t="s">
        <v>35</v>
      </c>
      <c r="F720" t="s">
        <v>26</v>
      </c>
      <c r="G720" t="s">
        <v>59</v>
      </c>
      <c r="H720" t="s">
        <v>37</v>
      </c>
      <c r="I720">
        <v>3771</v>
      </c>
      <c r="J720">
        <v>2929</v>
      </c>
      <c r="K720">
        <v>2812</v>
      </c>
      <c r="L720">
        <v>203</v>
      </c>
      <c r="M720">
        <v>103</v>
      </c>
      <c r="N720">
        <v>10</v>
      </c>
      <c r="O720">
        <v>581.45000000000005</v>
      </c>
      <c r="P720">
        <v>8685.35</v>
      </c>
      <c r="Q720" s="5">
        <f t="shared" si="88"/>
        <v>0.96005462615227044</v>
      </c>
      <c r="R720" s="5">
        <f t="shared" si="89"/>
        <v>7.219061166429587E-2</v>
      </c>
      <c r="S720" s="5">
        <f t="shared" si="90"/>
        <v>0.5073891625615764</v>
      </c>
      <c r="T720" s="5">
        <f t="shared" si="91"/>
        <v>9.7087378640776698E-2</v>
      </c>
      <c r="U720" s="5">
        <f t="shared" si="92"/>
        <v>3.5561877667140826E-3</v>
      </c>
      <c r="V720" s="6">
        <f t="shared" si="93"/>
        <v>5.6451456310679617</v>
      </c>
      <c r="W720" s="7">
        <f t="shared" si="94"/>
        <v>2.8642857142857143</v>
      </c>
      <c r="X720" s="5">
        <f t="shared" si="95"/>
        <v>13.937397884598848</v>
      </c>
    </row>
    <row r="721" spans="1:24" x14ac:dyDescent="0.35">
      <c r="A721" s="3">
        <v>46140</v>
      </c>
      <c r="B721" t="s">
        <v>971</v>
      </c>
      <c r="C721" t="s">
        <v>1039</v>
      </c>
      <c r="D721" t="s">
        <v>34</v>
      </c>
      <c r="E721" t="s">
        <v>25</v>
      </c>
      <c r="F721" t="s">
        <v>20</v>
      </c>
      <c r="G721" t="s">
        <v>41</v>
      </c>
      <c r="H721" t="s">
        <v>51</v>
      </c>
      <c r="I721">
        <v>2771</v>
      </c>
      <c r="J721">
        <v>2612</v>
      </c>
      <c r="K721">
        <v>2499</v>
      </c>
      <c r="L721">
        <v>71</v>
      </c>
      <c r="M721">
        <v>33</v>
      </c>
      <c r="N721">
        <v>1</v>
      </c>
      <c r="O721">
        <v>224.54</v>
      </c>
      <c r="P721">
        <v>670.46</v>
      </c>
      <c r="Q721" s="5">
        <f t="shared" si="88"/>
        <v>0.95673813169984689</v>
      </c>
      <c r="R721" s="5">
        <f t="shared" si="89"/>
        <v>2.8411364545818326E-2</v>
      </c>
      <c r="S721" s="5">
        <f t="shared" si="90"/>
        <v>0.46478873239436619</v>
      </c>
      <c r="T721" s="5">
        <f t="shared" si="91"/>
        <v>3.0303030303030304E-2</v>
      </c>
      <c r="U721" s="5">
        <f t="shared" si="92"/>
        <v>4.0016006402561027E-4</v>
      </c>
      <c r="V721" s="6">
        <f t="shared" si="93"/>
        <v>6.8042424242424238</v>
      </c>
      <c r="W721" s="7">
        <f t="shared" si="94"/>
        <v>3.1625352112676057</v>
      </c>
      <c r="X721" s="5">
        <f t="shared" si="95"/>
        <v>1.9859267836465666</v>
      </c>
    </row>
    <row r="722" spans="1:24" x14ac:dyDescent="0.35">
      <c r="A722" s="3">
        <v>46140</v>
      </c>
      <c r="B722" t="s">
        <v>867</v>
      </c>
      <c r="C722" t="s">
        <v>1040</v>
      </c>
      <c r="D722" t="s">
        <v>18</v>
      </c>
      <c r="E722" t="s">
        <v>19</v>
      </c>
      <c r="F722" t="s">
        <v>20</v>
      </c>
      <c r="G722" t="s">
        <v>41</v>
      </c>
      <c r="H722" t="s">
        <v>48</v>
      </c>
      <c r="I722">
        <v>1334</v>
      </c>
      <c r="J722">
        <v>984</v>
      </c>
      <c r="K722">
        <v>908</v>
      </c>
      <c r="L722">
        <v>24</v>
      </c>
      <c r="M722">
        <v>12</v>
      </c>
      <c r="N722">
        <v>0</v>
      </c>
      <c r="O722">
        <v>106.76</v>
      </c>
      <c r="P722">
        <v>0</v>
      </c>
      <c r="Q722" s="5">
        <f t="shared" si="88"/>
        <v>0.92276422764227639</v>
      </c>
      <c r="R722" s="5">
        <f t="shared" si="89"/>
        <v>2.643171806167401E-2</v>
      </c>
      <c r="S722" s="5">
        <f t="shared" si="90"/>
        <v>0.5</v>
      </c>
      <c r="T722" s="5">
        <f t="shared" si="91"/>
        <v>0</v>
      </c>
      <c r="U722" s="5">
        <f t="shared" si="92"/>
        <v>0</v>
      </c>
      <c r="V722" s="6">
        <f t="shared" si="93"/>
        <v>8.8966666666666665</v>
      </c>
      <c r="W722" s="7">
        <f t="shared" si="94"/>
        <v>4.4483333333333333</v>
      </c>
      <c r="X722" s="5">
        <f t="shared" si="95"/>
        <v>-1</v>
      </c>
    </row>
    <row r="723" spans="1:24" x14ac:dyDescent="0.35">
      <c r="A723" s="3">
        <v>46140</v>
      </c>
      <c r="B723" t="s">
        <v>1004</v>
      </c>
      <c r="C723" t="s">
        <v>1041</v>
      </c>
      <c r="D723" t="s">
        <v>31</v>
      </c>
      <c r="E723" t="s">
        <v>25</v>
      </c>
      <c r="F723" t="s">
        <v>26</v>
      </c>
      <c r="G723" t="s">
        <v>21</v>
      </c>
      <c r="H723" t="s">
        <v>22</v>
      </c>
      <c r="I723">
        <v>422</v>
      </c>
      <c r="J723">
        <v>377</v>
      </c>
      <c r="K723">
        <v>361</v>
      </c>
      <c r="L723">
        <v>12</v>
      </c>
      <c r="M723">
        <v>6</v>
      </c>
      <c r="N723">
        <v>0</v>
      </c>
      <c r="O723">
        <v>72.56</v>
      </c>
      <c r="P723">
        <v>0</v>
      </c>
      <c r="Q723" s="5">
        <f t="shared" si="88"/>
        <v>0.95755968169761274</v>
      </c>
      <c r="R723" s="5">
        <f t="shared" si="89"/>
        <v>3.3240997229916899E-2</v>
      </c>
      <c r="S723" s="5">
        <f t="shared" si="90"/>
        <v>0.5</v>
      </c>
      <c r="T723" s="5">
        <f t="shared" si="91"/>
        <v>0</v>
      </c>
      <c r="U723" s="5">
        <f t="shared" si="92"/>
        <v>0</v>
      </c>
      <c r="V723" s="6">
        <f t="shared" si="93"/>
        <v>12.093333333333334</v>
      </c>
      <c r="W723" s="7">
        <f t="shared" si="94"/>
        <v>6.0466666666666669</v>
      </c>
      <c r="X723" s="5">
        <f t="shared" si="95"/>
        <v>-1</v>
      </c>
    </row>
    <row r="724" spans="1:24" x14ac:dyDescent="0.35">
      <c r="A724" s="3">
        <v>46141</v>
      </c>
      <c r="B724" t="s">
        <v>833</v>
      </c>
      <c r="C724" t="s">
        <v>1042</v>
      </c>
      <c r="D724" t="s">
        <v>34</v>
      </c>
      <c r="E724" t="s">
        <v>56</v>
      </c>
      <c r="F724" t="s">
        <v>20</v>
      </c>
      <c r="G724" t="s">
        <v>59</v>
      </c>
      <c r="H724" t="s">
        <v>28</v>
      </c>
      <c r="I724">
        <v>4779</v>
      </c>
      <c r="J724">
        <v>4512</v>
      </c>
      <c r="K724">
        <v>4245</v>
      </c>
      <c r="L724">
        <v>288</v>
      </c>
      <c r="M724">
        <v>112</v>
      </c>
      <c r="N724">
        <v>6</v>
      </c>
      <c r="O724">
        <v>383.42</v>
      </c>
      <c r="P724">
        <v>7151.82</v>
      </c>
      <c r="Q724" s="5">
        <f t="shared" si="88"/>
        <v>0.94082446808510634</v>
      </c>
      <c r="R724" s="5">
        <f t="shared" si="89"/>
        <v>6.7844522968197873E-2</v>
      </c>
      <c r="S724" s="5">
        <f t="shared" si="90"/>
        <v>0.3888888888888889</v>
      </c>
      <c r="T724" s="5">
        <f t="shared" si="91"/>
        <v>5.3571428571428568E-2</v>
      </c>
      <c r="U724" s="5">
        <f t="shared" si="92"/>
        <v>1.4134275618374558E-3</v>
      </c>
      <c r="V724" s="6">
        <f t="shared" si="93"/>
        <v>3.4233928571428573</v>
      </c>
      <c r="W724" s="7">
        <f t="shared" si="94"/>
        <v>1.3313194444444445</v>
      </c>
      <c r="X724" s="5">
        <f t="shared" si="95"/>
        <v>17.652704605915183</v>
      </c>
    </row>
    <row r="725" spans="1:24" x14ac:dyDescent="0.35">
      <c r="A725" s="3">
        <v>46141</v>
      </c>
      <c r="B725" t="s">
        <v>857</v>
      </c>
      <c r="C725" t="s">
        <v>1043</v>
      </c>
      <c r="D725" t="s">
        <v>18</v>
      </c>
      <c r="E725" t="s">
        <v>35</v>
      </c>
      <c r="F725" t="s">
        <v>20</v>
      </c>
      <c r="G725" t="s">
        <v>36</v>
      </c>
      <c r="H725" t="s">
        <v>28</v>
      </c>
      <c r="I725">
        <v>3709</v>
      </c>
      <c r="J725">
        <v>3188</v>
      </c>
      <c r="K725">
        <v>2869</v>
      </c>
      <c r="L725">
        <v>179</v>
      </c>
      <c r="M725">
        <v>94</v>
      </c>
      <c r="N725">
        <v>7</v>
      </c>
      <c r="O725">
        <v>443.33</v>
      </c>
      <c r="P725">
        <v>6372.42</v>
      </c>
      <c r="Q725" s="5">
        <f t="shared" si="88"/>
        <v>0.89993726474278546</v>
      </c>
      <c r="R725" s="5">
        <f t="shared" si="89"/>
        <v>6.2391077030324156E-2</v>
      </c>
      <c r="S725" s="5">
        <f t="shared" si="90"/>
        <v>0.52513966480446927</v>
      </c>
      <c r="T725" s="5">
        <f t="shared" si="91"/>
        <v>7.4468085106382975E-2</v>
      </c>
      <c r="U725" s="5">
        <f t="shared" si="92"/>
        <v>2.4398745207389336E-3</v>
      </c>
      <c r="V725" s="6">
        <f t="shared" si="93"/>
        <v>4.7162765957446808</v>
      </c>
      <c r="W725" s="7">
        <f t="shared" si="94"/>
        <v>2.4767039106145252</v>
      </c>
      <c r="X725" s="5">
        <f t="shared" si="95"/>
        <v>13.373987774344169</v>
      </c>
    </row>
    <row r="726" spans="1:24" x14ac:dyDescent="0.35">
      <c r="A726" s="3">
        <v>46141</v>
      </c>
      <c r="B726" t="s">
        <v>860</v>
      </c>
      <c r="C726" t="s">
        <v>1044</v>
      </c>
      <c r="D726" t="s">
        <v>40</v>
      </c>
      <c r="E726" t="s">
        <v>19</v>
      </c>
      <c r="F726" t="s">
        <v>20</v>
      </c>
      <c r="G726" t="s">
        <v>59</v>
      </c>
      <c r="H726" t="s">
        <v>37</v>
      </c>
      <c r="I726">
        <v>754</v>
      </c>
      <c r="J726">
        <v>644</v>
      </c>
      <c r="K726">
        <v>594</v>
      </c>
      <c r="L726">
        <v>14</v>
      </c>
      <c r="M726">
        <v>7</v>
      </c>
      <c r="N726">
        <v>0</v>
      </c>
      <c r="O726">
        <v>100.14</v>
      </c>
      <c r="P726">
        <v>0</v>
      </c>
      <c r="Q726" s="5">
        <f t="shared" si="88"/>
        <v>0.92236024844720499</v>
      </c>
      <c r="R726" s="5">
        <f t="shared" si="89"/>
        <v>2.3569023569023569E-2</v>
      </c>
      <c r="S726" s="5">
        <f t="shared" si="90"/>
        <v>0.5</v>
      </c>
      <c r="T726" s="5">
        <f t="shared" si="91"/>
        <v>0</v>
      </c>
      <c r="U726" s="5">
        <f t="shared" si="92"/>
        <v>0</v>
      </c>
      <c r="V726" s="6">
        <f t="shared" si="93"/>
        <v>14.305714285714286</v>
      </c>
      <c r="W726" s="7">
        <f t="shared" si="94"/>
        <v>7.152857142857143</v>
      </c>
      <c r="X726" s="5">
        <f t="shared" si="95"/>
        <v>-1</v>
      </c>
    </row>
    <row r="727" spans="1:24" x14ac:dyDescent="0.35">
      <c r="A727" s="3">
        <v>46142</v>
      </c>
      <c r="B727" t="s">
        <v>823</v>
      </c>
      <c r="C727" t="s">
        <v>1045</v>
      </c>
      <c r="D727" t="s">
        <v>18</v>
      </c>
      <c r="E727" t="s">
        <v>56</v>
      </c>
      <c r="F727" t="s">
        <v>20</v>
      </c>
      <c r="G727" t="s">
        <v>36</v>
      </c>
      <c r="H727" t="s">
        <v>28</v>
      </c>
      <c r="I727">
        <v>2270</v>
      </c>
      <c r="J727">
        <v>1689</v>
      </c>
      <c r="K727">
        <v>1527</v>
      </c>
      <c r="L727">
        <v>95</v>
      </c>
      <c r="M727">
        <v>45</v>
      </c>
      <c r="N727">
        <v>2</v>
      </c>
      <c r="O727">
        <v>212.33</v>
      </c>
      <c r="P727">
        <v>1418.49</v>
      </c>
      <c r="Q727" s="5">
        <f t="shared" si="88"/>
        <v>0.9040852575488455</v>
      </c>
      <c r="R727" s="5">
        <f t="shared" si="89"/>
        <v>6.2213490504256709E-2</v>
      </c>
      <c r="S727" s="5">
        <f t="shared" si="90"/>
        <v>0.47368421052631576</v>
      </c>
      <c r="T727" s="5">
        <f t="shared" si="91"/>
        <v>4.4444444444444446E-2</v>
      </c>
      <c r="U727" s="5">
        <f t="shared" si="92"/>
        <v>1.3097576948264572E-3</v>
      </c>
      <c r="V727" s="6">
        <f t="shared" si="93"/>
        <v>4.7184444444444447</v>
      </c>
      <c r="W727" s="7">
        <f t="shared" si="94"/>
        <v>2.2350526315789474</v>
      </c>
      <c r="X727" s="5">
        <f t="shared" si="95"/>
        <v>5.6805915320491689</v>
      </c>
    </row>
    <row r="728" spans="1:24" x14ac:dyDescent="0.35">
      <c r="A728" s="3">
        <v>46142</v>
      </c>
      <c r="B728" t="s">
        <v>825</v>
      </c>
      <c r="C728" t="s">
        <v>1046</v>
      </c>
      <c r="D728" t="s">
        <v>18</v>
      </c>
      <c r="E728" t="s">
        <v>35</v>
      </c>
      <c r="F728" t="s">
        <v>26</v>
      </c>
      <c r="G728" t="s">
        <v>59</v>
      </c>
      <c r="H728" t="s">
        <v>22</v>
      </c>
      <c r="I728">
        <v>2306</v>
      </c>
      <c r="J728">
        <v>2281</v>
      </c>
      <c r="K728">
        <v>2041</v>
      </c>
      <c r="L728">
        <v>220</v>
      </c>
      <c r="M728">
        <v>131</v>
      </c>
      <c r="N728">
        <v>8</v>
      </c>
      <c r="O728">
        <v>318.60000000000002</v>
      </c>
      <c r="P728">
        <v>9346.25</v>
      </c>
      <c r="Q728" s="5">
        <f t="shared" si="88"/>
        <v>0.89478298991670324</v>
      </c>
      <c r="R728" s="5">
        <f t="shared" si="89"/>
        <v>0.10779029887310142</v>
      </c>
      <c r="S728" s="5">
        <f t="shared" si="90"/>
        <v>0.59545454545454546</v>
      </c>
      <c r="T728" s="5">
        <f t="shared" si="91"/>
        <v>6.1068702290076333E-2</v>
      </c>
      <c r="U728" s="5">
        <f t="shared" si="92"/>
        <v>3.9196472317491425E-3</v>
      </c>
      <c r="V728" s="6">
        <f t="shared" si="93"/>
        <v>2.4320610687022901</v>
      </c>
      <c r="W728" s="7">
        <f t="shared" si="94"/>
        <v>1.4481818181818182</v>
      </c>
      <c r="X728" s="5">
        <f t="shared" si="95"/>
        <v>28.335373509102318</v>
      </c>
    </row>
    <row r="729" spans="1:24" x14ac:dyDescent="0.35">
      <c r="A729" s="3">
        <v>46142</v>
      </c>
      <c r="B729" t="s">
        <v>833</v>
      </c>
      <c r="C729" t="s">
        <v>1047</v>
      </c>
      <c r="D729" t="s">
        <v>18</v>
      </c>
      <c r="E729" t="s">
        <v>19</v>
      </c>
      <c r="F729" t="s">
        <v>20</v>
      </c>
      <c r="G729" t="s">
        <v>36</v>
      </c>
      <c r="H729" t="s">
        <v>51</v>
      </c>
      <c r="I729">
        <v>451</v>
      </c>
      <c r="J729">
        <v>376</v>
      </c>
      <c r="K729">
        <v>349</v>
      </c>
      <c r="L729">
        <v>5</v>
      </c>
      <c r="M729">
        <v>2</v>
      </c>
      <c r="N729">
        <v>0</v>
      </c>
      <c r="O729">
        <v>39.270000000000003</v>
      </c>
      <c r="P729">
        <v>0</v>
      </c>
      <c r="Q729" s="5">
        <f t="shared" si="88"/>
        <v>0.92819148936170215</v>
      </c>
      <c r="R729" s="5">
        <f t="shared" si="89"/>
        <v>1.4326647564469915E-2</v>
      </c>
      <c r="S729" s="5">
        <f t="shared" si="90"/>
        <v>0.4</v>
      </c>
      <c r="T729" s="5">
        <f t="shared" si="91"/>
        <v>0</v>
      </c>
      <c r="U729" s="5">
        <f t="shared" si="92"/>
        <v>0</v>
      </c>
      <c r="V729" s="6">
        <f t="shared" si="93"/>
        <v>19.635000000000002</v>
      </c>
      <c r="W729" s="7">
        <f t="shared" si="94"/>
        <v>7.854000000000001</v>
      </c>
      <c r="X729" s="5">
        <f t="shared" si="95"/>
        <v>-1</v>
      </c>
    </row>
    <row r="730" spans="1:24" x14ac:dyDescent="0.35">
      <c r="A730" s="3">
        <v>46142</v>
      </c>
      <c r="B730" t="s">
        <v>943</v>
      </c>
      <c r="C730" t="s">
        <v>1048</v>
      </c>
      <c r="D730" t="s">
        <v>18</v>
      </c>
      <c r="E730" t="s">
        <v>35</v>
      </c>
      <c r="F730" t="s">
        <v>20</v>
      </c>
      <c r="G730" t="s">
        <v>41</v>
      </c>
      <c r="H730" t="s">
        <v>51</v>
      </c>
      <c r="I730">
        <v>1354</v>
      </c>
      <c r="J730">
        <v>1102</v>
      </c>
      <c r="K730">
        <v>1013</v>
      </c>
      <c r="L730">
        <v>99</v>
      </c>
      <c r="M730">
        <v>55</v>
      </c>
      <c r="N730">
        <v>3</v>
      </c>
      <c r="O730">
        <v>145.49</v>
      </c>
      <c r="P730">
        <v>2938.51</v>
      </c>
      <c r="Q730" s="5">
        <f t="shared" si="88"/>
        <v>0.91923774954627946</v>
      </c>
      <c r="R730" s="5">
        <f t="shared" si="89"/>
        <v>9.7729516288252716E-2</v>
      </c>
      <c r="S730" s="5">
        <f t="shared" si="90"/>
        <v>0.55555555555555558</v>
      </c>
      <c r="T730" s="5">
        <f t="shared" si="91"/>
        <v>5.4545454545454543E-2</v>
      </c>
      <c r="U730" s="5">
        <f t="shared" si="92"/>
        <v>2.9615004935834156E-3</v>
      </c>
      <c r="V730" s="6">
        <f t="shared" si="93"/>
        <v>2.6452727272727272</v>
      </c>
      <c r="W730" s="7">
        <f t="shared" si="94"/>
        <v>1.4695959595959598</v>
      </c>
      <c r="X730" s="5">
        <f t="shared" si="95"/>
        <v>19.197333150044678</v>
      </c>
    </row>
    <row r="731" spans="1:24" x14ac:dyDescent="0.35">
      <c r="A731" s="3">
        <v>46142</v>
      </c>
      <c r="B731" t="s">
        <v>887</v>
      </c>
      <c r="C731" t="s">
        <v>1049</v>
      </c>
      <c r="D731" t="s">
        <v>18</v>
      </c>
      <c r="E731" t="s">
        <v>35</v>
      </c>
      <c r="F731" t="s">
        <v>20</v>
      </c>
      <c r="G731" t="s">
        <v>27</v>
      </c>
      <c r="H731" t="s">
        <v>51</v>
      </c>
      <c r="I731">
        <v>4048</v>
      </c>
      <c r="J731">
        <v>3405</v>
      </c>
      <c r="K731">
        <v>3010</v>
      </c>
      <c r="L731">
        <v>232</v>
      </c>
      <c r="M731">
        <v>128</v>
      </c>
      <c r="N731">
        <v>10</v>
      </c>
      <c r="O731">
        <v>381.48</v>
      </c>
      <c r="P731">
        <v>7654.72</v>
      </c>
      <c r="Q731" s="5">
        <f t="shared" si="88"/>
        <v>0.88399412628487517</v>
      </c>
      <c r="R731" s="5">
        <f t="shared" si="89"/>
        <v>7.7076411960132887E-2</v>
      </c>
      <c r="S731" s="5">
        <f t="shared" si="90"/>
        <v>0.55172413793103448</v>
      </c>
      <c r="T731" s="5">
        <f t="shared" si="91"/>
        <v>7.8125E-2</v>
      </c>
      <c r="U731" s="5">
        <f t="shared" si="92"/>
        <v>3.3222591362126247E-3</v>
      </c>
      <c r="V731" s="6">
        <f t="shared" si="93"/>
        <v>2.9803125000000001</v>
      </c>
      <c r="W731" s="7">
        <f t="shared" si="94"/>
        <v>1.6443103448275862</v>
      </c>
      <c r="X731" s="5">
        <f t="shared" si="95"/>
        <v>19.065848799412812</v>
      </c>
    </row>
    <row r="732" spans="1:24" x14ac:dyDescent="0.35">
      <c r="A732" s="3">
        <v>46142</v>
      </c>
      <c r="B732" t="s">
        <v>813</v>
      </c>
      <c r="C732" t="s">
        <v>1050</v>
      </c>
      <c r="D732" t="s">
        <v>31</v>
      </c>
      <c r="E732" t="s">
        <v>35</v>
      </c>
      <c r="F732" t="s">
        <v>26</v>
      </c>
      <c r="G732" t="s">
        <v>21</v>
      </c>
      <c r="H732" t="s">
        <v>37</v>
      </c>
      <c r="I732">
        <v>4430</v>
      </c>
      <c r="J732">
        <v>4348</v>
      </c>
      <c r="K732">
        <v>4203</v>
      </c>
      <c r="L732">
        <v>297</v>
      </c>
      <c r="M732">
        <v>151</v>
      </c>
      <c r="N732">
        <v>13</v>
      </c>
      <c r="O732">
        <v>928.19</v>
      </c>
      <c r="P732">
        <v>18757.14</v>
      </c>
      <c r="Q732" s="5">
        <f t="shared" si="88"/>
        <v>0.96665133394664216</v>
      </c>
      <c r="R732" s="5">
        <f t="shared" si="89"/>
        <v>7.0663811563169171E-2</v>
      </c>
      <c r="S732" s="5">
        <f t="shared" si="90"/>
        <v>0.50841750841750843</v>
      </c>
      <c r="T732" s="5">
        <f t="shared" si="91"/>
        <v>8.6092715231788075E-2</v>
      </c>
      <c r="U732" s="5">
        <f t="shared" si="92"/>
        <v>3.0930287889602663E-3</v>
      </c>
      <c r="V732" s="6">
        <f t="shared" si="93"/>
        <v>6.1469536423841067</v>
      </c>
      <c r="W732" s="7">
        <f t="shared" si="94"/>
        <v>3.1252188552188556</v>
      </c>
      <c r="X732" s="5">
        <f t="shared" si="95"/>
        <v>19.208297870048156</v>
      </c>
    </row>
    <row r="733" spans="1:24" x14ac:dyDescent="0.35">
      <c r="A733" s="3">
        <v>46142</v>
      </c>
      <c r="B733" t="s">
        <v>837</v>
      </c>
      <c r="C733" t="s">
        <v>1051</v>
      </c>
      <c r="D733" t="s">
        <v>34</v>
      </c>
      <c r="E733" t="s">
        <v>25</v>
      </c>
      <c r="F733" t="s">
        <v>26</v>
      </c>
      <c r="G733" t="s">
        <v>21</v>
      </c>
      <c r="H733" t="s">
        <v>51</v>
      </c>
      <c r="I733">
        <v>2131</v>
      </c>
      <c r="J733">
        <v>1924</v>
      </c>
      <c r="K733">
        <v>1841</v>
      </c>
      <c r="L733">
        <v>104</v>
      </c>
      <c r="M733">
        <v>66</v>
      </c>
      <c r="N733">
        <v>3</v>
      </c>
      <c r="O733">
        <v>171.76</v>
      </c>
      <c r="P733">
        <v>3792.24</v>
      </c>
      <c r="Q733" s="5">
        <f t="shared" si="88"/>
        <v>0.9568607068607069</v>
      </c>
      <c r="R733" s="5">
        <f t="shared" si="89"/>
        <v>5.6491037479630635E-2</v>
      </c>
      <c r="S733" s="5">
        <f t="shared" si="90"/>
        <v>0.63461538461538458</v>
      </c>
      <c r="T733" s="5">
        <f t="shared" si="91"/>
        <v>4.5454545454545456E-2</v>
      </c>
      <c r="U733" s="5">
        <f t="shared" si="92"/>
        <v>1.6295491580662683E-3</v>
      </c>
      <c r="V733" s="6">
        <f t="shared" si="93"/>
        <v>2.6024242424242421</v>
      </c>
      <c r="W733" s="7">
        <f t="shared" si="94"/>
        <v>1.6515384615384614</v>
      </c>
      <c r="X733" s="5">
        <f t="shared" si="95"/>
        <v>21.078714485328362</v>
      </c>
    </row>
    <row r="734" spans="1:24" x14ac:dyDescent="0.35">
      <c r="A734" s="3">
        <v>46142</v>
      </c>
      <c r="B734" t="s">
        <v>902</v>
      </c>
      <c r="C734" t="s">
        <v>1052</v>
      </c>
      <c r="D734" t="s">
        <v>18</v>
      </c>
      <c r="E734" t="s">
        <v>56</v>
      </c>
      <c r="F734" t="s">
        <v>20</v>
      </c>
      <c r="G734" t="s">
        <v>41</v>
      </c>
      <c r="H734" t="s">
        <v>51</v>
      </c>
      <c r="I734">
        <v>2670</v>
      </c>
      <c r="J734">
        <v>2354</v>
      </c>
      <c r="K734">
        <v>2156</v>
      </c>
      <c r="L734">
        <v>129</v>
      </c>
      <c r="M734">
        <v>60</v>
      </c>
      <c r="N734">
        <v>4</v>
      </c>
      <c r="O734">
        <v>321.3</v>
      </c>
      <c r="P734">
        <v>4327.28</v>
      </c>
      <c r="Q734" s="5">
        <f t="shared" si="88"/>
        <v>0.91588785046728971</v>
      </c>
      <c r="R734" s="5">
        <f t="shared" si="89"/>
        <v>5.9833024118738407E-2</v>
      </c>
      <c r="S734" s="5">
        <f t="shared" si="90"/>
        <v>0.46511627906976744</v>
      </c>
      <c r="T734" s="5">
        <f t="shared" si="91"/>
        <v>6.6666666666666666E-2</v>
      </c>
      <c r="U734" s="5">
        <f t="shared" si="92"/>
        <v>1.8552875695732839E-3</v>
      </c>
      <c r="V734" s="6">
        <f t="shared" si="93"/>
        <v>5.3550000000000004</v>
      </c>
      <c r="W734" s="7">
        <f t="shared" si="94"/>
        <v>2.4906976744186049</v>
      </c>
      <c r="X734" s="5">
        <f t="shared" si="95"/>
        <v>12.468036103330219</v>
      </c>
    </row>
    <row r="735" spans="1:24" x14ac:dyDescent="0.35">
      <c r="A735" s="3">
        <v>46142</v>
      </c>
      <c r="B735" t="s">
        <v>939</v>
      </c>
      <c r="C735" t="s">
        <v>1053</v>
      </c>
      <c r="D735" t="s">
        <v>31</v>
      </c>
      <c r="E735" t="s">
        <v>25</v>
      </c>
      <c r="F735" t="s">
        <v>26</v>
      </c>
      <c r="G735" t="s">
        <v>36</v>
      </c>
      <c r="H735" t="s">
        <v>28</v>
      </c>
      <c r="I735">
        <v>955</v>
      </c>
      <c r="J735">
        <v>713</v>
      </c>
      <c r="K735">
        <v>686</v>
      </c>
      <c r="L735">
        <v>26</v>
      </c>
      <c r="M735">
        <v>11</v>
      </c>
      <c r="N735">
        <v>1</v>
      </c>
      <c r="O735">
        <v>143.55000000000001</v>
      </c>
      <c r="P735">
        <v>1502.64</v>
      </c>
      <c r="Q735" s="5">
        <f t="shared" si="88"/>
        <v>0.9621318373071529</v>
      </c>
      <c r="R735" s="5">
        <f t="shared" si="89"/>
        <v>3.7900874635568516E-2</v>
      </c>
      <c r="S735" s="5">
        <f t="shared" si="90"/>
        <v>0.42307692307692307</v>
      </c>
      <c r="T735" s="5">
        <f t="shared" si="91"/>
        <v>9.0909090909090912E-2</v>
      </c>
      <c r="U735" s="5">
        <f t="shared" si="92"/>
        <v>1.4577259475218659E-3</v>
      </c>
      <c r="V735" s="6">
        <f t="shared" si="93"/>
        <v>13.05</v>
      </c>
      <c r="W735" s="7">
        <f t="shared" si="94"/>
        <v>5.5211538461538465</v>
      </c>
      <c r="X735" s="5">
        <f t="shared" si="95"/>
        <v>9.4677115987460816</v>
      </c>
    </row>
    <row r="736" spans="1:24" x14ac:dyDescent="0.35">
      <c r="A736" s="3">
        <v>46143</v>
      </c>
      <c r="B736" t="s">
        <v>1054</v>
      </c>
      <c r="C736" t="s">
        <v>1055</v>
      </c>
      <c r="D736" t="s">
        <v>31</v>
      </c>
      <c r="E736" t="s">
        <v>19</v>
      </c>
      <c r="F736" t="s">
        <v>20</v>
      </c>
      <c r="G736" t="s">
        <v>59</v>
      </c>
      <c r="H736" t="s">
        <v>28</v>
      </c>
      <c r="I736">
        <v>4129</v>
      </c>
      <c r="J736">
        <v>4075</v>
      </c>
      <c r="K736">
        <v>3945</v>
      </c>
      <c r="L736">
        <v>107</v>
      </c>
      <c r="M736">
        <v>38</v>
      </c>
      <c r="N736">
        <v>0</v>
      </c>
      <c r="O736">
        <v>688.88</v>
      </c>
      <c r="P736">
        <v>0</v>
      </c>
      <c r="Q736" s="5">
        <f t="shared" si="88"/>
        <v>0.96809815950920242</v>
      </c>
      <c r="R736" s="5">
        <f t="shared" si="89"/>
        <v>2.7122940430925221E-2</v>
      </c>
      <c r="S736" s="5">
        <f t="shared" si="90"/>
        <v>0.35514018691588783</v>
      </c>
      <c r="T736" s="5">
        <f t="shared" si="91"/>
        <v>0</v>
      </c>
      <c r="U736" s="5">
        <f t="shared" si="92"/>
        <v>0</v>
      </c>
      <c r="V736" s="6">
        <f t="shared" si="93"/>
        <v>18.12842105263158</v>
      </c>
      <c r="W736" s="7">
        <f t="shared" si="94"/>
        <v>6.4381308411214953</v>
      </c>
      <c r="X736" s="5">
        <f t="shared" si="95"/>
        <v>-1</v>
      </c>
    </row>
    <row r="737" spans="1:24" x14ac:dyDescent="0.35">
      <c r="A737" s="3">
        <v>46143</v>
      </c>
      <c r="B737" t="s">
        <v>1056</v>
      </c>
      <c r="C737" t="s">
        <v>1057</v>
      </c>
      <c r="D737" t="s">
        <v>31</v>
      </c>
      <c r="E737" t="s">
        <v>56</v>
      </c>
      <c r="F737" t="s">
        <v>20</v>
      </c>
      <c r="G737" t="s">
        <v>36</v>
      </c>
      <c r="H737" t="s">
        <v>37</v>
      </c>
      <c r="I737">
        <v>2603</v>
      </c>
      <c r="J737">
        <v>2504</v>
      </c>
      <c r="K737">
        <v>2463</v>
      </c>
      <c r="L737">
        <v>133</v>
      </c>
      <c r="M737">
        <v>49</v>
      </c>
      <c r="N737">
        <v>2</v>
      </c>
      <c r="O737">
        <v>391.27</v>
      </c>
      <c r="P737">
        <v>2324</v>
      </c>
      <c r="Q737" s="5">
        <f t="shared" si="88"/>
        <v>0.98362619808306706</v>
      </c>
      <c r="R737" s="5">
        <f t="shared" si="89"/>
        <v>5.3999187982135606E-2</v>
      </c>
      <c r="S737" s="5">
        <f t="shared" si="90"/>
        <v>0.36842105263157893</v>
      </c>
      <c r="T737" s="5">
        <f t="shared" si="91"/>
        <v>4.0816326530612242E-2</v>
      </c>
      <c r="U737" s="5">
        <f t="shared" si="92"/>
        <v>8.1201786439301664E-4</v>
      </c>
      <c r="V737" s="6">
        <f t="shared" si="93"/>
        <v>7.9851020408163258</v>
      </c>
      <c r="W737" s="7">
        <f t="shared" si="94"/>
        <v>2.94187969924812</v>
      </c>
      <c r="X737" s="5">
        <f t="shared" si="95"/>
        <v>4.939632478850922</v>
      </c>
    </row>
    <row r="738" spans="1:24" x14ac:dyDescent="0.35">
      <c r="A738" s="3">
        <v>46143</v>
      </c>
      <c r="B738" t="s">
        <v>1058</v>
      </c>
      <c r="C738" t="s">
        <v>1059</v>
      </c>
      <c r="D738" t="s">
        <v>31</v>
      </c>
      <c r="E738" t="s">
        <v>35</v>
      </c>
      <c r="F738" t="s">
        <v>20</v>
      </c>
      <c r="G738" t="s">
        <v>59</v>
      </c>
      <c r="H738" t="s">
        <v>28</v>
      </c>
      <c r="I738">
        <v>2059</v>
      </c>
      <c r="J738">
        <v>1814</v>
      </c>
      <c r="K738">
        <v>1753</v>
      </c>
      <c r="L738">
        <v>68</v>
      </c>
      <c r="M738">
        <v>24</v>
      </c>
      <c r="N738">
        <v>1</v>
      </c>
      <c r="O738">
        <v>291.32</v>
      </c>
      <c r="P738">
        <v>835.47</v>
      </c>
      <c r="Q738" s="5">
        <f t="shared" si="88"/>
        <v>0.96637265711135611</v>
      </c>
      <c r="R738" s="5">
        <f t="shared" si="89"/>
        <v>3.8790644609241302E-2</v>
      </c>
      <c r="S738" s="5">
        <f t="shared" si="90"/>
        <v>0.35294117647058826</v>
      </c>
      <c r="T738" s="5">
        <f t="shared" si="91"/>
        <v>4.1666666666666664E-2</v>
      </c>
      <c r="U738" s="5">
        <f t="shared" si="92"/>
        <v>5.7045065601825438E-4</v>
      </c>
      <c r="V738" s="6">
        <f t="shared" si="93"/>
        <v>12.138333333333334</v>
      </c>
      <c r="W738" s="7">
        <f t="shared" si="94"/>
        <v>4.2841176470588236</v>
      </c>
      <c r="X738" s="5">
        <f t="shared" si="95"/>
        <v>1.8678772483866541</v>
      </c>
    </row>
    <row r="739" spans="1:24" x14ac:dyDescent="0.35">
      <c r="A739" s="3">
        <v>46143</v>
      </c>
      <c r="B739" t="s">
        <v>1060</v>
      </c>
      <c r="C739" t="s">
        <v>1061</v>
      </c>
      <c r="D739" t="s">
        <v>34</v>
      </c>
      <c r="E739" t="s">
        <v>35</v>
      </c>
      <c r="F739" t="s">
        <v>20</v>
      </c>
      <c r="G739" t="s">
        <v>41</v>
      </c>
      <c r="H739" t="s">
        <v>51</v>
      </c>
      <c r="I739">
        <v>3619</v>
      </c>
      <c r="J739">
        <v>3106</v>
      </c>
      <c r="K739">
        <v>2944</v>
      </c>
      <c r="L739">
        <v>159</v>
      </c>
      <c r="M739">
        <v>54</v>
      </c>
      <c r="N739">
        <v>3</v>
      </c>
      <c r="O739">
        <v>220.95</v>
      </c>
      <c r="P739">
        <v>2563.14</v>
      </c>
      <c r="Q739" s="5">
        <f t="shared" si="88"/>
        <v>0.94784288473921441</v>
      </c>
      <c r="R739" s="5">
        <f t="shared" si="89"/>
        <v>5.400815217391304E-2</v>
      </c>
      <c r="S739" s="5">
        <f t="shared" si="90"/>
        <v>0.33962264150943394</v>
      </c>
      <c r="T739" s="5">
        <f t="shared" si="91"/>
        <v>5.5555555555555552E-2</v>
      </c>
      <c r="U739" s="5">
        <f t="shared" si="92"/>
        <v>1.0190217391304348E-3</v>
      </c>
      <c r="V739" s="6">
        <f t="shared" si="93"/>
        <v>4.0916666666666668</v>
      </c>
      <c r="W739" s="7">
        <f t="shared" si="94"/>
        <v>1.3896226415094339</v>
      </c>
      <c r="X739" s="5">
        <f t="shared" si="95"/>
        <v>10.600543109300748</v>
      </c>
    </row>
    <row r="740" spans="1:24" x14ac:dyDescent="0.35">
      <c r="A740" s="3">
        <v>46144</v>
      </c>
      <c r="B740" t="s">
        <v>1062</v>
      </c>
      <c r="C740" t="s">
        <v>1063</v>
      </c>
      <c r="D740" t="s">
        <v>31</v>
      </c>
      <c r="E740" t="s">
        <v>35</v>
      </c>
      <c r="F740" t="s">
        <v>20</v>
      </c>
      <c r="G740" t="s">
        <v>36</v>
      </c>
      <c r="H740" t="s">
        <v>22</v>
      </c>
      <c r="I740">
        <v>4663</v>
      </c>
      <c r="J740">
        <v>3685</v>
      </c>
      <c r="K740">
        <v>3532</v>
      </c>
      <c r="L740">
        <v>237</v>
      </c>
      <c r="M740">
        <v>106</v>
      </c>
      <c r="N740">
        <v>7</v>
      </c>
      <c r="O740">
        <v>657.68</v>
      </c>
      <c r="P740">
        <v>9931.16</v>
      </c>
      <c r="Q740" s="5">
        <f t="shared" si="88"/>
        <v>0.95848032564450469</v>
      </c>
      <c r="R740" s="5">
        <f t="shared" si="89"/>
        <v>6.7100792751981886E-2</v>
      </c>
      <c r="S740" s="5">
        <f t="shared" si="90"/>
        <v>0.4472573839662447</v>
      </c>
      <c r="T740" s="5">
        <f t="shared" si="91"/>
        <v>6.6037735849056603E-2</v>
      </c>
      <c r="U740" s="5">
        <f t="shared" si="92"/>
        <v>1.9818799546998866E-3</v>
      </c>
      <c r="V740" s="6">
        <f t="shared" si="93"/>
        <v>6.2045283018867918</v>
      </c>
      <c r="W740" s="7">
        <f t="shared" si="94"/>
        <v>2.7750210970464133</v>
      </c>
      <c r="X740" s="5">
        <f t="shared" si="95"/>
        <v>14.100291935287679</v>
      </c>
    </row>
    <row r="741" spans="1:24" x14ac:dyDescent="0.35">
      <c r="A741" s="3">
        <v>46144</v>
      </c>
      <c r="B741" t="s">
        <v>1064</v>
      </c>
      <c r="C741" t="s">
        <v>1065</v>
      </c>
      <c r="D741" t="s">
        <v>34</v>
      </c>
      <c r="E741" t="s">
        <v>56</v>
      </c>
      <c r="F741" t="s">
        <v>20</v>
      </c>
      <c r="G741" t="s">
        <v>41</v>
      </c>
      <c r="H741" t="s">
        <v>48</v>
      </c>
      <c r="I741">
        <v>1414</v>
      </c>
      <c r="J741">
        <v>1202</v>
      </c>
      <c r="K741">
        <v>1139</v>
      </c>
      <c r="L741">
        <v>47</v>
      </c>
      <c r="M741">
        <v>19</v>
      </c>
      <c r="N741">
        <v>1</v>
      </c>
      <c r="O741">
        <v>109.1</v>
      </c>
      <c r="P741">
        <v>1325.84</v>
      </c>
      <c r="Q741" s="5">
        <f t="shared" si="88"/>
        <v>0.94758735440931785</v>
      </c>
      <c r="R741" s="5">
        <f t="shared" si="89"/>
        <v>4.1264266900790166E-2</v>
      </c>
      <c r="S741" s="5">
        <f t="shared" si="90"/>
        <v>0.40425531914893614</v>
      </c>
      <c r="T741" s="5">
        <f t="shared" si="91"/>
        <v>5.2631578947368418E-2</v>
      </c>
      <c r="U741" s="5">
        <f t="shared" si="92"/>
        <v>8.7796312554872696E-4</v>
      </c>
      <c r="V741" s="6">
        <f t="shared" si="93"/>
        <v>5.7421052631578942</v>
      </c>
      <c r="W741" s="7">
        <f t="shared" si="94"/>
        <v>2.3212765957446808</v>
      </c>
      <c r="X741" s="5">
        <f t="shared" si="95"/>
        <v>11.152520623281394</v>
      </c>
    </row>
    <row r="742" spans="1:24" x14ac:dyDescent="0.35">
      <c r="A742" s="3">
        <v>46144</v>
      </c>
      <c r="B742" t="s">
        <v>1066</v>
      </c>
      <c r="C742" t="s">
        <v>1067</v>
      </c>
      <c r="D742" t="s">
        <v>40</v>
      </c>
      <c r="E742" t="s">
        <v>25</v>
      </c>
      <c r="F742" t="s">
        <v>20</v>
      </c>
      <c r="G742" t="s">
        <v>27</v>
      </c>
      <c r="H742" t="s">
        <v>22</v>
      </c>
      <c r="I742">
        <v>3749</v>
      </c>
      <c r="J742">
        <v>2925</v>
      </c>
      <c r="K742">
        <v>2697</v>
      </c>
      <c r="L742">
        <v>111</v>
      </c>
      <c r="M742">
        <v>56</v>
      </c>
      <c r="N742">
        <v>1</v>
      </c>
      <c r="O742">
        <v>435.13</v>
      </c>
      <c r="P742">
        <v>1395.24</v>
      </c>
      <c r="Q742" s="5">
        <f t="shared" si="88"/>
        <v>0.92205128205128206</v>
      </c>
      <c r="R742" s="5">
        <f t="shared" si="89"/>
        <v>4.1156840934371525E-2</v>
      </c>
      <c r="S742" s="5">
        <f t="shared" si="90"/>
        <v>0.50450450450450446</v>
      </c>
      <c r="T742" s="5">
        <f t="shared" si="91"/>
        <v>1.7857142857142856E-2</v>
      </c>
      <c r="U742" s="5">
        <f t="shared" si="92"/>
        <v>3.707823507601038E-4</v>
      </c>
      <c r="V742" s="6">
        <f t="shared" si="93"/>
        <v>7.7701785714285716</v>
      </c>
      <c r="W742" s="7">
        <f t="shared" si="94"/>
        <v>3.9200900900900901</v>
      </c>
      <c r="X742" s="5">
        <f t="shared" si="95"/>
        <v>2.2064900144784318</v>
      </c>
    </row>
    <row r="743" spans="1:24" x14ac:dyDescent="0.35">
      <c r="A743" s="3">
        <v>46145</v>
      </c>
      <c r="B743" t="s">
        <v>1068</v>
      </c>
      <c r="C743" t="s">
        <v>1069</v>
      </c>
      <c r="D743" t="s">
        <v>34</v>
      </c>
      <c r="E743" t="s">
        <v>19</v>
      </c>
      <c r="F743" t="s">
        <v>20</v>
      </c>
      <c r="G743" t="s">
        <v>36</v>
      </c>
      <c r="H743" t="s">
        <v>28</v>
      </c>
      <c r="I743">
        <v>1115</v>
      </c>
      <c r="J743">
        <v>1075</v>
      </c>
      <c r="K743">
        <v>1025</v>
      </c>
      <c r="L743">
        <v>22</v>
      </c>
      <c r="M743">
        <v>11</v>
      </c>
      <c r="N743">
        <v>0</v>
      </c>
      <c r="O743">
        <v>75.510000000000005</v>
      </c>
      <c r="P743">
        <v>0</v>
      </c>
      <c r="Q743" s="5">
        <f t="shared" si="88"/>
        <v>0.95348837209302328</v>
      </c>
      <c r="R743" s="5">
        <f t="shared" si="89"/>
        <v>2.1463414634146343E-2</v>
      </c>
      <c r="S743" s="5">
        <f t="shared" si="90"/>
        <v>0.5</v>
      </c>
      <c r="T743" s="5">
        <f t="shared" si="91"/>
        <v>0</v>
      </c>
      <c r="U743" s="5">
        <f t="shared" si="92"/>
        <v>0</v>
      </c>
      <c r="V743" s="6">
        <f t="shared" si="93"/>
        <v>6.8645454545454552</v>
      </c>
      <c r="W743" s="7">
        <f t="shared" si="94"/>
        <v>3.4322727272727276</v>
      </c>
      <c r="X743" s="5">
        <f t="shared" si="95"/>
        <v>-1</v>
      </c>
    </row>
    <row r="744" spans="1:24" x14ac:dyDescent="0.35">
      <c r="A744" s="3">
        <v>46145</v>
      </c>
      <c r="B744" t="s">
        <v>1070</v>
      </c>
      <c r="C744" t="s">
        <v>1071</v>
      </c>
      <c r="D744" t="s">
        <v>40</v>
      </c>
      <c r="E744" t="s">
        <v>19</v>
      </c>
      <c r="F744" t="s">
        <v>20</v>
      </c>
      <c r="G744" t="s">
        <v>36</v>
      </c>
      <c r="H744" t="s">
        <v>51</v>
      </c>
      <c r="I744">
        <v>3215</v>
      </c>
      <c r="J744">
        <v>3074</v>
      </c>
      <c r="K744">
        <v>2772</v>
      </c>
      <c r="L744">
        <v>9</v>
      </c>
      <c r="M744">
        <v>4</v>
      </c>
      <c r="N744">
        <v>0</v>
      </c>
      <c r="O744">
        <v>483.31</v>
      </c>
      <c r="P744">
        <v>0</v>
      </c>
      <c r="Q744" s="5">
        <f t="shared" si="88"/>
        <v>0.90175666883539363</v>
      </c>
      <c r="R744" s="5">
        <f t="shared" si="89"/>
        <v>3.246753246753247E-3</v>
      </c>
      <c r="S744" s="5">
        <f t="shared" si="90"/>
        <v>0.44444444444444442</v>
      </c>
      <c r="T744" s="5">
        <f t="shared" si="91"/>
        <v>0</v>
      </c>
      <c r="U744" s="5">
        <f t="shared" si="92"/>
        <v>0</v>
      </c>
      <c r="V744" s="6">
        <f t="shared" si="93"/>
        <v>120.8275</v>
      </c>
      <c r="W744" s="7">
        <f t="shared" si="94"/>
        <v>53.701111111111111</v>
      </c>
      <c r="X744" s="5">
        <f t="shared" si="95"/>
        <v>-1</v>
      </c>
    </row>
    <row r="745" spans="1:24" x14ac:dyDescent="0.35">
      <c r="A745" s="3">
        <v>46145</v>
      </c>
      <c r="B745" t="s">
        <v>1072</v>
      </c>
      <c r="C745" t="s">
        <v>1073</v>
      </c>
      <c r="D745" t="s">
        <v>18</v>
      </c>
      <c r="E745" t="s">
        <v>56</v>
      </c>
      <c r="F745" t="s">
        <v>20</v>
      </c>
      <c r="G745" t="s">
        <v>21</v>
      </c>
      <c r="H745" t="s">
        <v>22</v>
      </c>
      <c r="I745">
        <v>1392</v>
      </c>
      <c r="J745">
        <v>1315</v>
      </c>
      <c r="K745">
        <v>1189</v>
      </c>
      <c r="L745">
        <v>58</v>
      </c>
      <c r="M745">
        <v>26</v>
      </c>
      <c r="N745">
        <v>1</v>
      </c>
      <c r="O745">
        <v>178.23</v>
      </c>
      <c r="P745">
        <v>1215.78</v>
      </c>
      <c r="Q745" s="5">
        <f t="shared" si="88"/>
        <v>0.90418250950570345</v>
      </c>
      <c r="R745" s="5">
        <f t="shared" si="89"/>
        <v>4.878048780487805E-2</v>
      </c>
      <c r="S745" s="5">
        <f t="shared" si="90"/>
        <v>0.44827586206896552</v>
      </c>
      <c r="T745" s="5">
        <f t="shared" si="91"/>
        <v>3.8461538461538464E-2</v>
      </c>
      <c r="U745" s="5">
        <f t="shared" si="92"/>
        <v>8.4104289318755253E-4</v>
      </c>
      <c r="V745" s="6">
        <f t="shared" si="93"/>
        <v>6.8549999999999995</v>
      </c>
      <c r="W745" s="7">
        <f t="shared" si="94"/>
        <v>3.0729310344827585</v>
      </c>
      <c r="X745" s="5">
        <f t="shared" si="95"/>
        <v>5.821410536946642</v>
      </c>
    </row>
    <row r="746" spans="1:24" x14ac:dyDescent="0.35">
      <c r="A746" s="3">
        <v>46145</v>
      </c>
      <c r="B746" t="s">
        <v>1074</v>
      </c>
      <c r="C746" t="s">
        <v>1075</v>
      </c>
      <c r="D746" t="s">
        <v>18</v>
      </c>
      <c r="E746" t="s">
        <v>56</v>
      </c>
      <c r="F746" t="s">
        <v>20</v>
      </c>
      <c r="G746" t="s">
        <v>41</v>
      </c>
      <c r="H746" t="s">
        <v>22</v>
      </c>
      <c r="I746">
        <v>4489</v>
      </c>
      <c r="J746">
        <v>4097</v>
      </c>
      <c r="K746">
        <v>3665</v>
      </c>
      <c r="L746">
        <v>243</v>
      </c>
      <c r="M746">
        <v>145</v>
      </c>
      <c r="N746">
        <v>10</v>
      </c>
      <c r="O746">
        <v>472.11</v>
      </c>
      <c r="P746">
        <v>9298.82</v>
      </c>
      <c r="Q746" s="5">
        <f t="shared" si="88"/>
        <v>0.89455699292165003</v>
      </c>
      <c r="R746" s="5">
        <f t="shared" si="89"/>
        <v>6.6302864938608458E-2</v>
      </c>
      <c r="S746" s="5">
        <f t="shared" si="90"/>
        <v>0.5967078189300411</v>
      </c>
      <c r="T746" s="5">
        <f t="shared" si="91"/>
        <v>6.8965517241379309E-2</v>
      </c>
      <c r="U746" s="5">
        <f t="shared" si="92"/>
        <v>2.7285129604365621E-3</v>
      </c>
      <c r="V746" s="6">
        <f t="shared" si="93"/>
        <v>3.2559310344827588</v>
      </c>
      <c r="W746" s="7">
        <f t="shared" si="94"/>
        <v>1.9428395061728396</v>
      </c>
      <c r="X746" s="5">
        <f t="shared" si="95"/>
        <v>18.696299591196965</v>
      </c>
    </row>
    <row r="747" spans="1:24" x14ac:dyDescent="0.35">
      <c r="A747" s="3">
        <v>46145</v>
      </c>
      <c r="B747" t="s">
        <v>1076</v>
      </c>
      <c r="C747" t="s">
        <v>1077</v>
      </c>
      <c r="D747" t="s">
        <v>31</v>
      </c>
      <c r="E747" t="s">
        <v>25</v>
      </c>
      <c r="F747" t="s">
        <v>26</v>
      </c>
      <c r="G747" t="s">
        <v>59</v>
      </c>
      <c r="H747" t="s">
        <v>37</v>
      </c>
      <c r="I747">
        <v>1753</v>
      </c>
      <c r="J747">
        <v>1507</v>
      </c>
      <c r="K747">
        <v>1465</v>
      </c>
      <c r="L747">
        <v>37</v>
      </c>
      <c r="M747">
        <v>19</v>
      </c>
      <c r="N747">
        <v>1</v>
      </c>
      <c r="O747">
        <v>263.55</v>
      </c>
      <c r="P747">
        <v>1119.52</v>
      </c>
      <c r="Q747" s="5">
        <f t="shared" si="88"/>
        <v>0.97213005972130062</v>
      </c>
      <c r="R747" s="5">
        <f t="shared" si="89"/>
        <v>2.5255972696245733E-2</v>
      </c>
      <c r="S747" s="5">
        <f t="shared" si="90"/>
        <v>0.51351351351351349</v>
      </c>
      <c r="T747" s="5">
        <f t="shared" si="91"/>
        <v>5.2631578947368418E-2</v>
      </c>
      <c r="U747" s="5">
        <f t="shared" si="92"/>
        <v>6.8259385665529011E-4</v>
      </c>
      <c r="V747" s="6">
        <f t="shared" si="93"/>
        <v>13.871052631578948</v>
      </c>
      <c r="W747" s="7">
        <f t="shared" si="94"/>
        <v>7.1229729729729732</v>
      </c>
      <c r="X747" s="5">
        <f t="shared" si="95"/>
        <v>3.2478467084044773</v>
      </c>
    </row>
    <row r="748" spans="1:24" x14ac:dyDescent="0.35">
      <c r="A748" s="3">
        <v>46146</v>
      </c>
      <c r="B748" t="s">
        <v>1078</v>
      </c>
      <c r="C748" t="s">
        <v>1079</v>
      </c>
      <c r="D748" t="s">
        <v>18</v>
      </c>
      <c r="E748" t="s">
        <v>56</v>
      </c>
      <c r="F748" t="s">
        <v>20</v>
      </c>
      <c r="G748" t="s">
        <v>27</v>
      </c>
      <c r="H748" t="s">
        <v>51</v>
      </c>
      <c r="I748">
        <v>2056</v>
      </c>
      <c r="J748">
        <v>1815</v>
      </c>
      <c r="K748">
        <v>1619</v>
      </c>
      <c r="L748">
        <v>108</v>
      </c>
      <c r="M748">
        <v>45</v>
      </c>
      <c r="N748">
        <v>3</v>
      </c>
      <c r="O748">
        <v>215.8</v>
      </c>
      <c r="P748">
        <v>3785.19</v>
      </c>
      <c r="Q748" s="5">
        <f t="shared" si="88"/>
        <v>0.8920110192837466</v>
      </c>
      <c r="R748" s="5">
        <f t="shared" si="89"/>
        <v>6.6707844348363188E-2</v>
      </c>
      <c r="S748" s="5">
        <f t="shared" si="90"/>
        <v>0.41666666666666669</v>
      </c>
      <c r="T748" s="5">
        <f t="shared" si="91"/>
        <v>6.6666666666666666E-2</v>
      </c>
      <c r="U748" s="5">
        <f t="shared" si="92"/>
        <v>1.8529956763434219E-3</v>
      </c>
      <c r="V748" s="6">
        <f t="shared" si="93"/>
        <v>4.7955555555555556</v>
      </c>
      <c r="W748" s="7">
        <f t="shared" si="94"/>
        <v>1.9981481481481482</v>
      </c>
      <c r="X748" s="5">
        <f t="shared" si="95"/>
        <v>16.540268767377199</v>
      </c>
    </row>
    <row r="749" spans="1:24" x14ac:dyDescent="0.35">
      <c r="A749" s="3">
        <v>46146</v>
      </c>
      <c r="B749" t="s">
        <v>1080</v>
      </c>
      <c r="C749" t="s">
        <v>1081</v>
      </c>
      <c r="D749" t="s">
        <v>18</v>
      </c>
      <c r="E749" t="s">
        <v>19</v>
      </c>
      <c r="F749" t="s">
        <v>20</v>
      </c>
      <c r="G749" t="s">
        <v>41</v>
      </c>
      <c r="H749" t="s">
        <v>28</v>
      </c>
      <c r="I749">
        <v>2696</v>
      </c>
      <c r="J749">
        <v>2128</v>
      </c>
      <c r="K749">
        <v>1910</v>
      </c>
      <c r="L749">
        <v>45</v>
      </c>
      <c r="M749">
        <v>23</v>
      </c>
      <c r="N749">
        <v>0</v>
      </c>
      <c r="O749">
        <v>281.89999999999998</v>
      </c>
      <c r="P749">
        <v>0</v>
      </c>
      <c r="Q749" s="5">
        <f t="shared" si="88"/>
        <v>0.89755639097744366</v>
      </c>
      <c r="R749" s="5">
        <f t="shared" si="89"/>
        <v>2.356020942408377E-2</v>
      </c>
      <c r="S749" s="5">
        <f t="shared" si="90"/>
        <v>0.51111111111111107</v>
      </c>
      <c r="T749" s="5">
        <f t="shared" si="91"/>
        <v>0</v>
      </c>
      <c r="U749" s="5">
        <f t="shared" si="92"/>
        <v>0</v>
      </c>
      <c r="V749" s="6">
        <f t="shared" si="93"/>
        <v>12.256521739130434</v>
      </c>
      <c r="W749" s="7">
        <f t="shared" si="94"/>
        <v>6.264444444444444</v>
      </c>
      <c r="X749" s="5">
        <f t="shared" si="95"/>
        <v>-1</v>
      </c>
    </row>
    <row r="750" spans="1:24" x14ac:dyDescent="0.35">
      <c r="A750" s="3">
        <v>46146</v>
      </c>
      <c r="B750" t="s">
        <v>1082</v>
      </c>
      <c r="C750" t="s">
        <v>1083</v>
      </c>
      <c r="D750" t="s">
        <v>31</v>
      </c>
      <c r="E750" t="s">
        <v>19</v>
      </c>
      <c r="F750" t="s">
        <v>20</v>
      </c>
      <c r="G750" t="s">
        <v>21</v>
      </c>
      <c r="H750" t="s">
        <v>37</v>
      </c>
      <c r="I750">
        <v>2149</v>
      </c>
      <c r="J750">
        <v>1720</v>
      </c>
      <c r="K750">
        <v>1645</v>
      </c>
      <c r="L750">
        <v>18</v>
      </c>
      <c r="M750">
        <v>7</v>
      </c>
      <c r="N750">
        <v>0</v>
      </c>
      <c r="O750">
        <v>317.42</v>
      </c>
      <c r="P750">
        <v>0</v>
      </c>
      <c r="Q750" s="5">
        <f t="shared" si="88"/>
        <v>0.95639534883720934</v>
      </c>
      <c r="R750" s="5">
        <f t="shared" si="89"/>
        <v>1.094224924012158E-2</v>
      </c>
      <c r="S750" s="5">
        <f t="shared" si="90"/>
        <v>0.3888888888888889</v>
      </c>
      <c r="T750" s="5">
        <f t="shared" si="91"/>
        <v>0</v>
      </c>
      <c r="U750" s="5">
        <f t="shared" si="92"/>
        <v>0</v>
      </c>
      <c r="V750" s="6">
        <f t="shared" si="93"/>
        <v>45.345714285714287</v>
      </c>
      <c r="W750" s="7">
        <f t="shared" si="94"/>
        <v>17.634444444444444</v>
      </c>
      <c r="X750" s="5">
        <f t="shared" si="95"/>
        <v>-1</v>
      </c>
    </row>
    <row r="751" spans="1:24" x14ac:dyDescent="0.35">
      <c r="A751" s="3">
        <v>46146</v>
      </c>
      <c r="B751" t="s">
        <v>1084</v>
      </c>
      <c r="C751" t="s">
        <v>1085</v>
      </c>
      <c r="D751" t="s">
        <v>34</v>
      </c>
      <c r="E751" t="s">
        <v>35</v>
      </c>
      <c r="F751" t="s">
        <v>26</v>
      </c>
      <c r="G751" t="s">
        <v>41</v>
      </c>
      <c r="H751" t="s">
        <v>37</v>
      </c>
      <c r="I751">
        <v>4050</v>
      </c>
      <c r="J751">
        <v>3758</v>
      </c>
      <c r="K751">
        <v>3601</v>
      </c>
      <c r="L751">
        <v>311</v>
      </c>
      <c r="M751">
        <v>184</v>
      </c>
      <c r="N751">
        <v>21</v>
      </c>
      <c r="O751">
        <v>337.34</v>
      </c>
      <c r="P751">
        <v>28318.48</v>
      </c>
      <c r="Q751" s="5">
        <f t="shared" si="88"/>
        <v>0.95822245875465673</v>
      </c>
      <c r="R751" s="5">
        <f t="shared" si="89"/>
        <v>8.6364898639266871E-2</v>
      </c>
      <c r="S751" s="5">
        <f t="shared" si="90"/>
        <v>0.59163987138263663</v>
      </c>
      <c r="T751" s="5">
        <f t="shared" si="91"/>
        <v>0.11413043478260869</v>
      </c>
      <c r="U751" s="5">
        <f t="shared" si="92"/>
        <v>5.8317134129408496E-3</v>
      </c>
      <c r="V751" s="6">
        <f t="shared" si="93"/>
        <v>1.8333695652173911</v>
      </c>
      <c r="W751" s="7">
        <f t="shared" si="94"/>
        <v>1.0846945337620577</v>
      </c>
      <c r="X751" s="5">
        <f t="shared" si="95"/>
        <v>82.946404221260451</v>
      </c>
    </row>
    <row r="752" spans="1:24" x14ac:dyDescent="0.35">
      <c r="A752" s="3">
        <v>46146</v>
      </c>
      <c r="B752" t="s">
        <v>1086</v>
      </c>
      <c r="C752" t="s">
        <v>1087</v>
      </c>
      <c r="D752" t="s">
        <v>34</v>
      </c>
      <c r="E752" t="s">
        <v>19</v>
      </c>
      <c r="F752" t="s">
        <v>26</v>
      </c>
      <c r="G752" t="s">
        <v>41</v>
      </c>
      <c r="H752" t="s">
        <v>22</v>
      </c>
      <c r="I752">
        <v>4855</v>
      </c>
      <c r="J752">
        <v>3672</v>
      </c>
      <c r="K752">
        <v>3477</v>
      </c>
      <c r="L752">
        <v>10</v>
      </c>
      <c r="M752">
        <v>6</v>
      </c>
      <c r="N752">
        <v>0</v>
      </c>
      <c r="O752">
        <v>333.05</v>
      </c>
      <c r="P752">
        <v>0</v>
      </c>
      <c r="Q752" s="5">
        <f t="shared" si="88"/>
        <v>0.94689542483660127</v>
      </c>
      <c r="R752" s="5">
        <f t="shared" si="89"/>
        <v>2.8760425654299686E-3</v>
      </c>
      <c r="S752" s="5">
        <f t="shared" si="90"/>
        <v>0.6</v>
      </c>
      <c r="T752" s="5">
        <f t="shared" si="91"/>
        <v>0</v>
      </c>
      <c r="U752" s="5">
        <f t="shared" si="92"/>
        <v>0</v>
      </c>
      <c r="V752" s="6">
        <f t="shared" si="93"/>
        <v>55.508333333333333</v>
      </c>
      <c r="W752" s="7">
        <f t="shared" si="94"/>
        <v>33.305</v>
      </c>
      <c r="X752" s="5">
        <f t="shared" si="95"/>
        <v>-1</v>
      </c>
    </row>
    <row r="753" spans="1:24" x14ac:dyDescent="0.35">
      <c r="A753" s="3">
        <v>46146</v>
      </c>
      <c r="B753" t="s">
        <v>1088</v>
      </c>
      <c r="C753" t="s">
        <v>1089</v>
      </c>
      <c r="D753" t="s">
        <v>34</v>
      </c>
      <c r="E753" t="s">
        <v>19</v>
      </c>
      <c r="F753" t="s">
        <v>26</v>
      </c>
      <c r="G753" t="s">
        <v>27</v>
      </c>
      <c r="H753" t="s">
        <v>48</v>
      </c>
      <c r="I753">
        <v>4989</v>
      </c>
      <c r="J753">
        <v>4131</v>
      </c>
      <c r="K753">
        <v>3872</v>
      </c>
      <c r="L753">
        <v>39</v>
      </c>
      <c r="M753">
        <v>21</v>
      </c>
      <c r="N753">
        <v>0</v>
      </c>
      <c r="O753">
        <v>300.27999999999997</v>
      </c>
      <c r="P753">
        <v>0</v>
      </c>
      <c r="Q753" s="5">
        <f t="shared" si="88"/>
        <v>0.93730331638828368</v>
      </c>
      <c r="R753" s="5">
        <f t="shared" si="89"/>
        <v>1.0072314049586776E-2</v>
      </c>
      <c r="S753" s="5">
        <f t="shared" si="90"/>
        <v>0.53846153846153844</v>
      </c>
      <c r="T753" s="5">
        <f t="shared" si="91"/>
        <v>0</v>
      </c>
      <c r="U753" s="5">
        <f t="shared" si="92"/>
        <v>0</v>
      </c>
      <c r="V753" s="6">
        <f t="shared" si="93"/>
        <v>14.299047619047618</v>
      </c>
      <c r="W753" s="7">
        <f t="shared" si="94"/>
        <v>7.6994871794871784</v>
      </c>
      <c r="X753" s="5">
        <f t="shared" si="95"/>
        <v>-1</v>
      </c>
    </row>
    <row r="754" spans="1:24" x14ac:dyDescent="0.35">
      <c r="A754" s="3">
        <v>46146</v>
      </c>
      <c r="B754" t="s">
        <v>1090</v>
      </c>
      <c r="C754" t="s">
        <v>1091</v>
      </c>
      <c r="D754" t="s">
        <v>40</v>
      </c>
      <c r="E754" t="s">
        <v>35</v>
      </c>
      <c r="F754" t="s">
        <v>20</v>
      </c>
      <c r="G754" t="s">
        <v>21</v>
      </c>
      <c r="H754" t="s">
        <v>28</v>
      </c>
      <c r="I754">
        <v>1736</v>
      </c>
      <c r="J754">
        <v>1398</v>
      </c>
      <c r="K754">
        <v>1311</v>
      </c>
      <c r="L754">
        <v>97</v>
      </c>
      <c r="M754">
        <v>47</v>
      </c>
      <c r="N754">
        <v>3</v>
      </c>
      <c r="O754">
        <v>236.11</v>
      </c>
      <c r="P754">
        <v>3971.48</v>
      </c>
      <c r="Q754" s="5">
        <f t="shared" si="88"/>
        <v>0.9377682403433476</v>
      </c>
      <c r="R754" s="5">
        <f t="shared" si="89"/>
        <v>7.3989321128909227E-2</v>
      </c>
      <c r="S754" s="5">
        <f t="shared" si="90"/>
        <v>0.4845360824742268</v>
      </c>
      <c r="T754" s="5">
        <f t="shared" si="91"/>
        <v>6.3829787234042548E-2</v>
      </c>
      <c r="U754" s="5">
        <f t="shared" si="92"/>
        <v>2.2883295194508009E-3</v>
      </c>
      <c r="V754" s="6">
        <f t="shared" si="93"/>
        <v>5.0236170212765963</v>
      </c>
      <c r="W754" s="7">
        <f t="shared" si="94"/>
        <v>2.4341237113402063</v>
      </c>
      <c r="X754" s="5">
        <f t="shared" si="95"/>
        <v>15.820465037482528</v>
      </c>
    </row>
    <row r="755" spans="1:24" x14ac:dyDescent="0.35">
      <c r="A755" s="3">
        <v>46147</v>
      </c>
      <c r="B755" t="s">
        <v>1092</v>
      </c>
      <c r="C755" t="s">
        <v>1093</v>
      </c>
      <c r="D755" t="s">
        <v>31</v>
      </c>
      <c r="E755" t="s">
        <v>25</v>
      </c>
      <c r="F755" t="s">
        <v>20</v>
      </c>
      <c r="G755" t="s">
        <v>27</v>
      </c>
      <c r="H755" t="s">
        <v>48</v>
      </c>
      <c r="I755">
        <v>4912</v>
      </c>
      <c r="J755">
        <v>4693</v>
      </c>
      <c r="K755">
        <v>4574</v>
      </c>
      <c r="L755">
        <v>137</v>
      </c>
      <c r="M755">
        <v>45</v>
      </c>
      <c r="N755">
        <v>1</v>
      </c>
      <c r="O755">
        <v>834.42</v>
      </c>
      <c r="P755">
        <v>803.5</v>
      </c>
      <c r="Q755" s="5">
        <f t="shared" si="88"/>
        <v>0.97464308544640954</v>
      </c>
      <c r="R755" s="5">
        <f t="shared" si="89"/>
        <v>2.9951902055094008E-2</v>
      </c>
      <c r="S755" s="5">
        <f t="shared" si="90"/>
        <v>0.32846715328467152</v>
      </c>
      <c r="T755" s="5">
        <f t="shared" si="91"/>
        <v>2.2222222222222223E-2</v>
      </c>
      <c r="U755" s="5">
        <f t="shared" si="92"/>
        <v>2.1862702229995628E-4</v>
      </c>
      <c r="V755" s="6">
        <f t="shared" si="93"/>
        <v>18.542666666666666</v>
      </c>
      <c r="W755" s="7">
        <f t="shared" si="94"/>
        <v>6.0906569343065691</v>
      </c>
      <c r="X755" s="5">
        <f t="shared" si="95"/>
        <v>-3.7055679394070083E-2</v>
      </c>
    </row>
    <row r="756" spans="1:24" x14ac:dyDescent="0.35">
      <c r="A756" s="3">
        <v>46147</v>
      </c>
      <c r="B756" t="s">
        <v>1078</v>
      </c>
      <c r="C756" t="s">
        <v>1094</v>
      </c>
      <c r="D756" t="s">
        <v>34</v>
      </c>
      <c r="E756" t="s">
        <v>25</v>
      </c>
      <c r="F756" t="s">
        <v>20</v>
      </c>
      <c r="G756" t="s">
        <v>36</v>
      </c>
      <c r="H756" t="s">
        <v>22</v>
      </c>
      <c r="I756">
        <v>3991</v>
      </c>
      <c r="J756">
        <v>3326</v>
      </c>
      <c r="K756">
        <v>3209</v>
      </c>
      <c r="L756">
        <v>142</v>
      </c>
      <c r="M756">
        <v>66</v>
      </c>
      <c r="N756">
        <v>1</v>
      </c>
      <c r="O756">
        <v>264.63</v>
      </c>
      <c r="P756">
        <v>705.31</v>
      </c>
      <c r="Q756" s="5">
        <f t="shared" si="88"/>
        <v>0.96482260974143119</v>
      </c>
      <c r="R756" s="5">
        <f t="shared" si="89"/>
        <v>4.4250545341227798E-2</v>
      </c>
      <c r="S756" s="5">
        <f t="shared" si="90"/>
        <v>0.46478873239436619</v>
      </c>
      <c r="T756" s="5">
        <f t="shared" si="91"/>
        <v>1.5151515151515152E-2</v>
      </c>
      <c r="U756" s="5">
        <f t="shared" si="92"/>
        <v>3.1162355874104082E-4</v>
      </c>
      <c r="V756" s="6">
        <f t="shared" si="93"/>
        <v>4.0095454545454547</v>
      </c>
      <c r="W756" s="7">
        <f t="shared" si="94"/>
        <v>1.8635915492957746</v>
      </c>
      <c r="X756" s="5">
        <f t="shared" si="95"/>
        <v>1.6652684880776931</v>
      </c>
    </row>
    <row r="757" spans="1:24" x14ac:dyDescent="0.35">
      <c r="A757" s="3">
        <v>46147</v>
      </c>
      <c r="B757" t="s">
        <v>1068</v>
      </c>
      <c r="C757" t="s">
        <v>1095</v>
      </c>
      <c r="D757" t="s">
        <v>18</v>
      </c>
      <c r="E757" t="s">
        <v>35</v>
      </c>
      <c r="F757" t="s">
        <v>20</v>
      </c>
      <c r="G757" t="s">
        <v>21</v>
      </c>
      <c r="H757" t="s">
        <v>48</v>
      </c>
      <c r="I757">
        <v>4437</v>
      </c>
      <c r="J757">
        <v>4034</v>
      </c>
      <c r="K757">
        <v>3637</v>
      </c>
      <c r="L757">
        <v>288</v>
      </c>
      <c r="M757">
        <v>128</v>
      </c>
      <c r="N757">
        <v>8</v>
      </c>
      <c r="O757">
        <v>438.04</v>
      </c>
      <c r="P757">
        <v>11754.1</v>
      </c>
      <c r="Q757" s="5">
        <f t="shared" si="88"/>
        <v>0.90158651462568173</v>
      </c>
      <c r="R757" s="5">
        <f t="shared" si="89"/>
        <v>7.9186142425075615E-2</v>
      </c>
      <c r="S757" s="5">
        <f t="shared" si="90"/>
        <v>0.44444444444444442</v>
      </c>
      <c r="T757" s="5">
        <f t="shared" si="91"/>
        <v>6.25E-2</v>
      </c>
      <c r="U757" s="5">
        <f t="shared" si="92"/>
        <v>2.1996150673632116E-3</v>
      </c>
      <c r="V757" s="6">
        <f t="shared" si="93"/>
        <v>3.4221875000000002</v>
      </c>
      <c r="W757" s="7">
        <f t="shared" si="94"/>
        <v>1.5209722222222224</v>
      </c>
      <c r="X757" s="5">
        <f t="shared" si="95"/>
        <v>25.833394210574376</v>
      </c>
    </row>
    <row r="758" spans="1:24" x14ac:dyDescent="0.35">
      <c r="A758" s="3">
        <v>46147</v>
      </c>
      <c r="B758" t="s">
        <v>1096</v>
      </c>
      <c r="C758" t="s">
        <v>1097</v>
      </c>
      <c r="D758" t="s">
        <v>34</v>
      </c>
      <c r="E758" t="s">
        <v>56</v>
      </c>
      <c r="F758" t="s">
        <v>26</v>
      </c>
      <c r="G758" t="s">
        <v>36</v>
      </c>
      <c r="H758" t="s">
        <v>37</v>
      </c>
      <c r="I758">
        <v>4829</v>
      </c>
      <c r="J758">
        <v>4796</v>
      </c>
      <c r="K758">
        <v>4529</v>
      </c>
      <c r="L758">
        <v>323</v>
      </c>
      <c r="M758">
        <v>192</v>
      </c>
      <c r="N758">
        <v>11</v>
      </c>
      <c r="O758">
        <v>354.94</v>
      </c>
      <c r="P758">
        <v>17011.099999999999</v>
      </c>
      <c r="Q758" s="5">
        <f t="shared" si="88"/>
        <v>0.94432860717264389</v>
      </c>
      <c r="R758" s="5">
        <f t="shared" si="89"/>
        <v>7.1318171781850292E-2</v>
      </c>
      <c r="S758" s="5">
        <f t="shared" si="90"/>
        <v>0.59442724458204332</v>
      </c>
      <c r="T758" s="5">
        <f t="shared" si="91"/>
        <v>5.7291666666666664E-2</v>
      </c>
      <c r="U758" s="5">
        <f t="shared" si="92"/>
        <v>2.428792227864871E-3</v>
      </c>
      <c r="V758" s="6">
        <f t="shared" si="93"/>
        <v>1.8486458333333333</v>
      </c>
      <c r="W758" s="7">
        <f t="shared" si="94"/>
        <v>1.0988854489164086</v>
      </c>
      <c r="X758" s="5">
        <f t="shared" si="95"/>
        <v>46.926691835239758</v>
      </c>
    </row>
    <row r="759" spans="1:24" x14ac:dyDescent="0.35">
      <c r="A759" s="3">
        <v>46147</v>
      </c>
      <c r="B759" t="s">
        <v>1098</v>
      </c>
      <c r="C759" t="s">
        <v>1099</v>
      </c>
      <c r="D759" t="s">
        <v>18</v>
      </c>
      <c r="E759" t="s">
        <v>25</v>
      </c>
      <c r="F759" t="s">
        <v>26</v>
      </c>
      <c r="G759" t="s">
        <v>21</v>
      </c>
      <c r="H759" t="s">
        <v>48</v>
      </c>
      <c r="I759">
        <v>775</v>
      </c>
      <c r="J759">
        <v>560</v>
      </c>
      <c r="K759">
        <v>511</v>
      </c>
      <c r="L759">
        <v>31</v>
      </c>
      <c r="M759">
        <v>21</v>
      </c>
      <c r="N759">
        <v>1</v>
      </c>
      <c r="O759">
        <v>76.48</v>
      </c>
      <c r="P759">
        <v>901.53</v>
      </c>
      <c r="Q759" s="5">
        <f t="shared" si="88"/>
        <v>0.91249999999999998</v>
      </c>
      <c r="R759" s="5">
        <f t="shared" si="89"/>
        <v>6.0665362035225046E-2</v>
      </c>
      <c r="S759" s="5">
        <f t="shared" si="90"/>
        <v>0.67741935483870963</v>
      </c>
      <c r="T759" s="5">
        <f t="shared" si="91"/>
        <v>4.7619047619047616E-2</v>
      </c>
      <c r="U759" s="5">
        <f t="shared" si="92"/>
        <v>1.9569471624266144E-3</v>
      </c>
      <c r="V759" s="6">
        <f t="shared" si="93"/>
        <v>3.6419047619047622</v>
      </c>
      <c r="W759" s="7">
        <f t="shared" si="94"/>
        <v>2.4670967741935486</v>
      </c>
      <c r="X759" s="5">
        <f t="shared" si="95"/>
        <v>10.787787656903765</v>
      </c>
    </row>
    <row r="760" spans="1:24" x14ac:dyDescent="0.35">
      <c r="A760" s="3">
        <v>46148</v>
      </c>
      <c r="B760" t="s">
        <v>1100</v>
      </c>
      <c r="C760" t="s">
        <v>1101</v>
      </c>
      <c r="D760" t="s">
        <v>34</v>
      </c>
      <c r="E760" t="s">
        <v>56</v>
      </c>
      <c r="F760" t="s">
        <v>20</v>
      </c>
      <c r="G760" t="s">
        <v>27</v>
      </c>
      <c r="H760" t="s">
        <v>28</v>
      </c>
      <c r="I760">
        <v>660</v>
      </c>
      <c r="J760">
        <v>487</v>
      </c>
      <c r="K760">
        <v>453</v>
      </c>
      <c r="L760">
        <v>25</v>
      </c>
      <c r="M760">
        <v>13</v>
      </c>
      <c r="N760">
        <v>1</v>
      </c>
      <c r="O760">
        <v>41.24</v>
      </c>
      <c r="P760">
        <v>1027.26</v>
      </c>
      <c r="Q760" s="5">
        <f t="shared" si="88"/>
        <v>0.93018480492813138</v>
      </c>
      <c r="R760" s="5">
        <f t="shared" si="89"/>
        <v>5.518763796909492E-2</v>
      </c>
      <c r="S760" s="5">
        <f t="shared" si="90"/>
        <v>0.52</v>
      </c>
      <c r="T760" s="5">
        <f t="shared" si="91"/>
        <v>7.6923076923076927E-2</v>
      </c>
      <c r="U760" s="5">
        <f t="shared" si="92"/>
        <v>2.2075055187637969E-3</v>
      </c>
      <c r="V760" s="6">
        <f t="shared" si="93"/>
        <v>3.1723076923076925</v>
      </c>
      <c r="W760" s="7">
        <f t="shared" si="94"/>
        <v>1.6496000000000002</v>
      </c>
      <c r="X760" s="5">
        <f t="shared" si="95"/>
        <v>23.909311348205623</v>
      </c>
    </row>
    <row r="761" spans="1:24" x14ac:dyDescent="0.35">
      <c r="A761" s="3">
        <v>46148</v>
      </c>
      <c r="B761" t="s">
        <v>1102</v>
      </c>
      <c r="C761" t="s">
        <v>1103</v>
      </c>
      <c r="D761" t="s">
        <v>40</v>
      </c>
      <c r="E761" t="s">
        <v>25</v>
      </c>
      <c r="F761" t="s">
        <v>20</v>
      </c>
      <c r="G761" t="s">
        <v>36</v>
      </c>
      <c r="H761" t="s">
        <v>51</v>
      </c>
      <c r="I761">
        <v>418</v>
      </c>
      <c r="J761">
        <v>380</v>
      </c>
      <c r="K761">
        <v>362</v>
      </c>
      <c r="L761">
        <v>12</v>
      </c>
      <c r="M761">
        <v>5</v>
      </c>
      <c r="N761">
        <v>0</v>
      </c>
      <c r="O761">
        <v>59.36</v>
      </c>
      <c r="P761">
        <v>0</v>
      </c>
      <c r="Q761" s="5">
        <f t="shared" si="88"/>
        <v>0.95263157894736838</v>
      </c>
      <c r="R761" s="5">
        <f t="shared" si="89"/>
        <v>3.3149171270718231E-2</v>
      </c>
      <c r="S761" s="5">
        <f t="shared" si="90"/>
        <v>0.41666666666666669</v>
      </c>
      <c r="T761" s="5">
        <f t="shared" si="91"/>
        <v>0</v>
      </c>
      <c r="U761" s="5">
        <f t="shared" si="92"/>
        <v>0</v>
      </c>
      <c r="V761" s="6">
        <f t="shared" si="93"/>
        <v>11.872</v>
      </c>
      <c r="W761" s="7">
        <f t="shared" si="94"/>
        <v>4.9466666666666663</v>
      </c>
      <c r="X761" s="5">
        <f t="shared" si="95"/>
        <v>-1</v>
      </c>
    </row>
    <row r="762" spans="1:24" x14ac:dyDescent="0.35">
      <c r="A762" s="3">
        <v>46149</v>
      </c>
      <c r="B762" t="s">
        <v>1104</v>
      </c>
      <c r="C762" t="s">
        <v>1105</v>
      </c>
      <c r="D762" t="s">
        <v>18</v>
      </c>
      <c r="E762" t="s">
        <v>35</v>
      </c>
      <c r="F762" t="s">
        <v>20</v>
      </c>
      <c r="G762" t="s">
        <v>21</v>
      </c>
      <c r="H762" t="s">
        <v>28</v>
      </c>
      <c r="I762">
        <v>4042</v>
      </c>
      <c r="J762">
        <v>3215</v>
      </c>
      <c r="K762">
        <v>2863</v>
      </c>
      <c r="L762">
        <v>232</v>
      </c>
      <c r="M762">
        <v>118</v>
      </c>
      <c r="N762">
        <v>8</v>
      </c>
      <c r="O762">
        <v>421.64</v>
      </c>
      <c r="P762">
        <v>8238.5400000000009</v>
      </c>
      <c r="Q762" s="5">
        <f t="shared" si="88"/>
        <v>0.89051321928460347</v>
      </c>
      <c r="R762" s="5">
        <f t="shared" si="89"/>
        <v>8.1033880544882989E-2</v>
      </c>
      <c r="S762" s="5">
        <f t="shared" si="90"/>
        <v>0.50862068965517238</v>
      </c>
      <c r="T762" s="5">
        <f t="shared" si="91"/>
        <v>6.7796610169491525E-2</v>
      </c>
      <c r="U762" s="5">
        <f t="shared" si="92"/>
        <v>2.7942717429269995E-3</v>
      </c>
      <c r="V762" s="6">
        <f t="shared" si="93"/>
        <v>3.5732203389830506</v>
      </c>
      <c r="W762" s="7">
        <f t="shared" si="94"/>
        <v>1.8174137931034482</v>
      </c>
      <c r="X762" s="5">
        <f t="shared" si="95"/>
        <v>18.539275211080543</v>
      </c>
    </row>
    <row r="763" spans="1:24" x14ac:dyDescent="0.35">
      <c r="A763" s="3">
        <v>46149</v>
      </c>
      <c r="B763" t="s">
        <v>1074</v>
      </c>
      <c r="C763" t="s">
        <v>1106</v>
      </c>
      <c r="D763" t="s">
        <v>34</v>
      </c>
      <c r="E763" t="s">
        <v>25</v>
      </c>
      <c r="F763" t="s">
        <v>20</v>
      </c>
      <c r="G763" t="s">
        <v>36</v>
      </c>
      <c r="H763" t="s">
        <v>22</v>
      </c>
      <c r="I763">
        <v>1581</v>
      </c>
      <c r="J763">
        <v>1388</v>
      </c>
      <c r="K763">
        <v>1329</v>
      </c>
      <c r="L763">
        <v>28</v>
      </c>
      <c r="M763">
        <v>13</v>
      </c>
      <c r="N763">
        <v>0</v>
      </c>
      <c r="O763">
        <v>103.25</v>
      </c>
      <c r="P763">
        <v>0</v>
      </c>
      <c r="Q763" s="5">
        <f t="shared" si="88"/>
        <v>0.95749279538904897</v>
      </c>
      <c r="R763" s="5">
        <f t="shared" si="89"/>
        <v>2.1068472535741158E-2</v>
      </c>
      <c r="S763" s="5">
        <f t="shared" si="90"/>
        <v>0.4642857142857143</v>
      </c>
      <c r="T763" s="5">
        <f t="shared" si="91"/>
        <v>0</v>
      </c>
      <c r="U763" s="5">
        <f t="shared" si="92"/>
        <v>0</v>
      </c>
      <c r="V763" s="6">
        <f t="shared" si="93"/>
        <v>7.9423076923076925</v>
      </c>
      <c r="W763" s="7">
        <f t="shared" si="94"/>
        <v>3.6875</v>
      </c>
      <c r="X763" s="5">
        <f t="shared" si="95"/>
        <v>-1</v>
      </c>
    </row>
    <row r="764" spans="1:24" x14ac:dyDescent="0.35">
      <c r="A764" s="3">
        <v>46149</v>
      </c>
      <c r="B764" t="s">
        <v>1088</v>
      </c>
      <c r="C764" t="s">
        <v>1107</v>
      </c>
      <c r="D764" t="s">
        <v>18</v>
      </c>
      <c r="E764" t="s">
        <v>35</v>
      </c>
      <c r="F764" t="s">
        <v>26</v>
      </c>
      <c r="G764" t="s">
        <v>59</v>
      </c>
      <c r="H764" t="s">
        <v>51</v>
      </c>
      <c r="I764">
        <v>3362</v>
      </c>
      <c r="J764">
        <v>2984</v>
      </c>
      <c r="K764">
        <v>2661</v>
      </c>
      <c r="L764">
        <v>235</v>
      </c>
      <c r="M764">
        <v>141</v>
      </c>
      <c r="N764">
        <v>12</v>
      </c>
      <c r="O764">
        <v>331.94</v>
      </c>
      <c r="P764">
        <v>9565.39</v>
      </c>
      <c r="Q764" s="5">
        <f t="shared" si="88"/>
        <v>0.89175603217158173</v>
      </c>
      <c r="R764" s="5">
        <f t="shared" si="89"/>
        <v>8.8312664411875241E-2</v>
      </c>
      <c r="S764" s="5">
        <f t="shared" si="90"/>
        <v>0.6</v>
      </c>
      <c r="T764" s="5">
        <f t="shared" si="91"/>
        <v>8.5106382978723402E-2</v>
      </c>
      <c r="U764" s="5">
        <f t="shared" si="92"/>
        <v>4.5095828635851182E-3</v>
      </c>
      <c r="V764" s="6">
        <f t="shared" si="93"/>
        <v>2.3541843971631207</v>
      </c>
      <c r="W764" s="7">
        <f t="shared" si="94"/>
        <v>1.4125106382978723</v>
      </c>
      <c r="X764" s="5">
        <f t="shared" si="95"/>
        <v>27.816623486172197</v>
      </c>
    </row>
    <row r="765" spans="1:24" x14ac:dyDescent="0.35">
      <c r="A765" s="3">
        <v>46149</v>
      </c>
      <c r="B765" t="s">
        <v>1108</v>
      </c>
      <c r="C765" t="s">
        <v>1109</v>
      </c>
      <c r="D765" t="s">
        <v>34</v>
      </c>
      <c r="E765" t="s">
        <v>56</v>
      </c>
      <c r="F765" t="s">
        <v>20</v>
      </c>
      <c r="G765" t="s">
        <v>41</v>
      </c>
      <c r="H765" t="s">
        <v>28</v>
      </c>
      <c r="I765">
        <v>3202</v>
      </c>
      <c r="J765">
        <v>2822</v>
      </c>
      <c r="K765">
        <v>2621</v>
      </c>
      <c r="L765">
        <v>137</v>
      </c>
      <c r="M765">
        <v>63</v>
      </c>
      <c r="N765">
        <v>2</v>
      </c>
      <c r="O765">
        <v>213.24</v>
      </c>
      <c r="P765">
        <v>1927.84</v>
      </c>
      <c r="Q765" s="5">
        <f t="shared" si="88"/>
        <v>0.92877391920623675</v>
      </c>
      <c r="R765" s="5">
        <f t="shared" si="89"/>
        <v>5.2270125906142696E-2</v>
      </c>
      <c r="S765" s="5">
        <f t="shared" si="90"/>
        <v>0.45985401459854014</v>
      </c>
      <c r="T765" s="5">
        <f t="shared" si="91"/>
        <v>3.1746031746031744E-2</v>
      </c>
      <c r="U765" s="5">
        <f t="shared" si="92"/>
        <v>7.6306753147653572E-4</v>
      </c>
      <c r="V765" s="6">
        <f t="shared" si="93"/>
        <v>3.3847619047619051</v>
      </c>
      <c r="W765" s="7">
        <f t="shared" si="94"/>
        <v>1.5564963503649636</v>
      </c>
      <c r="X765" s="5">
        <f t="shared" si="95"/>
        <v>8.0407053085725</v>
      </c>
    </row>
    <row r="766" spans="1:24" x14ac:dyDescent="0.35">
      <c r="A766" s="3">
        <v>46150</v>
      </c>
      <c r="B766" t="s">
        <v>1110</v>
      </c>
      <c r="C766" t="s">
        <v>1111</v>
      </c>
      <c r="D766" t="s">
        <v>40</v>
      </c>
      <c r="E766" t="s">
        <v>19</v>
      </c>
      <c r="F766" t="s">
        <v>20</v>
      </c>
      <c r="G766" t="s">
        <v>36</v>
      </c>
      <c r="H766" t="s">
        <v>28</v>
      </c>
      <c r="I766">
        <v>3098</v>
      </c>
      <c r="J766">
        <v>2867</v>
      </c>
      <c r="K766">
        <v>2672</v>
      </c>
      <c r="L766">
        <v>33</v>
      </c>
      <c r="M766">
        <v>17</v>
      </c>
      <c r="N766">
        <v>0</v>
      </c>
      <c r="O766">
        <v>401.48</v>
      </c>
      <c r="P766">
        <v>0</v>
      </c>
      <c r="Q766" s="5">
        <f t="shared" si="88"/>
        <v>0.93198465294733168</v>
      </c>
      <c r="R766" s="5">
        <f t="shared" si="89"/>
        <v>1.2350299401197605E-2</v>
      </c>
      <c r="S766" s="5">
        <f t="shared" si="90"/>
        <v>0.51515151515151514</v>
      </c>
      <c r="T766" s="5">
        <f t="shared" si="91"/>
        <v>0</v>
      </c>
      <c r="U766" s="5">
        <f t="shared" si="92"/>
        <v>0</v>
      </c>
      <c r="V766" s="6">
        <f t="shared" si="93"/>
        <v>23.616470588235295</v>
      </c>
      <c r="W766" s="7">
        <f t="shared" si="94"/>
        <v>12.166060606060606</v>
      </c>
      <c r="X766" s="5">
        <f t="shared" si="95"/>
        <v>-1</v>
      </c>
    </row>
    <row r="767" spans="1:24" x14ac:dyDescent="0.35">
      <c r="A767" s="3">
        <v>46150</v>
      </c>
      <c r="B767" t="s">
        <v>1112</v>
      </c>
      <c r="C767" t="s">
        <v>1113</v>
      </c>
      <c r="D767" t="s">
        <v>18</v>
      </c>
      <c r="E767" t="s">
        <v>35</v>
      </c>
      <c r="F767" t="s">
        <v>20</v>
      </c>
      <c r="G767" t="s">
        <v>41</v>
      </c>
      <c r="H767" t="s">
        <v>22</v>
      </c>
      <c r="I767">
        <v>2615</v>
      </c>
      <c r="J767">
        <v>2461</v>
      </c>
      <c r="K767">
        <v>2259</v>
      </c>
      <c r="L767">
        <v>215</v>
      </c>
      <c r="M767">
        <v>92</v>
      </c>
      <c r="N767">
        <v>5</v>
      </c>
      <c r="O767">
        <v>336.06</v>
      </c>
      <c r="P767">
        <v>5662.31</v>
      </c>
      <c r="Q767" s="5">
        <f t="shared" si="88"/>
        <v>0.91791954490044703</v>
      </c>
      <c r="R767" s="5">
        <f t="shared" si="89"/>
        <v>9.5174856131031424E-2</v>
      </c>
      <c r="S767" s="5">
        <f t="shared" si="90"/>
        <v>0.42790697674418604</v>
      </c>
      <c r="T767" s="5">
        <f t="shared" si="91"/>
        <v>5.434782608695652E-2</v>
      </c>
      <c r="U767" s="5">
        <f t="shared" si="92"/>
        <v>2.213368747233289E-3</v>
      </c>
      <c r="V767" s="6">
        <f t="shared" si="93"/>
        <v>3.6528260869565217</v>
      </c>
      <c r="W767" s="7">
        <f t="shared" si="94"/>
        <v>1.5630697674418605</v>
      </c>
      <c r="X767" s="5">
        <f t="shared" si="95"/>
        <v>15.849104326608344</v>
      </c>
    </row>
    <row r="768" spans="1:24" x14ac:dyDescent="0.35">
      <c r="A768" s="3">
        <v>46150</v>
      </c>
      <c r="B768" t="s">
        <v>1086</v>
      </c>
      <c r="C768" t="s">
        <v>1114</v>
      </c>
      <c r="D768" t="s">
        <v>34</v>
      </c>
      <c r="E768" t="s">
        <v>35</v>
      </c>
      <c r="F768" t="s">
        <v>20</v>
      </c>
      <c r="G768" t="s">
        <v>27</v>
      </c>
      <c r="H768" t="s">
        <v>37</v>
      </c>
      <c r="I768">
        <v>3261</v>
      </c>
      <c r="J768">
        <v>2758</v>
      </c>
      <c r="K768">
        <v>2631</v>
      </c>
      <c r="L768">
        <v>186</v>
      </c>
      <c r="M768">
        <v>76</v>
      </c>
      <c r="N768">
        <v>5</v>
      </c>
      <c r="O768">
        <v>216.8</v>
      </c>
      <c r="P768">
        <v>7646.84</v>
      </c>
      <c r="Q768" s="5">
        <f t="shared" si="88"/>
        <v>0.95395213923132705</v>
      </c>
      <c r="R768" s="5">
        <f t="shared" si="89"/>
        <v>7.0695553021664762E-2</v>
      </c>
      <c r="S768" s="5">
        <f t="shared" si="90"/>
        <v>0.40860215053763443</v>
      </c>
      <c r="T768" s="5">
        <f t="shared" si="91"/>
        <v>6.5789473684210523E-2</v>
      </c>
      <c r="U768" s="5">
        <f t="shared" si="92"/>
        <v>1.9004180919802356E-3</v>
      </c>
      <c r="V768" s="6">
        <f t="shared" si="93"/>
        <v>2.8526315789473684</v>
      </c>
      <c r="W768" s="7">
        <f t="shared" si="94"/>
        <v>1.1655913978494625</v>
      </c>
      <c r="X768" s="5">
        <f t="shared" si="95"/>
        <v>34.271402214022139</v>
      </c>
    </row>
    <row r="769" spans="1:24" x14ac:dyDescent="0.35">
      <c r="A769" s="3">
        <v>46150</v>
      </c>
      <c r="B769" t="s">
        <v>1086</v>
      </c>
      <c r="C769" t="s">
        <v>1115</v>
      </c>
      <c r="D769" t="s">
        <v>34</v>
      </c>
      <c r="E769" t="s">
        <v>56</v>
      </c>
      <c r="F769" t="s">
        <v>20</v>
      </c>
      <c r="G769" t="s">
        <v>21</v>
      </c>
      <c r="H769" t="s">
        <v>51</v>
      </c>
      <c r="I769">
        <v>3212</v>
      </c>
      <c r="J769">
        <v>2619</v>
      </c>
      <c r="K769">
        <v>2470</v>
      </c>
      <c r="L769">
        <v>158</v>
      </c>
      <c r="M769">
        <v>75</v>
      </c>
      <c r="N769">
        <v>3</v>
      </c>
      <c r="O769">
        <v>238.1</v>
      </c>
      <c r="P769">
        <v>2900.57</v>
      </c>
      <c r="Q769" s="5">
        <f t="shared" si="88"/>
        <v>0.94310805651011842</v>
      </c>
      <c r="R769" s="5">
        <f t="shared" si="89"/>
        <v>6.396761133603239E-2</v>
      </c>
      <c r="S769" s="5">
        <f t="shared" si="90"/>
        <v>0.47468354430379744</v>
      </c>
      <c r="T769" s="5">
        <f t="shared" si="91"/>
        <v>0.04</v>
      </c>
      <c r="U769" s="5">
        <f t="shared" si="92"/>
        <v>1.2145748987854252E-3</v>
      </c>
      <c r="V769" s="6">
        <f t="shared" si="93"/>
        <v>3.1746666666666665</v>
      </c>
      <c r="W769" s="7">
        <f t="shared" si="94"/>
        <v>1.5069620253164557</v>
      </c>
      <c r="X769" s="5">
        <f t="shared" si="95"/>
        <v>11.182150356992862</v>
      </c>
    </row>
    <row r="770" spans="1:24" x14ac:dyDescent="0.35">
      <c r="A770" s="3">
        <v>46150</v>
      </c>
      <c r="B770" t="s">
        <v>1116</v>
      </c>
      <c r="C770" t="s">
        <v>1117</v>
      </c>
      <c r="D770" t="s">
        <v>34</v>
      </c>
      <c r="E770" t="s">
        <v>19</v>
      </c>
      <c r="F770" t="s">
        <v>20</v>
      </c>
      <c r="G770" t="s">
        <v>27</v>
      </c>
      <c r="H770" t="s">
        <v>51</v>
      </c>
      <c r="I770">
        <v>1321</v>
      </c>
      <c r="J770">
        <v>1275</v>
      </c>
      <c r="K770">
        <v>1175</v>
      </c>
      <c r="L770">
        <v>4</v>
      </c>
      <c r="M770">
        <v>2</v>
      </c>
      <c r="N770">
        <v>0</v>
      </c>
      <c r="O770">
        <v>111.42</v>
      </c>
      <c r="P770">
        <v>0</v>
      </c>
      <c r="Q770" s="5">
        <f t="shared" si="88"/>
        <v>0.92156862745098034</v>
      </c>
      <c r="R770" s="5">
        <f t="shared" si="89"/>
        <v>3.4042553191489361E-3</v>
      </c>
      <c r="S770" s="5">
        <f t="shared" si="90"/>
        <v>0.5</v>
      </c>
      <c r="T770" s="5">
        <f t="shared" si="91"/>
        <v>0</v>
      </c>
      <c r="U770" s="5">
        <f t="shared" si="92"/>
        <v>0</v>
      </c>
      <c r="V770" s="6">
        <f t="shared" si="93"/>
        <v>55.71</v>
      </c>
      <c r="W770" s="7">
        <f t="shared" si="94"/>
        <v>27.855</v>
      </c>
      <c r="X770" s="5">
        <f t="shared" si="95"/>
        <v>-1</v>
      </c>
    </row>
    <row r="771" spans="1:24" x14ac:dyDescent="0.35">
      <c r="A771" s="3">
        <v>46151</v>
      </c>
      <c r="B771" t="s">
        <v>1118</v>
      </c>
      <c r="C771" t="s">
        <v>1119</v>
      </c>
      <c r="D771" t="s">
        <v>31</v>
      </c>
      <c r="E771" t="s">
        <v>25</v>
      </c>
      <c r="F771" t="s">
        <v>20</v>
      </c>
      <c r="G771" t="s">
        <v>27</v>
      </c>
      <c r="H771" t="s">
        <v>22</v>
      </c>
      <c r="I771">
        <v>662</v>
      </c>
      <c r="J771">
        <v>599</v>
      </c>
      <c r="K771">
        <v>577</v>
      </c>
      <c r="L771">
        <v>20</v>
      </c>
      <c r="M771">
        <v>6</v>
      </c>
      <c r="N771">
        <v>0</v>
      </c>
      <c r="O771">
        <v>95.16</v>
      </c>
      <c r="P771">
        <v>0</v>
      </c>
      <c r="Q771" s="5">
        <f t="shared" ref="Q771:Q834" si="96">K771/J771</f>
        <v>0.96327212020033393</v>
      </c>
      <c r="R771" s="5">
        <f t="shared" ref="R771:R834" si="97">L771/K771</f>
        <v>3.4662045060658578E-2</v>
      </c>
      <c r="S771" s="5">
        <f t="shared" ref="S771:S834" si="98">M771/L771</f>
        <v>0.3</v>
      </c>
      <c r="T771" s="5">
        <f t="shared" ref="T771:T834" si="99">N771/M771</f>
        <v>0</v>
      </c>
      <c r="U771" s="5">
        <f t="shared" ref="U771:U834" si="100">N771/K771</f>
        <v>0</v>
      </c>
      <c r="V771" s="6">
        <f t="shared" ref="V771:V834" si="101">O771/M771</f>
        <v>15.86</v>
      </c>
      <c r="W771" s="7">
        <f t="shared" ref="W771:W834" si="102">O771/L771</f>
        <v>4.758</v>
      </c>
      <c r="X771" s="5">
        <f t="shared" ref="X771:X834" si="103">(P771-O771)/O771</f>
        <v>-1</v>
      </c>
    </row>
    <row r="772" spans="1:24" x14ac:dyDescent="0.35">
      <c r="A772" s="3">
        <v>46151</v>
      </c>
      <c r="B772" t="s">
        <v>1068</v>
      </c>
      <c r="C772" t="s">
        <v>1120</v>
      </c>
      <c r="D772" t="s">
        <v>34</v>
      </c>
      <c r="E772" t="s">
        <v>35</v>
      </c>
      <c r="F772" t="s">
        <v>20</v>
      </c>
      <c r="G772" t="s">
        <v>21</v>
      </c>
      <c r="H772" t="s">
        <v>22</v>
      </c>
      <c r="I772">
        <v>3655</v>
      </c>
      <c r="J772">
        <v>2875</v>
      </c>
      <c r="K772">
        <v>2668</v>
      </c>
      <c r="L772">
        <v>210</v>
      </c>
      <c r="M772">
        <v>109</v>
      </c>
      <c r="N772">
        <v>9</v>
      </c>
      <c r="O772">
        <v>238.63</v>
      </c>
      <c r="P772">
        <v>7280.1</v>
      </c>
      <c r="Q772" s="5">
        <f t="shared" si="96"/>
        <v>0.92800000000000005</v>
      </c>
      <c r="R772" s="5">
        <f t="shared" si="97"/>
        <v>7.8710644677661173E-2</v>
      </c>
      <c r="S772" s="5">
        <f t="shared" si="98"/>
        <v>0.51904761904761909</v>
      </c>
      <c r="T772" s="5">
        <f t="shared" si="99"/>
        <v>8.2568807339449546E-2</v>
      </c>
      <c r="U772" s="5">
        <f t="shared" si="100"/>
        <v>3.373313343328336E-3</v>
      </c>
      <c r="V772" s="6">
        <f t="shared" si="101"/>
        <v>2.1892660550458714</v>
      </c>
      <c r="W772" s="7">
        <f t="shared" si="102"/>
        <v>1.1363333333333334</v>
      </c>
      <c r="X772" s="5">
        <f t="shared" si="103"/>
        <v>29.507899258265937</v>
      </c>
    </row>
    <row r="773" spans="1:24" x14ac:dyDescent="0.35">
      <c r="A773" s="3">
        <v>46151</v>
      </c>
      <c r="B773" t="s">
        <v>1100</v>
      </c>
      <c r="C773" t="s">
        <v>1121</v>
      </c>
      <c r="D773" t="s">
        <v>34</v>
      </c>
      <c r="E773" t="s">
        <v>19</v>
      </c>
      <c r="F773" t="s">
        <v>20</v>
      </c>
      <c r="G773" t="s">
        <v>21</v>
      </c>
      <c r="H773" t="s">
        <v>28</v>
      </c>
      <c r="I773">
        <v>2142</v>
      </c>
      <c r="J773">
        <v>1737</v>
      </c>
      <c r="K773">
        <v>1624</v>
      </c>
      <c r="L773">
        <v>23</v>
      </c>
      <c r="M773">
        <v>9</v>
      </c>
      <c r="N773">
        <v>0</v>
      </c>
      <c r="O773">
        <v>135.81</v>
      </c>
      <c r="P773">
        <v>0</v>
      </c>
      <c r="Q773" s="5">
        <f t="shared" si="96"/>
        <v>0.9349453080023028</v>
      </c>
      <c r="R773" s="5">
        <f t="shared" si="97"/>
        <v>1.416256157635468E-2</v>
      </c>
      <c r="S773" s="5">
        <f t="shared" si="98"/>
        <v>0.39130434782608697</v>
      </c>
      <c r="T773" s="5">
        <f t="shared" si="99"/>
        <v>0</v>
      </c>
      <c r="U773" s="5">
        <f t="shared" si="100"/>
        <v>0</v>
      </c>
      <c r="V773" s="6">
        <f t="shared" si="101"/>
        <v>15.09</v>
      </c>
      <c r="W773" s="7">
        <f t="shared" si="102"/>
        <v>5.9047826086956521</v>
      </c>
      <c r="X773" s="5">
        <f t="shared" si="103"/>
        <v>-1</v>
      </c>
    </row>
    <row r="774" spans="1:24" x14ac:dyDescent="0.35">
      <c r="A774" s="3">
        <v>46151</v>
      </c>
      <c r="B774" t="s">
        <v>1122</v>
      </c>
      <c r="C774" t="s">
        <v>1123</v>
      </c>
      <c r="D774" t="s">
        <v>18</v>
      </c>
      <c r="E774" t="s">
        <v>35</v>
      </c>
      <c r="F774" t="s">
        <v>20</v>
      </c>
      <c r="G774" t="s">
        <v>36</v>
      </c>
      <c r="H774" t="s">
        <v>22</v>
      </c>
      <c r="I774">
        <v>2047</v>
      </c>
      <c r="J774">
        <v>1683</v>
      </c>
      <c r="K774">
        <v>1523</v>
      </c>
      <c r="L774">
        <v>139</v>
      </c>
      <c r="M774">
        <v>84</v>
      </c>
      <c r="N774">
        <v>8</v>
      </c>
      <c r="O774">
        <v>240.65</v>
      </c>
      <c r="P774">
        <v>8455.1</v>
      </c>
      <c r="Q774" s="5">
        <f t="shared" si="96"/>
        <v>0.90493166963755201</v>
      </c>
      <c r="R774" s="5">
        <f t="shared" si="97"/>
        <v>9.1267235718975701E-2</v>
      </c>
      <c r="S774" s="5">
        <f t="shared" si="98"/>
        <v>0.60431654676258995</v>
      </c>
      <c r="T774" s="5">
        <f t="shared" si="99"/>
        <v>9.5238095238095233E-2</v>
      </c>
      <c r="U774" s="5">
        <f t="shared" si="100"/>
        <v>5.2527905449770186E-3</v>
      </c>
      <c r="V774" s="6">
        <f t="shared" si="101"/>
        <v>2.8648809523809526</v>
      </c>
      <c r="W774" s="7">
        <f t="shared" si="102"/>
        <v>1.7312949640287769</v>
      </c>
      <c r="X774" s="5">
        <f t="shared" si="103"/>
        <v>34.134427591938504</v>
      </c>
    </row>
    <row r="775" spans="1:24" x14ac:dyDescent="0.35">
      <c r="A775" s="3">
        <v>46152</v>
      </c>
      <c r="B775" t="s">
        <v>1124</v>
      </c>
      <c r="C775" t="s">
        <v>1125</v>
      </c>
      <c r="D775" t="s">
        <v>34</v>
      </c>
      <c r="E775" t="s">
        <v>56</v>
      </c>
      <c r="F775" t="s">
        <v>26</v>
      </c>
      <c r="G775" t="s">
        <v>27</v>
      </c>
      <c r="H775" t="s">
        <v>28</v>
      </c>
      <c r="I775">
        <v>1300</v>
      </c>
      <c r="J775">
        <v>1014</v>
      </c>
      <c r="K775">
        <v>953</v>
      </c>
      <c r="L775">
        <v>70</v>
      </c>
      <c r="M775">
        <v>41</v>
      </c>
      <c r="N775">
        <v>2</v>
      </c>
      <c r="O775">
        <v>81.849999999999994</v>
      </c>
      <c r="P775">
        <v>2863.05</v>
      </c>
      <c r="Q775" s="5">
        <f t="shared" si="96"/>
        <v>0.93984220907297833</v>
      </c>
      <c r="R775" s="5">
        <f t="shared" si="97"/>
        <v>7.3452256033578175E-2</v>
      </c>
      <c r="S775" s="5">
        <f t="shared" si="98"/>
        <v>0.58571428571428574</v>
      </c>
      <c r="T775" s="5">
        <f t="shared" si="99"/>
        <v>4.878048780487805E-2</v>
      </c>
      <c r="U775" s="5">
        <f t="shared" si="100"/>
        <v>2.0986358866736622E-3</v>
      </c>
      <c r="V775" s="6">
        <f t="shared" si="101"/>
        <v>1.9963414634146339</v>
      </c>
      <c r="W775" s="7">
        <f t="shared" si="102"/>
        <v>1.1692857142857143</v>
      </c>
      <c r="X775" s="5">
        <f t="shared" si="103"/>
        <v>33.979230299328044</v>
      </c>
    </row>
    <row r="776" spans="1:24" x14ac:dyDescent="0.35">
      <c r="A776" s="3">
        <v>46152</v>
      </c>
      <c r="B776" t="s">
        <v>1126</v>
      </c>
      <c r="C776" t="s">
        <v>1127</v>
      </c>
      <c r="D776" t="s">
        <v>34</v>
      </c>
      <c r="E776" t="s">
        <v>35</v>
      </c>
      <c r="F776" t="s">
        <v>20</v>
      </c>
      <c r="G776" t="s">
        <v>59</v>
      </c>
      <c r="H776" t="s">
        <v>37</v>
      </c>
      <c r="I776">
        <v>3304</v>
      </c>
      <c r="J776">
        <v>2648</v>
      </c>
      <c r="K776">
        <v>2449</v>
      </c>
      <c r="L776">
        <v>171</v>
      </c>
      <c r="M776">
        <v>69</v>
      </c>
      <c r="N776">
        <v>3</v>
      </c>
      <c r="O776">
        <v>213.88</v>
      </c>
      <c r="P776">
        <v>4294.55</v>
      </c>
      <c r="Q776" s="5">
        <f t="shared" si="96"/>
        <v>0.92484894259818728</v>
      </c>
      <c r="R776" s="5">
        <f t="shared" si="97"/>
        <v>6.9824418129848922E-2</v>
      </c>
      <c r="S776" s="5">
        <f t="shared" si="98"/>
        <v>0.40350877192982454</v>
      </c>
      <c r="T776" s="5">
        <f t="shared" si="99"/>
        <v>4.3478260869565216E-2</v>
      </c>
      <c r="U776" s="5">
        <f t="shared" si="100"/>
        <v>1.2249897917517355E-3</v>
      </c>
      <c r="V776" s="6">
        <f t="shared" si="101"/>
        <v>3.0997101449275362</v>
      </c>
      <c r="W776" s="7">
        <f t="shared" si="102"/>
        <v>1.2507602339181287</v>
      </c>
      <c r="X776" s="5">
        <f t="shared" si="103"/>
        <v>19.079250046755192</v>
      </c>
    </row>
    <row r="777" spans="1:24" x14ac:dyDescent="0.35">
      <c r="A777" s="3">
        <v>46152</v>
      </c>
      <c r="B777" t="s">
        <v>1086</v>
      </c>
      <c r="C777" t="s">
        <v>1128</v>
      </c>
      <c r="D777" t="s">
        <v>18</v>
      </c>
      <c r="E777" t="s">
        <v>56</v>
      </c>
      <c r="F777" t="s">
        <v>20</v>
      </c>
      <c r="G777" t="s">
        <v>41</v>
      </c>
      <c r="H777" t="s">
        <v>37</v>
      </c>
      <c r="I777">
        <v>2166</v>
      </c>
      <c r="J777">
        <v>1852</v>
      </c>
      <c r="K777">
        <v>1742</v>
      </c>
      <c r="L777">
        <v>118</v>
      </c>
      <c r="M777">
        <v>59</v>
      </c>
      <c r="N777">
        <v>5</v>
      </c>
      <c r="O777">
        <v>190.29</v>
      </c>
      <c r="P777">
        <v>4588.8900000000003</v>
      </c>
      <c r="Q777" s="5">
        <f t="shared" si="96"/>
        <v>0.94060475161987045</v>
      </c>
      <c r="R777" s="5">
        <f t="shared" si="97"/>
        <v>6.7738231917336397E-2</v>
      </c>
      <c r="S777" s="5">
        <f t="shared" si="98"/>
        <v>0.5</v>
      </c>
      <c r="T777" s="5">
        <f t="shared" si="99"/>
        <v>8.4745762711864403E-2</v>
      </c>
      <c r="U777" s="5">
        <f t="shared" si="100"/>
        <v>2.8702640642939152E-3</v>
      </c>
      <c r="V777" s="6">
        <f t="shared" si="101"/>
        <v>3.2252542372881354</v>
      </c>
      <c r="W777" s="7">
        <f t="shared" si="102"/>
        <v>1.6126271186440677</v>
      </c>
      <c r="X777" s="5">
        <f t="shared" si="103"/>
        <v>23.115245152136215</v>
      </c>
    </row>
    <row r="778" spans="1:24" x14ac:dyDescent="0.35">
      <c r="A778" s="3">
        <v>46152</v>
      </c>
      <c r="B778" t="s">
        <v>1129</v>
      </c>
      <c r="C778" t="s">
        <v>1130</v>
      </c>
      <c r="D778" t="s">
        <v>31</v>
      </c>
      <c r="E778" t="s">
        <v>35</v>
      </c>
      <c r="F778" t="s">
        <v>20</v>
      </c>
      <c r="G778" t="s">
        <v>21</v>
      </c>
      <c r="H778" t="s">
        <v>28</v>
      </c>
      <c r="I778">
        <v>3880</v>
      </c>
      <c r="J778">
        <v>3506</v>
      </c>
      <c r="K778">
        <v>3448</v>
      </c>
      <c r="L778">
        <v>174</v>
      </c>
      <c r="M778">
        <v>71</v>
      </c>
      <c r="N778">
        <v>5</v>
      </c>
      <c r="O778">
        <v>540.07000000000005</v>
      </c>
      <c r="P778">
        <v>4476.8999999999996</v>
      </c>
      <c r="Q778" s="5">
        <f t="shared" si="96"/>
        <v>0.9834569309754706</v>
      </c>
      <c r="R778" s="5">
        <f t="shared" si="97"/>
        <v>5.0464037122969839E-2</v>
      </c>
      <c r="S778" s="5">
        <f t="shared" si="98"/>
        <v>0.40804597701149425</v>
      </c>
      <c r="T778" s="5">
        <f t="shared" si="99"/>
        <v>7.0422535211267609E-2</v>
      </c>
      <c r="U778" s="5">
        <f t="shared" si="100"/>
        <v>1.4501160092807424E-3</v>
      </c>
      <c r="V778" s="6">
        <f t="shared" si="101"/>
        <v>7.6066197183098598</v>
      </c>
      <c r="W778" s="7">
        <f t="shared" si="102"/>
        <v>3.1038505747126441</v>
      </c>
      <c r="X778" s="5">
        <f t="shared" si="103"/>
        <v>7.2894809932045828</v>
      </c>
    </row>
    <row r="779" spans="1:24" x14ac:dyDescent="0.35">
      <c r="A779" s="3">
        <v>46152</v>
      </c>
      <c r="B779" t="s">
        <v>1131</v>
      </c>
      <c r="C779" t="s">
        <v>1132</v>
      </c>
      <c r="D779" t="s">
        <v>40</v>
      </c>
      <c r="E779" t="s">
        <v>25</v>
      </c>
      <c r="F779" t="s">
        <v>26</v>
      </c>
      <c r="G779" t="s">
        <v>59</v>
      </c>
      <c r="H779" t="s">
        <v>37</v>
      </c>
      <c r="I779">
        <v>1951</v>
      </c>
      <c r="J779">
        <v>1610</v>
      </c>
      <c r="K779">
        <v>1478</v>
      </c>
      <c r="L779">
        <v>107</v>
      </c>
      <c r="M779">
        <v>68</v>
      </c>
      <c r="N779">
        <v>6</v>
      </c>
      <c r="O779">
        <v>229.06</v>
      </c>
      <c r="P779">
        <v>8474.43</v>
      </c>
      <c r="Q779" s="5">
        <f t="shared" si="96"/>
        <v>0.91801242236024849</v>
      </c>
      <c r="R779" s="5">
        <f t="shared" si="97"/>
        <v>7.2395128552097426E-2</v>
      </c>
      <c r="S779" s="5">
        <f t="shared" si="98"/>
        <v>0.63551401869158874</v>
      </c>
      <c r="T779" s="5">
        <f t="shared" si="99"/>
        <v>8.8235294117647065E-2</v>
      </c>
      <c r="U779" s="5">
        <f t="shared" si="100"/>
        <v>4.0595399188092015E-3</v>
      </c>
      <c r="V779" s="6">
        <f t="shared" si="101"/>
        <v>3.368529411764706</v>
      </c>
      <c r="W779" s="7">
        <f t="shared" si="102"/>
        <v>2.140747663551402</v>
      </c>
      <c r="X779" s="5">
        <f t="shared" si="103"/>
        <v>35.996551121976779</v>
      </c>
    </row>
    <row r="780" spans="1:24" x14ac:dyDescent="0.35">
      <c r="A780" s="3">
        <v>46152</v>
      </c>
      <c r="B780" t="s">
        <v>1133</v>
      </c>
      <c r="C780" t="s">
        <v>1134</v>
      </c>
      <c r="D780" t="s">
        <v>34</v>
      </c>
      <c r="E780" t="s">
        <v>56</v>
      </c>
      <c r="F780" t="s">
        <v>20</v>
      </c>
      <c r="G780" t="s">
        <v>41</v>
      </c>
      <c r="H780" t="s">
        <v>37</v>
      </c>
      <c r="I780">
        <v>1489</v>
      </c>
      <c r="J780">
        <v>1308</v>
      </c>
      <c r="K780">
        <v>1193</v>
      </c>
      <c r="L780">
        <v>54</v>
      </c>
      <c r="M780">
        <v>19</v>
      </c>
      <c r="N780">
        <v>1</v>
      </c>
      <c r="O780">
        <v>116.67</v>
      </c>
      <c r="P780">
        <v>1085.1099999999999</v>
      </c>
      <c r="Q780" s="5">
        <f t="shared" si="96"/>
        <v>0.9120795107033639</v>
      </c>
      <c r="R780" s="5">
        <f t="shared" si="97"/>
        <v>4.526404023470243E-2</v>
      </c>
      <c r="S780" s="5">
        <f t="shared" si="98"/>
        <v>0.35185185185185186</v>
      </c>
      <c r="T780" s="5">
        <f t="shared" si="99"/>
        <v>5.2631578947368418E-2</v>
      </c>
      <c r="U780" s="5">
        <f t="shared" si="100"/>
        <v>8.3822296730930428E-4</v>
      </c>
      <c r="V780" s="6">
        <f t="shared" si="101"/>
        <v>6.1405263157894741</v>
      </c>
      <c r="W780" s="7">
        <f t="shared" si="102"/>
        <v>2.1605555555555558</v>
      </c>
      <c r="X780" s="5">
        <f t="shared" si="103"/>
        <v>8.3006771235107557</v>
      </c>
    </row>
    <row r="781" spans="1:24" x14ac:dyDescent="0.35">
      <c r="A781" s="3">
        <v>46152</v>
      </c>
      <c r="B781" t="s">
        <v>1098</v>
      </c>
      <c r="C781" t="s">
        <v>1135</v>
      </c>
      <c r="D781" t="s">
        <v>34</v>
      </c>
      <c r="E781" t="s">
        <v>19</v>
      </c>
      <c r="F781" t="s">
        <v>20</v>
      </c>
      <c r="G781" t="s">
        <v>27</v>
      </c>
      <c r="H781" t="s">
        <v>48</v>
      </c>
      <c r="I781">
        <v>4777</v>
      </c>
      <c r="J781">
        <v>4578</v>
      </c>
      <c r="K781">
        <v>4284</v>
      </c>
      <c r="L781">
        <v>66</v>
      </c>
      <c r="M781">
        <v>32</v>
      </c>
      <c r="N781">
        <v>1</v>
      </c>
      <c r="O781">
        <v>331.89</v>
      </c>
      <c r="P781">
        <v>950.29</v>
      </c>
      <c r="Q781" s="5">
        <f t="shared" si="96"/>
        <v>0.93577981651376152</v>
      </c>
      <c r="R781" s="5">
        <f t="shared" si="97"/>
        <v>1.5406162464985995E-2</v>
      </c>
      <c r="S781" s="5">
        <f t="shared" si="98"/>
        <v>0.48484848484848486</v>
      </c>
      <c r="T781" s="5">
        <f t="shared" si="99"/>
        <v>3.125E-2</v>
      </c>
      <c r="U781" s="5">
        <f t="shared" si="100"/>
        <v>2.3342670401493932E-4</v>
      </c>
      <c r="V781" s="6">
        <f t="shared" si="101"/>
        <v>10.3715625</v>
      </c>
      <c r="W781" s="7">
        <f t="shared" si="102"/>
        <v>5.0286363636363633</v>
      </c>
      <c r="X781" s="5">
        <f t="shared" si="103"/>
        <v>1.863267950224472</v>
      </c>
    </row>
    <row r="782" spans="1:24" x14ac:dyDescent="0.35">
      <c r="A782" s="3">
        <v>46152</v>
      </c>
      <c r="B782" t="s">
        <v>1136</v>
      </c>
      <c r="C782" t="s">
        <v>1137</v>
      </c>
      <c r="D782" t="s">
        <v>18</v>
      </c>
      <c r="E782" t="s">
        <v>56</v>
      </c>
      <c r="F782" t="s">
        <v>26</v>
      </c>
      <c r="G782" t="s">
        <v>36</v>
      </c>
      <c r="H782" t="s">
        <v>22</v>
      </c>
      <c r="I782">
        <v>2607</v>
      </c>
      <c r="J782">
        <v>2314</v>
      </c>
      <c r="K782">
        <v>2093</v>
      </c>
      <c r="L782">
        <v>167</v>
      </c>
      <c r="M782">
        <v>120</v>
      </c>
      <c r="N782">
        <v>5</v>
      </c>
      <c r="O782">
        <v>307.74</v>
      </c>
      <c r="P782">
        <v>4875.7700000000004</v>
      </c>
      <c r="Q782" s="5">
        <f t="shared" si="96"/>
        <v>0.9044943820224719</v>
      </c>
      <c r="R782" s="5">
        <f t="shared" si="97"/>
        <v>7.9789775441949359E-2</v>
      </c>
      <c r="S782" s="5">
        <f t="shared" si="98"/>
        <v>0.71856287425149701</v>
      </c>
      <c r="T782" s="5">
        <f t="shared" si="99"/>
        <v>4.1666666666666664E-2</v>
      </c>
      <c r="U782" s="5">
        <f t="shared" si="100"/>
        <v>2.3889154323936935E-3</v>
      </c>
      <c r="V782" s="6">
        <f t="shared" si="101"/>
        <v>2.5645000000000002</v>
      </c>
      <c r="W782" s="7">
        <f t="shared" si="102"/>
        <v>1.8427544910179641</v>
      </c>
      <c r="X782" s="5">
        <f t="shared" si="103"/>
        <v>14.843796711509718</v>
      </c>
    </row>
    <row r="783" spans="1:24" x14ac:dyDescent="0.35">
      <c r="A783" s="3">
        <v>46153</v>
      </c>
      <c r="B783" t="s">
        <v>1092</v>
      </c>
      <c r="C783" t="s">
        <v>1138</v>
      </c>
      <c r="D783" t="s">
        <v>34</v>
      </c>
      <c r="E783" t="s">
        <v>35</v>
      </c>
      <c r="F783" t="s">
        <v>26</v>
      </c>
      <c r="G783" t="s">
        <v>36</v>
      </c>
      <c r="H783" t="s">
        <v>28</v>
      </c>
      <c r="I783">
        <v>466</v>
      </c>
      <c r="J783">
        <v>451</v>
      </c>
      <c r="K783">
        <v>418</v>
      </c>
      <c r="L783">
        <v>41</v>
      </c>
      <c r="M783">
        <v>22</v>
      </c>
      <c r="N783">
        <v>2</v>
      </c>
      <c r="O783">
        <v>38.29</v>
      </c>
      <c r="P783">
        <v>2547.17</v>
      </c>
      <c r="Q783" s="5">
        <f t="shared" si="96"/>
        <v>0.92682926829268297</v>
      </c>
      <c r="R783" s="5">
        <f t="shared" si="97"/>
        <v>9.8086124401913874E-2</v>
      </c>
      <c r="S783" s="5">
        <f t="shared" si="98"/>
        <v>0.53658536585365857</v>
      </c>
      <c r="T783" s="5">
        <f t="shared" si="99"/>
        <v>9.0909090909090912E-2</v>
      </c>
      <c r="U783" s="5">
        <f t="shared" si="100"/>
        <v>4.7846889952153108E-3</v>
      </c>
      <c r="V783" s="6">
        <f t="shared" si="101"/>
        <v>1.7404545454545455</v>
      </c>
      <c r="W783" s="7">
        <f t="shared" si="102"/>
        <v>0.93390243902439019</v>
      </c>
      <c r="X783" s="5">
        <f t="shared" si="103"/>
        <v>65.52311308435624</v>
      </c>
    </row>
    <row r="784" spans="1:24" x14ac:dyDescent="0.35">
      <c r="A784" s="3">
        <v>46153</v>
      </c>
      <c r="B784" t="s">
        <v>1118</v>
      </c>
      <c r="C784" t="s">
        <v>1139</v>
      </c>
      <c r="D784" t="s">
        <v>40</v>
      </c>
      <c r="E784" t="s">
        <v>19</v>
      </c>
      <c r="F784" t="s">
        <v>26</v>
      </c>
      <c r="G784" t="s">
        <v>41</v>
      </c>
      <c r="H784" t="s">
        <v>28</v>
      </c>
      <c r="I784">
        <v>1424</v>
      </c>
      <c r="J784">
        <v>1080</v>
      </c>
      <c r="K784">
        <v>1039</v>
      </c>
      <c r="L784">
        <v>34</v>
      </c>
      <c r="M784">
        <v>22</v>
      </c>
      <c r="N784">
        <v>1</v>
      </c>
      <c r="O784">
        <v>154.28</v>
      </c>
      <c r="P784">
        <v>868.9</v>
      </c>
      <c r="Q784" s="5">
        <f t="shared" si="96"/>
        <v>0.96203703703703702</v>
      </c>
      <c r="R784" s="5">
        <f t="shared" si="97"/>
        <v>3.2723772858517804E-2</v>
      </c>
      <c r="S784" s="5">
        <f t="shared" si="98"/>
        <v>0.6470588235294118</v>
      </c>
      <c r="T784" s="5">
        <f t="shared" si="99"/>
        <v>4.5454545454545456E-2</v>
      </c>
      <c r="U784" s="5">
        <f t="shared" si="100"/>
        <v>9.6246390760346492E-4</v>
      </c>
      <c r="V784" s="6">
        <f t="shared" si="101"/>
        <v>7.0127272727272727</v>
      </c>
      <c r="W784" s="7">
        <f t="shared" si="102"/>
        <v>4.5376470588235298</v>
      </c>
      <c r="X784" s="5">
        <f t="shared" si="103"/>
        <v>4.6319678506611357</v>
      </c>
    </row>
    <row r="785" spans="1:24" x14ac:dyDescent="0.35">
      <c r="A785" s="3">
        <v>46153</v>
      </c>
      <c r="B785" t="s">
        <v>1070</v>
      </c>
      <c r="C785" t="s">
        <v>1140</v>
      </c>
      <c r="D785" t="s">
        <v>31</v>
      </c>
      <c r="E785" t="s">
        <v>56</v>
      </c>
      <c r="F785" t="s">
        <v>20</v>
      </c>
      <c r="G785" t="s">
        <v>36</v>
      </c>
      <c r="H785" t="s">
        <v>22</v>
      </c>
      <c r="I785">
        <v>4359</v>
      </c>
      <c r="J785">
        <v>4226</v>
      </c>
      <c r="K785">
        <v>4005</v>
      </c>
      <c r="L785">
        <v>143</v>
      </c>
      <c r="M785">
        <v>63</v>
      </c>
      <c r="N785">
        <v>2</v>
      </c>
      <c r="O785">
        <v>710.28</v>
      </c>
      <c r="P785">
        <v>1748.84</v>
      </c>
      <c r="Q785" s="5">
        <f t="shared" si="96"/>
        <v>0.94770468528159013</v>
      </c>
      <c r="R785" s="5">
        <f t="shared" si="97"/>
        <v>3.5705368289637954E-2</v>
      </c>
      <c r="S785" s="5">
        <f t="shared" si="98"/>
        <v>0.44055944055944057</v>
      </c>
      <c r="T785" s="5">
        <f t="shared" si="99"/>
        <v>3.1746031746031744E-2</v>
      </c>
      <c r="U785" s="5">
        <f t="shared" si="100"/>
        <v>4.9937578027465666E-4</v>
      </c>
      <c r="V785" s="6">
        <f t="shared" si="101"/>
        <v>11.274285714285714</v>
      </c>
      <c r="W785" s="7">
        <f t="shared" si="102"/>
        <v>4.9669930069930066</v>
      </c>
      <c r="X785" s="5">
        <f t="shared" si="103"/>
        <v>1.4621839274652249</v>
      </c>
    </row>
    <row r="786" spans="1:24" x14ac:dyDescent="0.35">
      <c r="A786" s="3">
        <v>46153</v>
      </c>
      <c r="B786" t="s">
        <v>1102</v>
      </c>
      <c r="C786" t="s">
        <v>1141</v>
      </c>
      <c r="D786" t="s">
        <v>34</v>
      </c>
      <c r="E786" t="s">
        <v>25</v>
      </c>
      <c r="F786" t="s">
        <v>20</v>
      </c>
      <c r="G786" t="s">
        <v>27</v>
      </c>
      <c r="H786" t="s">
        <v>28</v>
      </c>
      <c r="I786">
        <v>1839</v>
      </c>
      <c r="J786">
        <v>1695</v>
      </c>
      <c r="K786">
        <v>1625</v>
      </c>
      <c r="L786">
        <v>35</v>
      </c>
      <c r="M786">
        <v>13</v>
      </c>
      <c r="N786">
        <v>0</v>
      </c>
      <c r="O786">
        <v>116.44</v>
      </c>
      <c r="P786">
        <v>0</v>
      </c>
      <c r="Q786" s="5">
        <f t="shared" si="96"/>
        <v>0.95870206489675514</v>
      </c>
      <c r="R786" s="5">
        <f t="shared" si="97"/>
        <v>2.1538461538461538E-2</v>
      </c>
      <c r="S786" s="5">
        <f t="shared" si="98"/>
        <v>0.37142857142857144</v>
      </c>
      <c r="T786" s="5">
        <f t="shared" si="99"/>
        <v>0</v>
      </c>
      <c r="U786" s="5">
        <f t="shared" si="100"/>
        <v>0</v>
      </c>
      <c r="V786" s="6">
        <f t="shared" si="101"/>
        <v>8.9569230769230774</v>
      </c>
      <c r="W786" s="7">
        <f t="shared" si="102"/>
        <v>3.326857142857143</v>
      </c>
      <c r="X786" s="5">
        <f t="shared" si="103"/>
        <v>-1</v>
      </c>
    </row>
    <row r="787" spans="1:24" x14ac:dyDescent="0.35">
      <c r="A787" s="3">
        <v>46153</v>
      </c>
      <c r="B787" t="s">
        <v>1129</v>
      </c>
      <c r="C787" t="s">
        <v>1142</v>
      </c>
      <c r="D787" t="s">
        <v>40</v>
      </c>
      <c r="E787" t="s">
        <v>35</v>
      </c>
      <c r="F787" t="s">
        <v>20</v>
      </c>
      <c r="G787" t="s">
        <v>41</v>
      </c>
      <c r="H787" t="s">
        <v>48</v>
      </c>
      <c r="I787">
        <v>1261</v>
      </c>
      <c r="J787">
        <v>915</v>
      </c>
      <c r="K787">
        <v>845</v>
      </c>
      <c r="L787">
        <v>69</v>
      </c>
      <c r="M787">
        <v>28</v>
      </c>
      <c r="N787">
        <v>2</v>
      </c>
      <c r="O787">
        <v>163.52000000000001</v>
      </c>
      <c r="P787">
        <v>1760.85</v>
      </c>
      <c r="Q787" s="5">
        <f t="shared" si="96"/>
        <v>0.92349726775956287</v>
      </c>
      <c r="R787" s="5">
        <f t="shared" si="97"/>
        <v>8.1656804733727814E-2</v>
      </c>
      <c r="S787" s="5">
        <f t="shared" si="98"/>
        <v>0.40579710144927539</v>
      </c>
      <c r="T787" s="5">
        <f t="shared" si="99"/>
        <v>7.1428571428571425E-2</v>
      </c>
      <c r="U787" s="5">
        <f t="shared" si="100"/>
        <v>2.3668639053254438E-3</v>
      </c>
      <c r="V787" s="6">
        <f t="shared" si="101"/>
        <v>5.8400000000000007</v>
      </c>
      <c r="W787" s="7">
        <f t="shared" si="102"/>
        <v>2.3698550724637681</v>
      </c>
      <c r="X787" s="5">
        <f t="shared" si="103"/>
        <v>9.7684075342465739</v>
      </c>
    </row>
    <row r="788" spans="1:24" x14ac:dyDescent="0.35">
      <c r="A788" s="3">
        <v>46153</v>
      </c>
      <c r="B788" t="s">
        <v>1116</v>
      </c>
      <c r="C788" t="s">
        <v>1143</v>
      </c>
      <c r="D788" t="s">
        <v>34</v>
      </c>
      <c r="E788" t="s">
        <v>35</v>
      </c>
      <c r="F788" t="s">
        <v>26</v>
      </c>
      <c r="G788" t="s">
        <v>59</v>
      </c>
      <c r="H788" t="s">
        <v>51</v>
      </c>
      <c r="I788">
        <v>2982</v>
      </c>
      <c r="J788">
        <v>2490</v>
      </c>
      <c r="K788">
        <v>2257</v>
      </c>
      <c r="L788">
        <v>207</v>
      </c>
      <c r="M788">
        <v>107</v>
      </c>
      <c r="N788">
        <v>8</v>
      </c>
      <c r="O788">
        <v>207.29</v>
      </c>
      <c r="P788">
        <v>12521.61</v>
      </c>
      <c r="Q788" s="5">
        <f t="shared" si="96"/>
        <v>0.90642570281124502</v>
      </c>
      <c r="R788" s="5">
        <f t="shared" si="97"/>
        <v>9.171466548515729E-2</v>
      </c>
      <c r="S788" s="5">
        <f t="shared" si="98"/>
        <v>0.51690821256038644</v>
      </c>
      <c r="T788" s="5">
        <f t="shared" si="99"/>
        <v>7.476635514018691E-2</v>
      </c>
      <c r="U788" s="5">
        <f t="shared" si="100"/>
        <v>3.544528134692069E-3</v>
      </c>
      <c r="V788" s="6">
        <f t="shared" si="101"/>
        <v>1.9372897196261682</v>
      </c>
      <c r="W788" s="7">
        <f t="shared" si="102"/>
        <v>1.0014009661835748</v>
      </c>
      <c r="X788" s="5">
        <f t="shared" si="103"/>
        <v>59.406242462250951</v>
      </c>
    </row>
    <row r="789" spans="1:24" x14ac:dyDescent="0.35">
      <c r="A789" s="3">
        <v>46153</v>
      </c>
      <c r="B789" t="s">
        <v>1144</v>
      </c>
      <c r="C789" t="s">
        <v>1145</v>
      </c>
      <c r="D789" t="s">
        <v>34</v>
      </c>
      <c r="E789" t="s">
        <v>25</v>
      </c>
      <c r="F789" t="s">
        <v>20</v>
      </c>
      <c r="G789" t="s">
        <v>36</v>
      </c>
      <c r="H789" t="s">
        <v>37</v>
      </c>
      <c r="I789">
        <v>3539</v>
      </c>
      <c r="J789">
        <v>3293</v>
      </c>
      <c r="K789">
        <v>3137</v>
      </c>
      <c r="L789">
        <v>101</v>
      </c>
      <c r="M789">
        <v>43</v>
      </c>
      <c r="N789">
        <v>1</v>
      </c>
      <c r="O789">
        <v>274.76</v>
      </c>
      <c r="P789">
        <v>905.37</v>
      </c>
      <c r="Q789" s="5">
        <f t="shared" si="96"/>
        <v>0.95262678408745827</v>
      </c>
      <c r="R789" s="5">
        <f t="shared" si="97"/>
        <v>3.2196365954733824E-2</v>
      </c>
      <c r="S789" s="5">
        <f t="shared" si="98"/>
        <v>0.42574257425742573</v>
      </c>
      <c r="T789" s="5">
        <f t="shared" si="99"/>
        <v>2.3255813953488372E-2</v>
      </c>
      <c r="U789" s="5">
        <f t="shared" si="100"/>
        <v>3.1877590054191901E-4</v>
      </c>
      <c r="V789" s="6">
        <f t="shared" si="101"/>
        <v>6.3897674418604646</v>
      </c>
      <c r="W789" s="7">
        <f t="shared" si="102"/>
        <v>2.7203960396039601</v>
      </c>
      <c r="X789" s="5">
        <f t="shared" si="103"/>
        <v>2.2951302955306452</v>
      </c>
    </row>
    <row r="790" spans="1:24" x14ac:dyDescent="0.35">
      <c r="A790" s="3">
        <v>46154</v>
      </c>
      <c r="B790" t="s">
        <v>1146</v>
      </c>
      <c r="C790" t="s">
        <v>1147</v>
      </c>
      <c r="D790" t="s">
        <v>31</v>
      </c>
      <c r="E790" t="s">
        <v>19</v>
      </c>
      <c r="F790" t="s">
        <v>20</v>
      </c>
      <c r="G790" t="s">
        <v>27</v>
      </c>
      <c r="H790" t="s">
        <v>22</v>
      </c>
      <c r="I790">
        <v>1552</v>
      </c>
      <c r="J790">
        <v>1259</v>
      </c>
      <c r="K790">
        <v>1180</v>
      </c>
      <c r="L790">
        <v>4</v>
      </c>
      <c r="M790">
        <v>1</v>
      </c>
      <c r="N790">
        <v>0</v>
      </c>
      <c r="O790">
        <v>257.83999999999997</v>
      </c>
      <c r="P790">
        <v>0</v>
      </c>
      <c r="Q790" s="5">
        <f t="shared" si="96"/>
        <v>0.93725178713264501</v>
      </c>
      <c r="R790" s="5">
        <f t="shared" si="97"/>
        <v>3.3898305084745762E-3</v>
      </c>
      <c r="S790" s="5">
        <f t="shared" si="98"/>
        <v>0.25</v>
      </c>
      <c r="T790" s="5">
        <f t="shared" si="99"/>
        <v>0</v>
      </c>
      <c r="U790" s="5">
        <f t="shared" si="100"/>
        <v>0</v>
      </c>
      <c r="V790" s="6">
        <f t="shared" si="101"/>
        <v>257.83999999999997</v>
      </c>
      <c r="W790" s="7">
        <f t="shared" si="102"/>
        <v>64.459999999999994</v>
      </c>
      <c r="X790" s="5">
        <f t="shared" si="103"/>
        <v>-1</v>
      </c>
    </row>
    <row r="791" spans="1:24" x14ac:dyDescent="0.35">
      <c r="A791" s="3">
        <v>46154</v>
      </c>
      <c r="B791" t="s">
        <v>1148</v>
      </c>
      <c r="C791" t="s">
        <v>1149</v>
      </c>
      <c r="D791" t="s">
        <v>34</v>
      </c>
      <c r="E791" t="s">
        <v>56</v>
      </c>
      <c r="F791" t="s">
        <v>26</v>
      </c>
      <c r="G791" t="s">
        <v>59</v>
      </c>
      <c r="H791" t="s">
        <v>51</v>
      </c>
      <c r="I791">
        <v>1632</v>
      </c>
      <c r="J791">
        <v>1257</v>
      </c>
      <c r="K791">
        <v>1146</v>
      </c>
      <c r="L791">
        <v>71</v>
      </c>
      <c r="M791">
        <v>43</v>
      </c>
      <c r="N791">
        <v>3</v>
      </c>
      <c r="O791">
        <v>113.25</v>
      </c>
      <c r="P791">
        <v>4606.0200000000004</v>
      </c>
      <c r="Q791" s="5">
        <f t="shared" si="96"/>
        <v>0.91169451073985686</v>
      </c>
      <c r="R791" s="5">
        <f t="shared" si="97"/>
        <v>6.1954624781849911E-2</v>
      </c>
      <c r="S791" s="5">
        <f t="shared" si="98"/>
        <v>0.60563380281690138</v>
      </c>
      <c r="T791" s="5">
        <f t="shared" si="99"/>
        <v>6.9767441860465115E-2</v>
      </c>
      <c r="U791" s="5">
        <f t="shared" si="100"/>
        <v>2.617801047120419E-3</v>
      </c>
      <c r="V791" s="6">
        <f t="shared" si="101"/>
        <v>2.6337209302325579</v>
      </c>
      <c r="W791" s="7">
        <f t="shared" si="102"/>
        <v>1.5950704225352113</v>
      </c>
      <c r="X791" s="5">
        <f t="shared" si="103"/>
        <v>39.6712582781457</v>
      </c>
    </row>
    <row r="792" spans="1:24" x14ac:dyDescent="0.35">
      <c r="A792" s="3">
        <v>46154</v>
      </c>
      <c r="B792" t="s">
        <v>1150</v>
      </c>
      <c r="C792" t="s">
        <v>1151</v>
      </c>
      <c r="D792" t="s">
        <v>31</v>
      </c>
      <c r="E792" t="s">
        <v>56</v>
      </c>
      <c r="F792" t="s">
        <v>26</v>
      </c>
      <c r="G792" t="s">
        <v>21</v>
      </c>
      <c r="H792" t="s">
        <v>28</v>
      </c>
      <c r="I792">
        <v>3415</v>
      </c>
      <c r="J792">
        <v>2866</v>
      </c>
      <c r="K792">
        <v>2774</v>
      </c>
      <c r="L792">
        <v>126</v>
      </c>
      <c r="M792">
        <v>66</v>
      </c>
      <c r="N792">
        <v>5</v>
      </c>
      <c r="O792">
        <v>477.27</v>
      </c>
      <c r="P792">
        <v>5258.88</v>
      </c>
      <c r="Q792" s="5">
        <f t="shared" si="96"/>
        <v>0.96789951151430564</v>
      </c>
      <c r="R792" s="5">
        <f t="shared" si="97"/>
        <v>4.542177361211247E-2</v>
      </c>
      <c r="S792" s="5">
        <f t="shared" si="98"/>
        <v>0.52380952380952384</v>
      </c>
      <c r="T792" s="5">
        <f t="shared" si="99"/>
        <v>7.575757575757576E-2</v>
      </c>
      <c r="U792" s="5">
        <f t="shared" si="100"/>
        <v>1.8024513338139869E-3</v>
      </c>
      <c r="V792" s="6">
        <f t="shared" si="101"/>
        <v>7.2313636363636364</v>
      </c>
      <c r="W792" s="7">
        <f t="shared" si="102"/>
        <v>3.7878571428571428</v>
      </c>
      <c r="X792" s="5">
        <f t="shared" si="103"/>
        <v>10.018668678106733</v>
      </c>
    </row>
    <row r="793" spans="1:24" x14ac:dyDescent="0.35">
      <c r="A793" s="3">
        <v>46154</v>
      </c>
      <c r="B793" t="s">
        <v>1152</v>
      </c>
      <c r="C793" t="s">
        <v>1153</v>
      </c>
      <c r="D793" t="s">
        <v>18</v>
      </c>
      <c r="E793" t="s">
        <v>25</v>
      </c>
      <c r="F793" t="s">
        <v>20</v>
      </c>
      <c r="G793" t="s">
        <v>21</v>
      </c>
      <c r="H793" t="s">
        <v>28</v>
      </c>
      <c r="I793">
        <v>4509</v>
      </c>
      <c r="J793">
        <v>3350</v>
      </c>
      <c r="K793">
        <v>2997</v>
      </c>
      <c r="L793">
        <v>105</v>
      </c>
      <c r="M793">
        <v>56</v>
      </c>
      <c r="N793">
        <v>3</v>
      </c>
      <c r="O793">
        <v>411.8</v>
      </c>
      <c r="P793">
        <v>3282.87</v>
      </c>
      <c r="Q793" s="5">
        <f t="shared" si="96"/>
        <v>0.89462686567164174</v>
      </c>
      <c r="R793" s="5">
        <f t="shared" si="97"/>
        <v>3.5035035035035036E-2</v>
      </c>
      <c r="S793" s="5">
        <f t="shared" si="98"/>
        <v>0.53333333333333333</v>
      </c>
      <c r="T793" s="5">
        <f t="shared" si="99"/>
        <v>5.3571428571428568E-2</v>
      </c>
      <c r="U793" s="5">
        <f t="shared" si="100"/>
        <v>1.001001001001001E-3</v>
      </c>
      <c r="V793" s="6">
        <f t="shared" si="101"/>
        <v>7.3535714285714286</v>
      </c>
      <c r="W793" s="7">
        <f t="shared" si="102"/>
        <v>3.921904761904762</v>
      </c>
      <c r="X793" s="5">
        <f t="shared" si="103"/>
        <v>6.9720009713453122</v>
      </c>
    </row>
    <row r="794" spans="1:24" x14ac:dyDescent="0.35">
      <c r="A794" s="3">
        <v>46154</v>
      </c>
      <c r="B794" t="s">
        <v>1154</v>
      </c>
      <c r="C794" t="s">
        <v>1155</v>
      </c>
      <c r="D794" t="s">
        <v>18</v>
      </c>
      <c r="E794" t="s">
        <v>35</v>
      </c>
      <c r="F794" t="s">
        <v>26</v>
      </c>
      <c r="G794" t="s">
        <v>59</v>
      </c>
      <c r="H794" t="s">
        <v>37</v>
      </c>
      <c r="I794">
        <v>3846</v>
      </c>
      <c r="J794">
        <v>2882</v>
      </c>
      <c r="K794">
        <v>2640</v>
      </c>
      <c r="L794">
        <v>288</v>
      </c>
      <c r="M794">
        <v>173</v>
      </c>
      <c r="N794">
        <v>17</v>
      </c>
      <c r="O794">
        <v>347.48</v>
      </c>
      <c r="P794">
        <v>14542.34</v>
      </c>
      <c r="Q794" s="5">
        <f t="shared" si="96"/>
        <v>0.91603053435114501</v>
      </c>
      <c r="R794" s="5">
        <f t="shared" si="97"/>
        <v>0.10909090909090909</v>
      </c>
      <c r="S794" s="5">
        <f t="shared" si="98"/>
        <v>0.60069444444444442</v>
      </c>
      <c r="T794" s="5">
        <f t="shared" si="99"/>
        <v>9.8265895953757232E-2</v>
      </c>
      <c r="U794" s="5">
        <f t="shared" si="100"/>
        <v>6.4393939393939392E-3</v>
      </c>
      <c r="V794" s="6">
        <f t="shared" si="101"/>
        <v>2.0085549132947977</v>
      </c>
      <c r="W794" s="7">
        <f t="shared" si="102"/>
        <v>1.2065277777777779</v>
      </c>
      <c r="X794" s="5">
        <f t="shared" si="103"/>
        <v>40.850869114769196</v>
      </c>
    </row>
    <row r="795" spans="1:24" x14ac:dyDescent="0.35">
      <c r="A795" s="3">
        <v>46154</v>
      </c>
      <c r="B795" t="s">
        <v>1096</v>
      </c>
      <c r="C795" t="s">
        <v>1156</v>
      </c>
      <c r="D795" t="s">
        <v>18</v>
      </c>
      <c r="E795" t="s">
        <v>25</v>
      </c>
      <c r="F795" t="s">
        <v>20</v>
      </c>
      <c r="G795" t="s">
        <v>41</v>
      </c>
      <c r="H795" t="s">
        <v>28</v>
      </c>
      <c r="I795">
        <v>4002</v>
      </c>
      <c r="J795">
        <v>3006</v>
      </c>
      <c r="K795">
        <v>2722</v>
      </c>
      <c r="L795">
        <v>107</v>
      </c>
      <c r="M795">
        <v>50</v>
      </c>
      <c r="N795">
        <v>2</v>
      </c>
      <c r="O795">
        <v>321.61</v>
      </c>
      <c r="P795">
        <v>1488.04</v>
      </c>
      <c r="Q795" s="5">
        <f t="shared" si="96"/>
        <v>0.90552228875582164</v>
      </c>
      <c r="R795" s="5">
        <f t="shared" si="97"/>
        <v>3.930933137398971E-2</v>
      </c>
      <c r="S795" s="5">
        <f t="shared" si="98"/>
        <v>0.46728971962616822</v>
      </c>
      <c r="T795" s="5">
        <f t="shared" si="99"/>
        <v>0.04</v>
      </c>
      <c r="U795" s="5">
        <f t="shared" si="100"/>
        <v>7.347538574577516E-4</v>
      </c>
      <c r="V795" s="6">
        <f t="shared" si="101"/>
        <v>6.4321999999999999</v>
      </c>
      <c r="W795" s="7">
        <f t="shared" si="102"/>
        <v>3.0057009345794392</v>
      </c>
      <c r="X795" s="5">
        <f t="shared" si="103"/>
        <v>3.6268461801560892</v>
      </c>
    </row>
    <row r="796" spans="1:24" x14ac:dyDescent="0.35">
      <c r="A796" s="3">
        <v>46154</v>
      </c>
      <c r="B796" t="s">
        <v>1060</v>
      </c>
      <c r="C796" t="s">
        <v>1157</v>
      </c>
      <c r="D796" t="s">
        <v>31</v>
      </c>
      <c r="E796" t="s">
        <v>35</v>
      </c>
      <c r="F796" t="s">
        <v>20</v>
      </c>
      <c r="G796" t="s">
        <v>21</v>
      </c>
      <c r="H796" t="s">
        <v>51</v>
      </c>
      <c r="I796">
        <v>1143</v>
      </c>
      <c r="J796">
        <v>867</v>
      </c>
      <c r="K796">
        <v>836</v>
      </c>
      <c r="L796">
        <v>26</v>
      </c>
      <c r="M796">
        <v>10</v>
      </c>
      <c r="N796">
        <v>1</v>
      </c>
      <c r="O796">
        <v>186.92</v>
      </c>
      <c r="P796">
        <v>1136.32</v>
      </c>
      <c r="Q796" s="5">
        <f t="shared" si="96"/>
        <v>0.96424452133794691</v>
      </c>
      <c r="R796" s="5">
        <f t="shared" si="97"/>
        <v>3.1100478468899521E-2</v>
      </c>
      <c r="S796" s="5">
        <f t="shared" si="98"/>
        <v>0.38461538461538464</v>
      </c>
      <c r="T796" s="5">
        <f t="shared" si="99"/>
        <v>0.1</v>
      </c>
      <c r="U796" s="5">
        <f t="shared" si="100"/>
        <v>1.1961722488038277E-3</v>
      </c>
      <c r="V796" s="6">
        <f t="shared" si="101"/>
        <v>18.692</v>
      </c>
      <c r="W796" s="7">
        <f t="shared" si="102"/>
        <v>7.1892307692307691</v>
      </c>
      <c r="X796" s="5">
        <f t="shared" si="103"/>
        <v>5.0791782580783229</v>
      </c>
    </row>
    <row r="797" spans="1:24" x14ac:dyDescent="0.35">
      <c r="A797" s="3">
        <v>46155</v>
      </c>
      <c r="B797" t="s">
        <v>1158</v>
      </c>
      <c r="C797" t="s">
        <v>1159</v>
      </c>
      <c r="D797" t="s">
        <v>34</v>
      </c>
      <c r="E797" t="s">
        <v>56</v>
      </c>
      <c r="F797" t="s">
        <v>26</v>
      </c>
      <c r="G797" t="s">
        <v>59</v>
      </c>
      <c r="H797" t="s">
        <v>37</v>
      </c>
      <c r="I797">
        <v>4436</v>
      </c>
      <c r="J797">
        <v>4425</v>
      </c>
      <c r="K797">
        <v>4220</v>
      </c>
      <c r="L797">
        <v>291</v>
      </c>
      <c r="M797">
        <v>194</v>
      </c>
      <c r="N797">
        <v>15</v>
      </c>
      <c r="O797">
        <v>368.27</v>
      </c>
      <c r="P797">
        <v>21733.83</v>
      </c>
      <c r="Q797" s="5">
        <f t="shared" si="96"/>
        <v>0.95367231638418082</v>
      </c>
      <c r="R797" s="5">
        <f t="shared" si="97"/>
        <v>6.8957345971563985E-2</v>
      </c>
      <c r="S797" s="5">
        <f t="shared" si="98"/>
        <v>0.66666666666666663</v>
      </c>
      <c r="T797" s="5">
        <f t="shared" si="99"/>
        <v>7.7319587628865982E-2</v>
      </c>
      <c r="U797" s="5">
        <f t="shared" si="100"/>
        <v>3.5545023696682463E-3</v>
      </c>
      <c r="V797" s="6">
        <f t="shared" si="101"/>
        <v>1.8982989690721648</v>
      </c>
      <c r="W797" s="7">
        <f t="shared" si="102"/>
        <v>1.26553264604811</v>
      </c>
      <c r="X797" s="5">
        <f t="shared" si="103"/>
        <v>58.016020854264539</v>
      </c>
    </row>
    <row r="798" spans="1:24" x14ac:dyDescent="0.35">
      <c r="A798" s="3">
        <v>46155</v>
      </c>
      <c r="B798" t="s">
        <v>1129</v>
      </c>
      <c r="C798" t="s">
        <v>1160</v>
      </c>
      <c r="D798" t="s">
        <v>40</v>
      </c>
      <c r="E798" t="s">
        <v>19</v>
      </c>
      <c r="F798" t="s">
        <v>20</v>
      </c>
      <c r="G798" t="s">
        <v>59</v>
      </c>
      <c r="H798" t="s">
        <v>51</v>
      </c>
      <c r="I798">
        <v>914</v>
      </c>
      <c r="J798">
        <v>811</v>
      </c>
      <c r="K798">
        <v>749</v>
      </c>
      <c r="L798">
        <v>24</v>
      </c>
      <c r="M798">
        <v>11</v>
      </c>
      <c r="N798">
        <v>0</v>
      </c>
      <c r="O798">
        <v>109.54</v>
      </c>
      <c r="P798">
        <v>0</v>
      </c>
      <c r="Q798" s="5">
        <f t="shared" si="96"/>
        <v>0.92355117139334153</v>
      </c>
      <c r="R798" s="5">
        <f t="shared" si="97"/>
        <v>3.2042723631508681E-2</v>
      </c>
      <c r="S798" s="5">
        <f t="shared" si="98"/>
        <v>0.45833333333333331</v>
      </c>
      <c r="T798" s="5">
        <f t="shared" si="99"/>
        <v>0</v>
      </c>
      <c r="U798" s="5">
        <f t="shared" si="100"/>
        <v>0</v>
      </c>
      <c r="V798" s="6">
        <f t="shared" si="101"/>
        <v>9.9581818181818189</v>
      </c>
      <c r="W798" s="7">
        <f t="shared" si="102"/>
        <v>4.5641666666666669</v>
      </c>
      <c r="X798" s="5">
        <f t="shared" si="103"/>
        <v>-1</v>
      </c>
    </row>
    <row r="799" spans="1:24" x14ac:dyDescent="0.35">
      <c r="A799" s="3">
        <v>46155</v>
      </c>
      <c r="B799" t="s">
        <v>1116</v>
      </c>
      <c r="C799" t="s">
        <v>1161</v>
      </c>
      <c r="D799" t="s">
        <v>40</v>
      </c>
      <c r="E799" t="s">
        <v>19</v>
      </c>
      <c r="F799" t="s">
        <v>26</v>
      </c>
      <c r="G799" t="s">
        <v>21</v>
      </c>
      <c r="H799" t="s">
        <v>28</v>
      </c>
      <c r="I799">
        <v>1960</v>
      </c>
      <c r="J799">
        <v>1687</v>
      </c>
      <c r="K799">
        <v>1567</v>
      </c>
      <c r="L799">
        <v>58</v>
      </c>
      <c r="M799">
        <v>36</v>
      </c>
      <c r="N799">
        <v>0</v>
      </c>
      <c r="O799">
        <v>230.36</v>
      </c>
      <c r="P799">
        <v>0</v>
      </c>
      <c r="Q799" s="5">
        <f t="shared" si="96"/>
        <v>0.9288678126852401</v>
      </c>
      <c r="R799" s="5">
        <f t="shared" si="97"/>
        <v>3.7013401403956606E-2</v>
      </c>
      <c r="S799" s="5">
        <f t="shared" si="98"/>
        <v>0.62068965517241381</v>
      </c>
      <c r="T799" s="5">
        <f t="shared" si="99"/>
        <v>0</v>
      </c>
      <c r="U799" s="5">
        <f t="shared" si="100"/>
        <v>0</v>
      </c>
      <c r="V799" s="6">
        <f t="shared" si="101"/>
        <v>6.3988888888888891</v>
      </c>
      <c r="W799" s="7">
        <f t="shared" si="102"/>
        <v>3.9717241379310346</v>
      </c>
      <c r="X799" s="5">
        <f t="shared" si="103"/>
        <v>-1</v>
      </c>
    </row>
    <row r="800" spans="1:24" x14ac:dyDescent="0.35">
      <c r="A800" s="3">
        <v>46155</v>
      </c>
      <c r="B800" t="s">
        <v>1098</v>
      </c>
      <c r="C800" t="s">
        <v>1162</v>
      </c>
      <c r="D800" t="s">
        <v>34</v>
      </c>
      <c r="E800" t="s">
        <v>25</v>
      </c>
      <c r="F800" t="s">
        <v>20</v>
      </c>
      <c r="G800" t="s">
        <v>41</v>
      </c>
      <c r="H800" t="s">
        <v>48</v>
      </c>
      <c r="I800">
        <v>4404</v>
      </c>
      <c r="J800">
        <v>3340</v>
      </c>
      <c r="K800">
        <v>3184</v>
      </c>
      <c r="L800">
        <v>114</v>
      </c>
      <c r="M800">
        <v>53</v>
      </c>
      <c r="N800">
        <v>3</v>
      </c>
      <c r="O800">
        <v>266.60000000000002</v>
      </c>
      <c r="P800">
        <v>3434.82</v>
      </c>
      <c r="Q800" s="5">
        <f t="shared" si="96"/>
        <v>0.95329341317365268</v>
      </c>
      <c r="R800" s="5">
        <f t="shared" si="97"/>
        <v>3.5804020100502515E-2</v>
      </c>
      <c r="S800" s="5">
        <f t="shared" si="98"/>
        <v>0.46491228070175439</v>
      </c>
      <c r="T800" s="5">
        <f t="shared" si="99"/>
        <v>5.6603773584905662E-2</v>
      </c>
      <c r="U800" s="5">
        <f t="shared" si="100"/>
        <v>9.4221105527638187E-4</v>
      </c>
      <c r="V800" s="6">
        <f t="shared" si="101"/>
        <v>5.030188679245283</v>
      </c>
      <c r="W800" s="7">
        <f t="shared" si="102"/>
        <v>2.3385964912280706</v>
      </c>
      <c r="X800" s="5">
        <f t="shared" si="103"/>
        <v>11.883795948987247</v>
      </c>
    </row>
    <row r="801" spans="1:24" x14ac:dyDescent="0.35">
      <c r="A801" s="3">
        <v>46156</v>
      </c>
      <c r="B801" t="s">
        <v>1068</v>
      </c>
      <c r="C801" t="s">
        <v>1163</v>
      </c>
      <c r="D801" t="s">
        <v>34</v>
      </c>
      <c r="E801" t="s">
        <v>56</v>
      </c>
      <c r="F801" t="s">
        <v>20</v>
      </c>
      <c r="G801" t="s">
        <v>59</v>
      </c>
      <c r="H801" t="s">
        <v>22</v>
      </c>
      <c r="I801">
        <v>1509</v>
      </c>
      <c r="J801">
        <v>1151</v>
      </c>
      <c r="K801">
        <v>1099</v>
      </c>
      <c r="L801">
        <v>65</v>
      </c>
      <c r="M801">
        <v>29</v>
      </c>
      <c r="N801">
        <v>1</v>
      </c>
      <c r="O801">
        <v>89</v>
      </c>
      <c r="P801">
        <v>1185.53</v>
      </c>
      <c r="Q801" s="5">
        <f t="shared" si="96"/>
        <v>0.95482189400521289</v>
      </c>
      <c r="R801" s="5">
        <f t="shared" si="97"/>
        <v>5.9144676979071886E-2</v>
      </c>
      <c r="S801" s="5">
        <f t="shared" si="98"/>
        <v>0.44615384615384618</v>
      </c>
      <c r="T801" s="5">
        <f t="shared" si="99"/>
        <v>3.4482758620689655E-2</v>
      </c>
      <c r="U801" s="5">
        <f t="shared" si="100"/>
        <v>9.099181073703367E-4</v>
      </c>
      <c r="V801" s="6">
        <f t="shared" si="101"/>
        <v>3.0689655172413794</v>
      </c>
      <c r="W801" s="7">
        <f t="shared" si="102"/>
        <v>1.3692307692307693</v>
      </c>
      <c r="X801" s="5">
        <f t="shared" si="103"/>
        <v>12.320561797752809</v>
      </c>
    </row>
    <row r="802" spans="1:24" x14ac:dyDescent="0.35">
      <c r="A802" s="3">
        <v>46156</v>
      </c>
      <c r="B802" t="s">
        <v>1164</v>
      </c>
      <c r="C802" t="s">
        <v>1165</v>
      </c>
      <c r="D802" t="s">
        <v>18</v>
      </c>
      <c r="E802" t="s">
        <v>19</v>
      </c>
      <c r="F802" t="s">
        <v>20</v>
      </c>
      <c r="G802" t="s">
        <v>59</v>
      </c>
      <c r="H802" t="s">
        <v>37</v>
      </c>
      <c r="I802">
        <v>3929</v>
      </c>
      <c r="J802">
        <v>3310</v>
      </c>
      <c r="K802">
        <v>3005</v>
      </c>
      <c r="L802">
        <v>58</v>
      </c>
      <c r="M802">
        <v>33</v>
      </c>
      <c r="N802">
        <v>1</v>
      </c>
      <c r="O802">
        <v>453.03</v>
      </c>
      <c r="P802">
        <v>1245.1199999999999</v>
      </c>
      <c r="Q802" s="5">
        <f t="shared" si="96"/>
        <v>0.90785498489425986</v>
      </c>
      <c r="R802" s="5">
        <f t="shared" si="97"/>
        <v>1.9301164725457572E-2</v>
      </c>
      <c r="S802" s="5">
        <f t="shared" si="98"/>
        <v>0.56896551724137934</v>
      </c>
      <c r="T802" s="5">
        <f t="shared" si="99"/>
        <v>3.0303030303030304E-2</v>
      </c>
      <c r="U802" s="5">
        <f t="shared" si="100"/>
        <v>3.3277870216306157E-4</v>
      </c>
      <c r="V802" s="6">
        <f t="shared" si="101"/>
        <v>13.728181818181817</v>
      </c>
      <c r="W802" s="7">
        <f t="shared" si="102"/>
        <v>7.810862068965517</v>
      </c>
      <c r="X802" s="5">
        <f t="shared" si="103"/>
        <v>1.7484272564730812</v>
      </c>
    </row>
    <row r="803" spans="1:24" x14ac:dyDescent="0.35">
      <c r="A803" s="3">
        <v>46156</v>
      </c>
      <c r="B803" t="s">
        <v>1108</v>
      </c>
      <c r="C803" t="s">
        <v>1166</v>
      </c>
      <c r="D803" t="s">
        <v>40</v>
      </c>
      <c r="E803" t="s">
        <v>35</v>
      </c>
      <c r="F803" t="s">
        <v>20</v>
      </c>
      <c r="G803" t="s">
        <v>36</v>
      </c>
      <c r="H803" t="s">
        <v>22</v>
      </c>
      <c r="I803">
        <v>827</v>
      </c>
      <c r="J803">
        <v>659</v>
      </c>
      <c r="K803">
        <v>592</v>
      </c>
      <c r="L803">
        <v>44</v>
      </c>
      <c r="M803">
        <v>21</v>
      </c>
      <c r="N803">
        <v>2</v>
      </c>
      <c r="O803">
        <v>88.51</v>
      </c>
      <c r="P803">
        <v>2800.11</v>
      </c>
      <c r="Q803" s="5">
        <f t="shared" si="96"/>
        <v>0.89833080424886191</v>
      </c>
      <c r="R803" s="5">
        <f t="shared" si="97"/>
        <v>7.4324324324324328E-2</v>
      </c>
      <c r="S803" s="5">
        <f t="shared" si="98"/>
        <v>0.47727272727272729</v>
      </c>
      <c r="T803" s="5">
        <f t="shared" si="99"/>
        <v>9.5238095238095233E-2</v>
      </c>
      <c r="U803" s="5">
        <f t="shared" si="100"/>
        <v>3.3783783783783786E-3</v>
      </c>
      <c r="V803" s="6">
        <f t="shared" si="101"/>
        <v>4.2147619047619047</v>
      </c>
      <c r="W803" s="7">
        <f t="shared" si="102"/>
        <v>2.0115909090909092</v>
      </c>
      <c r="X803" s="5">
        <f t="shared" si="103"/>
        <v>30.636086317930175</v>
      </c>
    </row>
    <row r="804" spans="1:24" x14ac:dyDescent="0.35">
      <c r="A804" s="3">
        <v>46157</v>
      </c>
      <c r="B804" t="s">
        <v>1102</v>
      </c>
      <c r="C804" t="s">
        <v>1167</v>
      </c>
      <c r="D804" t="s">
        <v>34</v>
      </c>
      <c r="E804" t="s">
        <v>35</v>
      </c>
      <c r="F804" t="s">
        <v>20</v>
      </c>
      <c r="G804" t="s">
        <v>27</v>
      </c>
      <c r="H804" t="s">
        <v>48</v>
      </c>
      <c r="I804">
        <v>1465</v>
      </c>
      <c r="J804">
        <v>1174</v>
      </c>
      <c r="K804">
        <v>1084</v>
      </c>
      <c r="L804">
        <v>84</v>
      </c>
      <c r="M804">
        <v>26</v>
      </c>
      <c r="N804">
        <v>2</v>
      </c>
      <c r="O804">
        <v>90.55</v>
      </c>
      <c r="P804">
        <v>2612.8000000000002</v>
      </c>
      <c r="Q804" s="5">
        <f t="shared" si="96"/>
        <v>0.92333901192504264</v>
      </c>
      <c r="R804" s="5">
        <f t="shared" si="97"/>
        <v>7.7490774907749083E-2</v>
      </c>
      <c r="S804" s="5">
        <f t="shared" si="98"/>
        <v>0.30952380952380953</v>
      </c>
      <c r="T804" s="5">
        <f t="shared" si="99"/>
        <v>7.6923076923076927E-2</v>
      </c>
      <c r="U804" s="5">
        <f t="shared" si="100"/>
        <v>1.8450184501845018E-3</v>
      </c>
      <c r="V804" s="6">
        <f t="shared" si="101"/>
        <v>3.4826923076923078</v>
      </c>
      <c r="W804" s="7">
        <f t="shared" si="102"/>
        <v>1.0779761904761904</v>
      </c>
      <c r="X804" s="5">
        <f t="shared" si="103"/>
        <v>27.854776366648263</v>
      </c>
    </row>
    <row r="805" spans="1:24" x14ac:dyDescent="0.35">
      <c r="A805" s="3">
        <v>46157</v>
      </c>
      <c r="B805" t="s">
        <v>1096</v>
      </c>
      <c r="C805" t="s">
        <v>1168</v>
      </c>
      <c r="D805" t="s">
        <v>31</v>
      </c>
      <c r="E805" t="s">
        <v>35</v>
      </c>
      <c r="F805" t="s">
        <v>20</v>
      </c>
      <c r="G805" t="s">
        <v>59</v>
      </c>
      <c r="H805" t="s">
        <v>37</v>
      </c>
      <c r="I805">
        <v>3161</v>
      </c>
      <c r="J805">
        <v>3086</v>
      </c>
      <c r="K805">
        <v>2961</v>
      </c>
      <c r="L805">
        <v>138</v>
      </c>
      <c r="M805">
        <v>56</v>
      </c>
      <c r="N805">
        <v>4</v>
      </c>
      <c r="O805">
        <v>580.16</v>
      </c>
      <c r="P805">
        <v>3592.3</v>
      </c>
      <c r="Q805" s="5">
        <f t="shared" si="96"/>
        <v>0.9594944912508101</v>
      </c>
      <c r="R805" s="5">
        <f t="shared" si="97"/>
        <v>4.6605876393110438E-2</v>
      </c>
      <c r="S805" s="5">
        <f t="shared" si="98"/>
        <v>0.40579710144927539</v>
      </c>
      <c r="T805" s="5">
        <f t="shared" si="99"/>
        <v>7.1428571428571425E-2</v>
      </c>
      <c r="U805" s="5">
        <f t="shared" si="100"/>
        <v>1.3508949679162446E-3</v>
      </c>
      <c r="V805" s="6">
        <f t="shared" si="101"/>
        <v>10.36</v>
      </c>
      <c r="W805" s="7">
        <f t="shared" si="102"/>
        <v>4.2040579710144925</v>
      </c>
      <c r="X805" s="5">
        <f t="shared" si="103"/>
        <v>5.1919125758411484</v>
      </c>
    </row>
    <row r="806" spans="1:24" x14ac:dyDescent="0.35">
      <c r="A806" s="3">
        <v>46158</v>
      </c>
      <c r="B806" t="s">
        <v>1078</v>
      </c>
      <c r="C806" t="s">
        <v>1169</v>
      </c>
      <c r="D806" t="s">
        <v>18</v>
      </c>
      <c r="E806" t="s">
        <v>56</v>
      </c>
      <c r="F806" t="s">
        <v>20</v>
      </c>
      <c r="G806" t="s">
        <v>59</v>
      </c>
      <c r="H806" t="s">
        <v>48</v>
      </c>
      <c r="I806">
        <v>849</v>
      </c>
      <c r="J806">
        <v>685</v>
      </c>
      <c r="K806">
        <v>620</v>
      </c>
      <c r="L806">
        <v>39</v>
      </c>
      <c r="M806">
        <v>17</v>
      </c>
      <c r="N806">
        <v>1</v>
      </c>
      <c r="O806">
        <v>73.16</v>
      </c>
      <c r="P806">
        <v>762.72</v>
      </c>
      <c r="Q806" s="5">
        <f t="shared" si="96"/>
        <v>0.9051094890510949</v>
      </c>
      <c r="R806" s="5">
        <f t="shared" si="97"/>
        <v>6.2903225806451607E-2</v>
      </c>
      <c r="S806" s="5">
        <f t="shared" si="98"/>
        <v>0.4358974358974359</v>
      </c>
      <c r="T806" s="5">
        <f t="shared" si="99"/>
        <v>5.8823529411764705E-2</v>
      </c>
      <c r="U806" s="5">
        <f t="shared" si="100"/>
        <v>1.6129032258064516E-3</v>
      </c>
      <c r="V806" s="6">
        <f t="shared" si="101"/>
        <v>4.303529411764706</v>
      </c>
      <c r="W806" s="7">
        <f t="shared" si="102"/>
        <v>1.8758974358974358</v>
      </c>
      <c r="X806" s="5">
        <f t="shared" si="103"/>
        <v>9.4253690541279393</v>
      </c>
    </row>
    <row r="807" spans="1:24" x14ac:dyDescent="0.35">
      <c r="A807" s="3">
        <v>46158</v>
      </c>
      <c r="B807" t="s">
        <v>1112</v>
      </c>
      <c r="C807" t="s">
        <v>1170</v>
      </c>
      <c r="D807" t="s">
        <v>31</v>
      </c>
      <c r="E807" t="s">
        <v>25</v>
      </c>
      <c r="F807" t="s">
        <v>26</v>
      </c>
      <c r="G807" t="s">
        <v>36</v>
      </c>
      <c r="H807" t="s">
        <v>28</v>
      </c>
      <c r="I807">
        <v>2075</v>
      </c>
      <c r="J807">
        <v>1579</v>
      </c>
      <c r="K807">
        <v>1507</v>
      </c>
      <c r="L807">
        <v>49</v>
      </c>
      <c r="M807">
        <v>24</v>
      </c>
      <c r="N807">
        <v>1</v>
      </c>
      <c r="O807">
        <v>273.54000000000002</v>
      </c>
      <c r="P807">
        <v>1067.6199999999999</v>
      </c>
      <c r="Q807" s="5">
        <f t="shared" si="96"/>
        <v>0.95440151994933498</v>
      </c>
      <c r="R807" s="5">
        <f t="shared" si="97"/>
        <v>3.2514930325149301E-2</v>
      </c>
      <c r="S807" s="5">
        <f t="shared" si="98"/>
        <v>0.48979591836734693</v>
      </c>
      <c r="T807" s="5">
        <f t="shared" si="99"/>
        <v>4.1666666666666664E-2</v>
      </c>
      <c r="U807" s="5">
        <f t="shared" si="100"/>
        <v>6.6357000663570006E-4</v>
      </c>
      <c r="V807" s="6">
        <f t="shared" si="101"/>
        <v>11.397500000000001</v>
      </c>
      <c r="W807" s="7">
        <f t="shared" si="102"/>
        <v>5.5824489795918373</v>
      </c>
      <c r="X807" s="5">
        <f t="shared" si="103"/>
        <v>2.902975798786283</v>
      </c>
    </row>
    <row r="808" spans="1:24" x14ac:dyDescent="0.35">
      <c r="A808" s="3">
        <v>46158</v>
      </c>
      <c r="B808" t="s">
        <v>1056</v>
      </c>
      <c r="C808" t="s">
        <v>1171</v>
      </c>
      <c r="D808" t="s">
        <v>34</v>
      </c>
      <c r="E808" t="s">
        <v>35</v>
      </c>
      <c r="F808" t="s">
        <v>20</v>
      </c>
      <c r="G808" t="s">
        <v>27</v>
      </c>
      <c r="H808" t="s">
        <v>51</v>
      </c>
      <c r="I808">
        <v>1712</v>
      </c>
      <c r="J808">
        <v>1691</v>
      </c>
      <c r="K808">
        <v>1577</v>
      </c>
      <c r="L808">
        <v>106</v>
      </c>
      <c r="M808">
        <v>53</v>
      </c>
      <c r="N808">
        <v>2</v>
      </c>
      <c r="O808">
        <v>130.55000000000001</v>
      </c>
      <c r="P808">
        <v>1504.12</v>
      </c>
      <c r="Q808" s="5">
        <f t="shared" si="96"/>
        <v>0.93258426966292129</v>
      </c>
      <c r="R808" s="5">
        <f t="shared" si="97"/>
        <v>6.7216233354470509E-2</v>
      </c>
      <c r="S808" s="5">
        <f t="shared" si="98"/>
        <v>0.5</v>
      </c>
      <c r="T808" s="5">
        <f t="shared" si="99"/>
        <v>3.7735849056603772E-2</v>
      </c>
      <c r="U808" s="5">
        <f t="shared" si="100"/>
        <v>1.2682308180088776E-3</v>
      </c>
      <c r="V808" s="6">
        <f t="shared" si="101"/>
        <v>2.4632075471698114</v>
      </c>
      <c r="W808" s="7">
        <f t="shared" si="102"/>
        <v>1.2316037735849057</v>
      </c>
      <c r="X808" s="5">
        <f t="shared" si="103"/>
        <v>10.521409421677516</v>
      </c>
    </row>
    <row r="809" spans="1:24" x14ac:dyDescent="0.35">
      <c r="A809" s="3">
        <v>46158</v>
      </c>
      <c r="B809" t="s">
        <v>1129</v>
      </c>
      <c r="C809" t="s">
        <v>1172</v>
      </c>
      <c r="D809" t="s">
        <v>31</v>
      </c>
      <c r="E809" t="s">
        <v>25</v>
      </c>
      <c r="F809" t="s">
        <v>20</v>
      </c>
      <c r="G809" t="s">
        <v>21</v>
      </c>
      <c r="H809" t="s">
        <v>51</v>
      </c>
      <c r="I809">
        <v>1356</v>
      </c>
      <c r="J809">
        <v>1120</v>
      </c>
      <c r="K809">
        <v>1074</v>
      </c>
      <c r="L809">
        <v>28</v>
      </c>
      <c r="M809">
        <v>11</v>
      </c>
      <c r="N809">
        <v>0</v>
      </c>
      <c r="O809">
        <v>228.52</v>
      </c>
      <c r="P809">
        <v>0</v>
      </c>
      <c r="Q809" s="5">
        <f t="shared" si="96"/>
        <v>0.95892857142857146</v>
      </c>
      <c r="R809" s="5">
        <f t="shared" si="97"/>
        <v>2.6070763500931099E-2</v>
      </c>
      <c r="S809" s="5">
        <f t="shared" si="98"/>
        <v>0.39285714285714285</v>
      </c>
      <c r="T809" s="5">
        <f t="shared" si="99"/>
        <v>0</v>
      </c>
      <c r="U809" s="5">
        <f t="shared" si="100"/>
        <v>0</v>
      </c>
      <c r="V809" s="6">
        <f t="shared" si="101"/>
        <v>20.774545454545457</v>
      </c>
      <c r="W809" s="7">
        <f t="shared" si="102"/>
        <v>8.161428571428571</v>
      </c>
      <c r="X809" s="5">
        <f t="shared" si="103"/>
        <v>-1</v>
      </c>
    </row>
    <row r="810" spans="1:24" x14ac:dyDescent="0.35">
      <c r="A810" s="3">
        <v>46158</v>
      </c>
      <c r="B810" t="s">
        <v>1133</v>
      </c>
      <c r="C810" t="s">
        <v>1173</v>
      </c>
      <c r="D810" t="s">
        <v>34</v>
      </c>
      <c r="E810" t="s">
        <v>35</v>
      </c>
      <c r="F810" t="s">
        <v>26</v>
      </c>
      <c r="G810" t="s">
        <v>59</v>
      </c>
      <c r="H810" t="s">
        <v>28</v>
      </c>
      <c r="I810">
        <v>4835</v>
      </c>
      <c r="J810">
        <v>4322</v>
      </c>
      <c r="K810">
        <v>4099</v>
      </c>
      <c r="L810">
        <v>407</v>
      </c>
      <c r="M810">
        <v>201</v>
      </c>
      <c r="N810">
        <v>17</v>
      </c>
      <c r="O810">
        <v>308.41000000000003</v>
      </c>
      <c r="P810">
        <v>28361.02</v>
      </c>
      <c r="Q810" s="5">
        <f t="shared" si="96"/>
        <v>0.94840351689032854</v>
      </c>
      <c r="R810" s="5">
        <f t="shared" si="97"/>
        <v>9.9292510368382533E-2</v>
      </c>
      <c r="S810" s="5">
        <f t="shared" si="98"/>
        <v>0.49385749385749383</v>
      </c>
      <c r="T810" s="5">
        <f t="shared" si="99"/>
        <v>8.45771144278607E-2</v>
      </c>
      <c r="U810" s="5">
        <f t="shared" si="100"/>
        <v>4.1473530129299829E-3</v>
      </c>
      <c r="V810" s="6">
        <f t="shared" si="101"/>
        <v>1.5343781094527364</v>
      </c>
      <c r="W810" s="7">
        <f t="shared" si="102"/>
        <v>0.75776412776412783</v>
      </c>
      <c r="X810" s="5">
        <f t="shared" si="103"/>
        <v>90.958821049901104</v>
      </c>
    </row>
    <row r="811" spans="1:24" x14ac:dyDescent="0.35">
      <c r="A811" s="3">
        <v>46159</v>
      </c>
      <c r="B811" t="s">
        <v>1174</v>
      </c>
      <c r="C811" t="s">
        <v>1175</v>
      </c>
      <c r="D811" t="s">
        <v>31</v>
      </c>
      <c r="E811" t="s">
        <v>56</v>
      </c>
      <c r="F811" t="s">
        <v>20</v>
      </c>
      <c r="G811" t="s">
        <v>41</v>
      </c>
      <c r="H811" t="s">
        <v>28</v>
      </c>
      <c r="I811">
        <v>2855</v>
      </c>
      <c r="J811">
        <v>2786</v>
      </c>
      <c r="K811">
        <v>2696</v>
      </c>
      <c r="L811">
        <v>179</v>
      </c>
      <c r="M811">
        <v>74</v>
      </c>
      <c r="N811">
        <v>5</v>
      </c>
      <c r="O811">
        <v>549.47</v>
      </c>
      <c r="P811">
        <v>6433.17</v>
      </c>
      <c r="Q811" s="5">
        <f t="shared" si="96"/>
        <v>0.96769562096195261</v>
      </c>
      <c r="R811" s="5">
        <f t="shared" si="97"/>
        <v>6.6394658753709201E-2</v>
      </c>
      <c r="S811" s="5">
        <f t="shared" si="98"/>
        <v>0.41340782122905029</v>
      </c>
      <c r="T811" s="5">
        <f t="shared" si="99"/>
        <v>6.7567567567567571E-2</v>
      </c>
      <c r="U811" s="5">
        <f t="shared" si="100"/>
        <v>1.85459940652819E-3</v>
      </c>
      <c r="V811" s="6">
        <f t="shared" si="101"/>
        <v>7.4252702702702704</v>
      </c>
      <c r="W811" s="7">
        <f t="shared" si="102"/>
        <v>3.0696648044692738</v>
      </c>
      <c r="X811" s="5">
        <f t="shared" si="103"/>
        <v>10.707954938395179</v>
      </c>
    </row>
    <row r="812" spans="1:24" x14ac:dyDescent="0.35">
      <c r="A812" s="3">
        <v>46159</v>
      </c>
      <c r="B812" t="s">
        <v>1100</v>
      </c>
      <c r="C812" t="s">
        <v>1176</v>
      </c>
      <c r="D812" t="s">
        <v>40</v>
      </c>
      <c r="E812" t="s">
        <v>56</v>
      </c>
      <c r="F812" t="s">
        <v>20</v>
      </c>
      <c r="G812" t="s">
        <v>41</v>
      </c>
      <c r="H812" t="s">
        <v>28</v>
      </c>
      <c r="I812">
        <v>924</v>
      </c>
      <c r="J812">
        <v>692</v>
      </c>
      <c r="K812">
        <v>640</v>
      </c>
      <c r="L812">
        <v>39</v>
      </c>
      <c r="M812">
        <v>20</v>
      </c>
      <c r="N812">
        <v>1</v>
      </c>
      <c r="O812">
        <v>103.06</v>
      </c>
      <c r="P812">
        <v>1295.49</v>
      </c>
      <c r="Q812" s="5">
        <f t="shared" si="96"/>
        <v>0.92485549132947975</v>
      </c>
      <c r="R812" s="5">
        <f t="shared" si="97"/>
        <v>6.0937499999999999E-2</v>
      </c>
      <c r="S812" s="5">
        <f t="shared" si="98"/>
        <v>0.51282051282051277</v>
      </c>
      <c r="T812" s="5">
        <f t="shared" si="99"/>
        <v>0.05</v>
      </c>
      <c r="U812" s="5">
        <f t="shared" si="100"/>
        <v>1.5625000000000001E-3</v>
      </c>
      <c r="V812" s="6">
        <f t="shared" si="101"/>
        <v>5.1530000000000005</v>
      </c>
      <c r="W812" s="7">
        <f t="shared" si="102"/>
        <v>2.6425641025641027</v>
      </c>
      <c r="X812" s="5">
        <f t="shared" si="103"/>
        <v>11.570250339607997</v>
      </c>
    </row>
    <row r="813" spans="1:24" x14ac:dyDescent="0.35">
      <c r="A813" s="3">
        <v>46159</v>
      </c>
      <c r="B813" t="s">
        <v>1177</v>
      </c>
      <c r="C813" t="s">
        <v>1178</v>
      </c>
      <c r="D813" t="s">
        <v>34</v>
      </c>
      <c r="E813" t="s">
        <v>25</v>
      </c>
      <c r="F813" t="s">
        <v>20</v>
      </c>
      <c r="G813" t="s">
        <v>21</v>
      </c>
      <c r="H813" t="s">
        <v>51</v>
      </c>
      <c r="I813">
        <v>2025</v>
      </c>
      <c r="J813">
        <v>1980</v>
      </c>
      <c r="K813">
        <v>1823</v>
      </c>
      <c r="L813">
        <v>43</v>
      </c>
      <c r="M813">
        <v>19</v>
      </c>
      <c r="N813">
        <v>1</v>
      </c>
      <c r="O813">
        <v>147.09</v>
      </c>
      <c r="P813">
        <v>1011.95</v>
      </c>
      <c r="Q813" s="5">
        <f t="shared" si="96"/>
        <v>0.9207070707070707</v>
      </c>
      <c r="R813" s="5">
        <f t="shared" si="97"/>
        <v>2.3587493143170598E-2</v>
      </c>
      <c r="S813" s="5">
        <f t="shared" si="98"/>
        <v>0.44186046511627908</v>
      </c>
      <c r="T813" s="5">
        <f t="shared" si="99"/>
        <v>5.2631578947368418E-2</v>
      </c>
      <c r="U813" s="5">
        <f t="shared" si="100"/>
        <v>5.4854635216675812E-4</v>
      </c>
      <c r="V813" s="6">
        <f t="shared" si="101"/>
        <v>7.7415789473684216</v>
      </c>
      <c r="W813" s="7">
        <f t="shared" si="102"/>
        <v>3.4206976744186046</v>
      </c>
      <c r="X813" s="5">
        <f t="shared" si="103"/>
        <v>5.8798014820857976</v>
      </c>
    </row>
    <row r="814" spans="1:24" x14ac:dyDescent="0.35">
      <c r="A814" s="3">
        <v>46159</v>
      </c>
      <c r="B814" t="s">
        <v>1150</v>
      </c>
      <c r="C814" t="s">
        <v>1179</v>
      </c>
      <c r="D814" t="s">
        <v>40</v>
      </c>
      <c r="E814" t="s">
        <v>19</v>
      </c>
      <c r="F814" t="s">
        <v>20</v>
      </c>
      <c r="G814" t="s">
        <v>59</v>
      </c>
      <c r="H814" t="s">
        <v>37</v>
      </c>
      <c r="I814">
        <v>1054</v>
      </c>
      <c r="J814">
        <v>1039</v>
      </c>
      <c r="K814">
        <v>961</v>
      </c>
      <c r="L814">
        <v>21</v>
      </c>
      <c r="M814">
        <v>10</v>
      </c>
      <c r="N814">
        <v>0</v>
      </c>
      <c r="O814">
        <v>169.37</v>
      </c>
      <c r="P814">
        <v>0</v>
      </c>
      <c r="Q814" s="5">
        <f t="shared" si="96"/>
        <v>0.92492781520692979</v>
      </c>
      <c r="R814" s="5">
        <f t="shared" si="97"/>
        <v>2.1852237252861603E-2</v>
      </c>
      <c r="S814" s="5">
        <f t="shared" si="98"/>
        <v>0.47619047619047616</v>
      </c>
      <c r="T814" s="5">
        <f t="shared" si="99"/>
        <v>0</v>
      </c>
      <c r="U814" s="5">
        <f t="shared" si="100"/>
        <v>0</v>
      </c>
      <c r="V814" s="6">
        <f t="shared" si="101"/>
        <v>16.937000000000001</v>
      </c>
      <c r="W814" s="7">
        <f t="shared" si="102"/>
        <v>8.0652380952380955</v>
      </c>
      <c r="X814" s="5">
        <f t="shared" si="103"/>
        <v>-1</v>
      </c>
    </row>
    <row r="815" spans="1:24" x14ac:dyDescent="0.35">
      <c r="A815" s="3">
        <v>46159</v>
      </c>
      <c r="B815" t="s">
        <v>1164</v>
      </c>
      <c r="C815" t="s">
        <v>1180</v>
      </c>
      <c r="D815" t="s">
        <v>18</v>
      </c>
      <c r="E815" t="s">
        <v>19</v>
      </c>
      <c r="F815" t="s">
        <v>20</v>
      </c>
      <c r="G815" t="s">
        <v>36</v>
      </c>
      <c r="H815" t="s">
        <v>22</v>
      </c>
      <c r="I815">
        <v>1512</v>
      </c>
      <c r="J815">
        <v>1481</v>
      </c>
      <c r="K815">
        <v>1318</v>
      </c>
      <c r="L815">
        <v>12</v>
      </c>
      <c r="M815">
        <v>5</v>
      </c>
      <c r="N815">
        <v>0</v>
      </c>
      <c r="O815">
        <v>191.59</v>
      </c>
      <c r="P815">
        <v>0</v>
      </c>
      <c r="Q815" s="5">
        <f t="shared" si="96"/>
        <v>0.88993923024983124</v>
      </c>
      <c r="R815" s="5">
        <f t="shared" si="97"/>
        <v>9.104704097116844E-3</v>
      </c>
      <c r="S815" s="5">
        <f t="shared" si="98"/>
        <v>0.41666666666666669</v>
      </c>
      <c r="T815" s="5">
        <f t="shared" si="99"/>
        <v>0</v>
      </c>
      <c r="U815" s="5">
        <f t="shared" si="100"/>
        <v>0</v>
      </c>
      <c r="V815" s="6">
        <f t="shared" si="101"/>
        <v>38.317999999999998</v>
      </c>
      <c r="W815" s="7">
        <f t="shared" si="102"/>
        <v>15.965833333333334</v>
      </c>
      <c r="X815" s="5">
        <f t="shared" si="103"/>
        <v>-1</v>
      </c>
    </row>
    <row r="816" spans="1:24" x14ac:dyDescent="0.35">
      <c r="A816" s="3">
        <v>46159</v>
      </c>
      <c r="B816" t="s">
        <v>1181</v>
      </c>
      <c r="C816" t="s">
        <v>1182</v>
      </c>
      <c r="D816" t="s">
        <v>18</v>
      </c>
      <c r="E816" t="s">
        <v>35</v>
      </c>
      <c r="F816" t="s">
        <v>26</v>
      </c>
      <c r="G816" t="s">
        <v>41</v>
      </c>
      <c r="H816" t="s">
        <v>51</v>
      </c>
      <c r="I816">
        <v>991</v>
      </c>
      <c r="J816">
        <v>897</v>
      </c>
      <c r="K816">
        <v>824</v>
      </c>
      <c r="L816">
        <v>91</v>
      </c>
      <c r="M816">
        <v>59</v>
      </c>
      <c r="N816">
        <v>6</v>
      </c>
      <c r="O816">
        <v>121.58</v>
      </c>
      <c r="P816">
        <v>10317.459999999999</v>
      </c>
      <c r="Q816" s="5">
        <f t="shared" si="96"/>
        <v>0.91861761426978816</v>
      </c>
      <c r="R816" s="5">
        <f t="shared" si="97"/>
        <v>0.1104368932038835</v>
      </c>
      <c r="S816" s="5">
        <f t="shared" si="98"/>
        <v>0.64835164835164838</v>
      </c>
      <c r="T816" s="5">
        <f t="shared" si="99"/>
        <v>0.10169491525423729</v>
      </c>
      <c r="U816" s="5">
        <f t="shared" si="100"/>
        <v>7.2815533980582527E-3</v>
      </c>
      <c r="V816" s="6">
        <f t="shared" si="101"/>
        <v>2.0606779661016947</v>
      </c>
      <c r="W816" s="7">
        <f t="shared" si="102"/>
        <v>1.3360439560439561</v>
      </c>
      <c r="X816" s="5">
        <f t="shared" si="103"/>
        <v>83.861490376706683</v>
      </c>
    </row>
    <row r="817" spans="1:24" x14ac:dyDescent="0.35">
      <c r="A817" s="3">
        <v>46159</v>
      </c>
      <c r="B817" t="s">
        <v>1064</v>
      </c>
      <c r="C817" t="s">
        <v>1183</v>
      </c>
      <c r="D817" t="s">
        <v>31</v>
      </c>
      <c r="E817" t="s">
        <v>56</v>
      </c>
      <c r="F817" t="s">
        <v>20</v>
      </c>
      <c r="G817" t="s">
        <v>21</v>
      </c>
      <c r="H817" t="s">
        <v>51</v>
      </c>
      <c r="I817">
        <v>3891</v>
      </c>
      <c r="J817">
        <v>2812</v>
      </c>
      <c r="K817">
        <v>2674</v>
      </c>
      <c r="L817">
        <v>112</v>
      </c>
      <c r="M817">
        <v>39</v>
      </c>
      <c r="N817">
        <v>3</v>
      </c>
      <c r="O817">
        <v>583.20000000000005</v>
      </c>
      <c r="P817">
        <v>4150.71</v>
      </c>
      <c r="Q817" s="5">
        <f t="shared" si="96"/>
        <v>0.95092460881934571</v>
      </c>
      <c r="R817" s="5">
        <f t="shared" si="97"/>
        <v>4.1884816753926704E-2</v>
      </c>
      <c r="S817" s="5">
        <f t="shared" si="98"/>
        <v>0.3482142857142857</v>
      </c>
      <c r="T817" s="5">
        <f t="shared" si="99"/>
        <v>7.6923076923076927E-2</v>
      </c>
      <c r="U817" s="5">
        <f t="shared" si="100"/>
        <v>1.1219147344801795E-3</v>
      </c>
      <c r="V817" s="6">
        <f t="shared" si="101"/>
        <v>14.953846153846156</v>
      </c>
      <c r="W817" s="7">
        <f t="shared" si="102"/>
        <v>5.2071428571428573</v>
      </c>
      <c r="X817" s="5">
        <f t="shared" si="103"/>
        <v>6.1171296296296296</v>
      </c>
    </row>
    <row r="818" spans="1:24" x14ac:dyDescent="0.35">
      <c r="A818" s="3">
        <v>46159</v>
      </c>
      <c r="B818" t="s">
        <v>1056</v>
      </c>
      <c r="C818" t="s">
        <v>1184</v>
      </c>
      <c r="D818" t="s">
        <v>31</v>
      </c>
      <c r="E818" t="s">
        <v>25</v>
      </c>
      <c r="F818" t="s">
        <v>20</v>
      </c>
      <c r="G818" t="s">
        <v>21</v>
      </c>
      <c r="H818" t="s">
        <v>48</v>
      </c>
      <c r="I818">
        <v>2768</v>
      </c>
      <c r="J818">
        <v>2298</v>
      </c>
      <c r="K818">
        <v>2180</v>
      </c>
      <c r="L818">
        <v>45</v>
      </c>
      <c r="M818">
        <v>20</v>
      </c>
      <c r="N818">
        <v>1</v>
      </c>
      <c r="O818">
        <v>451.11</v>
      </c>
      <c r="P818">
        <v>948.02</v>
      </c>
      <c r="Q818" s="5">
        <f t="shared" si="96"/>
        <v>0.94865100087032206</v>
      </c>
      <c r="R818" s="5">
        <f t="shared" si="97"/>
        <v>2.0642201834862386E-2</v>
      </c>
      <c r="S818" s="5">
        <f t="shared" si="98"/>
        <v>0.44444444444444442</v>
      </c>
      <c r="T818" s="5">
        <f t="shared" si="99"/>
        <v>0.05</v>
      </c>
      <c r="U818" s="5">
        <f t="shared" si="100"/>
        <v>4.5871559633027525E-4</v>
      </c>
      <c r="V818" s="6">
        <f t="shared" si="101"/>
        <v>22.555500000000002</v>
      </c>
      <c r="W818" s="7">
        <f t="shared" si="102"/>
        <v>10.024666666666667</v>
      </c>
      <c r="X818" s="5">
        <f t="shared" si="103"/>
        <v>1.1015273436634079</v>
      </c>
    </row>
    <row r="819" spans="1:24" x14ac:dyDescent="0.35">
      <c r="A819" s="3">
        <v>46159</v>
      </c>
      <c r="B819" t="s">
        <v>1131</v>
      </c>
      <c r="C819" t="s">
        <v>1185</v>
      </c>
      <c r="D819" t="s">
        <v>34</v>
      </c>
      <c r="E819" t="s">
        <v>35</v>
      </c>
      <c r="F819" t="s">
        <v>26</v>
      </c>
      <c r="G819" t="s">
        <v>59</v>
      </c>
      <c r="H819" t="s">
        <v>48</v>
      </c>
      <c r="I819">
        <v>1313</v>
      </c>
      <c r="J819">
        <v>1266</v>
      </c>
      <c r="K819">
        <v>1199</v>
      </c>
      <c r="L819">
        <v>114</v>
      </c>
      <c r="M819">
        <v>69</v>
      </c>
      <c r="N819">
        <v>5</v>
      </c>
      <c r="O819">
        <v>110.55</v>
      </c>
      <c r="P819">
        <v>5832.39</v>
      </c>
      <c r="Q819" s="5">
        <f t="shared" si="96"/>
        <v>0.94707740916271721</v>
      </c>
      <c r="R819" s="5">
        <f t="shared" si="97"/>
        <v>9.5079232693911594E-2</v>
      </c>
      <c r="S819" s="5">
        <f t="shared" si="98"/>
        <v>0.60526315789473684</v>
      </c>
      <c r="T819" s="5">
        <f t="shared" si="99"/>
        <v>7.2463768115942032E-2</v>
      </c>
      <c r="U819" s="5">
        <f t="shared" si="100"/>
        <v>4.1701417848206837E-3</v>
      </c>
      <c r="V819" s="6">
        <f t="shared" si="101"/>
        <v>1.6021739130434782</v>
      </c>
      <c r="W819" s="7">
        <f t="shared" si="102"/>
        <v>0.96973684210526312</v>
      </c>
      <c r="X819" s="5">
        <f t="shared" si="103"/>
        <v>51.757937584803258</v>
      </c>
    </row>
    <row r="820" spans="1:24" x14ac:dyDescent="0.35">
      <c r="A820" s="3">
        <v>46160</v>
      </c>
      <c r="B820" t="s">
        <v>1146</v>
      </c>
      <c r="C820" t="s">
        <v>1186</v>
      </c>
      <c r="D820" t="s">
        <v>18</v>
      </c>
      <c r="E820" t="s">
        <v>25</v>
      </c>
      <c r="F820" t="s">
        <v>20</v>
      </c>
      <c r="G820" t="s">
        <v>59</v>
      </c>
      <c r="H820" t="s">
        <v>51</v>
      </c>
      <c r="I820">
        <v>719</v>
      </c>
      <c r="J820">
        <v>521</v>
      </c>
      <c r="K820">
        <v>471</v>
      </c>
      <c r="L820">
        <v>16</v>
      </c>
      <c r="M820">
        <v>8</v>
      </c>
      <c r="N820">
        <v>0</v>
      </c>
      <c r="O820">
        <v>56.16</v>
      </c>
      <c r="P820">
        <v>0</v>
      </c>
      <c r="Q820" s="5">
        <f t="shared" si="96"/>
        <v>0.90403071017274472</v>
      </c>
      <c r="R820" s="5">
        <f t="shared" si="97"/>
        <v>3.3970276008492568E-2</v>
      </c>
      <c r="S820" s="5">
        <f t="shared" si="98"/>
        <v>0.5</v>
      </c>
      <c r="T820" s="5">
        <f t="shared" si="99"/>
        <v>0</v>
      </c>
      <c r="U820" s="5">
        <f t="shared" si="100"/>
        <v>0</v>
      </c>
      <c r="V820" s="6">
        <f t="shared" si="101"/>
        <v>7.02</v>
      </c>
      <c r="W820" s="7">
        <f t="shared" si="102"/>
        <v>3.51</v>
      </c>
      <c r="X820" s="5">
        <f t="shared" si="103"/>
        <v>-1</v>
      </c>
    </row>
    <row r="821" spans="1:24" x14ac:dyDescent="0.35">
      <c r="A821" s="3">
        <v>46160</v>
      </c>
      <c r="B821" t="s">
        <v>1078</v>
      </c>
      <c r="C821" t="s">
        <v>1187</v>
      </c>
      <c r="D821" t="s">
        <v>40</v>
      </c>
      <c r="E821" t="s">
        <v>25</v>
      </c>
      <c r="F821" t="s">
        <v>20</v>
      </c>
      <c r="G821" t="s">
        <v>41</v>
      </c>
      <c r="H821" t="s">
        <v>51</v>
      </c>
      <c r="I821">
        <v>1929</v>
      </c>
      <c r="J821">
        <v>1690</v>
      </c>
      <c r="K821">
        <v>1558</v>
      </c>
      <c r="L821">
        <v>54</v>
      </c>
      <c r="M821">
        <v>26</v>
      </c>
      <c r="N821">
        <v>1</v>
      </c>
      <c r="O821">
        <v>304.13</v>
      </c>
      <c r="P821">
        <v>879.48</v>
      </c>
      <c r="Q821" s="5">
        <f t="shared" si="96"/>
        <v>0.92189349112426033</v>
      </c>
      <c r="R821" s="5">
        <f t="shared" si="97"/>
        <v>3.4659820282413351E-2</v>
      </c>
      <c r="S821" s="5">
        <f t="shared" si="98"/>
        <v>0.48148148148148145</v>
      </c>
      <c r="T821" s="5">
        <f t="shared" si="99"/>
        <v>3.8461538461538464E-2</v>
      </c>
      <c r="U821" s="5">
        <f t="shared" si="100"/>
        <v>6.4184852374839533E-4</v>
      </c>
      <c r="V821" s="6">
        <f t="shared" si="101"/>
        <v>11.697307692307692</v>
      </c>
      <c r="W821" s="7">
        <f t="shared" si="102"/>
        <v>5.632037037037037</v>
      </c>
      <c r="X821" s="5">
        <f t="shared" si="103"/>
        <v>1.8917896951961333</v>
      </c>
    </row>
    <row r="822" spans="1:24" x14ac:dyDescent="0.35">
      <c r="A822" s="3">
        <v>46160</v>
      </c>
      <c r="B822" t="s">
        <v>1124</v>
      </c>
      <c r="C822" t="s">
        <v>1188</v>
      </c>
      <c r="D822" t="s">
        <v>31</v>
      </c>
      <c r="E822" t="s">
        <v>35</v>
      </c>
      <c r="F822" t="s">
        <v>20</v>
      </c>
      <c r="G822" t="s">
        <v>59</v>
      </c>
      <c r="H822" t="s">
        <v>37</v>
      </c>
      <c r="I822">
        <v>4806</v>
      </c>
      <c r="J822">
        <v>3495</v>
      </c>
      <c r="K822">
        <v>3391</v>
      </c>
      <c r="L822">
        <v>146</v>
      </c>
      <c r="M822">
        <v>55</v>
      </c>
      <c r="N822">
        <v>4</v>
      </c>
      <c r="O822">
        <v>553.4</v>
      </c>
      <c r="P822">
        <v>5806.53</v>
      </c>
      <c r="Q822" s="5">
        <f t="shared" si="96"/>
        <v>0.97024320457796853</v>
      </c>
      <c r="R822" s="5">
        <f t="shared" si="97"/>
        <v>4.3055145974638748E-2</v>
      </c>
      <c r="S822" s="5">
        <f t="shared" si="98"/>
        <v>0.37671232876712329</v>
      </c>
      <c r="T822" s="5">
        <f t="shared" si="99"/>
        <v>7.2727272727272724E-2</v>
      </c>
      <c r="U822" s="5">
        <f t="shared" si="100"/>
        <v>1.1795930404010617E-3</v>
      </c>
      <c r="V822" s="6">
        <f t="shared" si="101"/>
        <v>10.061818181818181</v>
      </c>
      <c r="W822" s="7">
        <f t="shared" si="102"/>
        <v>3.7904109589041095</v>
      </c>
      <c r="X822" s="5">
        <f t="shared" si="103"/>
        <v>9.4924647632815322</v>
      </c>
    </row>
    <row r="823" spans="1:24" x14ac:dyDescent="0.35">
      <c r="A823" s="3">
        <v>46160</v>
      </c>
      <c r="B823" t="s">
        <v>1124</v>
      </c>
      <c r="C823" t="s">
        <v>1189</v>
      </c>
      <c r="D823" t="s">
        <v>40</v>
      </c>
      <c r="E823" t="s">
        <v>56</v>
      </c>
      <c r="F823" t="s">
        <v>26</v>
      </c>
      <c r="G823" t="s">
        <v>36</v>
      </c>
      <c r="H823" t="s">
        <v>37</v>
      </c>
      <c r="I823">
        <v>3461</v>
      </c>
      <c r="J823">
        <v>3325</v>
      </c>
      <c r="K823">
        <v>3039</v>
      </c>
      <c r="L823">
        <v>207</v>
      </c>
      <c r="M823">
        <v>131</v>
      </c>
      <c r="N823">
        <v>8</v>
      </c>
      <c r="O823">
        <v>524.33000000000004</v>
      </c>
      <c r="P823">
        <v>10718.38</v>
      </c>
      <c r="Q823" s="5">
        <f t="shared" si="96"/>
        <v>0.91398496240601501</v>
      </c>
      <c r="R823" s="5">
        <f t="shared" si="97"/>
        <v>6.8114511352418555E-2</v>
      </c>
      <c r="S823" s="5">
        <f t="shared" si="98"/>
        <v>0.63285024154589375</v>
      </c>
      <c r="T823" s="5">
        <f t="shared" si="99"/>
        <v>6.1068702290076333E-2</v>
      </c>
      <c r="U823" s="5">
        <f t="shared" si="100"/>
        <v>2.6324448831852583E-3</v>
      </c>
      <c r="V823" s="6">
        <f t="shared" si="101"/>
        <v>4.0025190839694655</v>
      </c>
      <c r="W823" s="7">
        <f t="shared" si="102"/>
        <v>2.5329951690821257</v>
      </c>
      <c r="X823" s="5">
        <f t="shared" si="103"/>
        <v>19.442049854099515</v>
      </c>
    </row>
    <row r="824" spans="1:24" x14ac:dyDescent="0.35">
      <c r="A824" s="3">
        <v>46160</v>
      </c>
      <c r="B824" t="s">
        <v>1126</v>
      </c>
      <c r="C824" t="s">
        <v>1190</v>
      </c>
      <c r="D824" t="s">
        <v>18</v>
      </c>
      <c r="E824" t="s">
        <v>35</v>
      </c>
      <c r="F824" t="s">
        <v>20</v>
      </c>
      <c r="G824" t="s">
        <v>27</v>
      </c>
      <c r="H824" t="s">
        <v>37</v>
      </c>
      <c r="I824">
        <v>1822</v>
      </c>
      <c r="J824">
        <v>1576</v>
      </c>
      <c r="K824">
        <v>1456</v>
      </c>
      <c r="L824">
        <v>108</v>
      </c>
      <c r="M824">
        <v>60</v>
      </c>
      <c r="N824">
        <v>5</v>
      </c>
      <c r="O824">
        <v>181.57</v>
      </c>
      <c r="P824">
        <v>4660.29</v>
      </c>
      <c r="Q824" s="5">
        <f t="shared" si="96"/>
        <v>0.92385786802030456</v>
      </c>
      <c r="R824" s="5">
        <f t="shared" si="97"/>
        <v>7.4175824175824176E-2</v>
      </c>
      <c r="S824" s="5">
        <f t="shared" si="98"/>
        <v>0.55555555555555558</v>
      </c>
      <c r="T824" s="5">
        <f t="shared" si="99"/>
        <v>8.3333333333333329E-2</v>
      </c>
      <c r="U824" s="5">
        <f t="shared" si="100"/>
        <v>3.434065934065934E-3</v>
      </c>
      <c r="V824" s="6">
        <f t="shared" si="101"/>
        <v>3.0261666666666667</v>
      </c>
      <c r="W824" s="7">
        <f t="shared" si="102"/>
        <v>1.6812037037037035</v>
      </c>
      <c r="X824" s="5">
        <f t="shared" si="103"/>
        <v>24.666629949881592</v>
      </c>
    </row>
    <row r="825" spans="1:24" x14ac:dyDescent="0.35">
      <c r="A825" s="3">
        <v>46160</v>
      </c>
      <c r="B825" t="s">
        <v>1082</v>
      </c>
      <c r="C825" t="s">
        <v>1191</v>
      </c>
      <c r="D825" t="s">
        <v>40</v>
      </c>
      <c r="E825" t="s">
        <v>35</v>
      </c>
      <c r="F825" t="s">
        <v>26</v>
      </c>
      <c r="G825" t="s">
        <v>59</v>
      </c>
      <c r="H825" t="s">
        <v>37</v>
      </c>
      <c r="I825">
        <v>642</v>
      </c>
      <c r="J825">
        <v>516</v>
      </c>
      <c r="K825">
        <v>487</v>
      </c>
      <c r="L825">
        <v>47</v>
      </c>
      <c r="M825">
        <v>30</v>
      </c>
      <c r="N825">
        <v>3</v>
      </c>
      <c r="O825">
        <v>68.38</v>
      </c>
      <c r="P825">
        <v>2681.72</v>
      </c>
      <c r="Q825" s="5">
        <f t="shared" si="96"/>
        <v>0.94379844961240311</v>
      </c>
      <c r="R825" s="5">
        <f t="shared" si="97"/>
        <v>9.6509240246406572E-2</v>
      </c>
      <c r="S825" s="5">
        <f t="shared" si="98"/>
        <v>0.63829787234042556</v>
      </c>
      <c r="T825" s="5">
        <f t="shared" si="99"/>
        <v>0.1</v>
      </c>
      <c r="U825" s="5">
        <f t="shared" si="100"/>
        <v>6.1601642710472282E-3</v>
      </c>
      <c r="V825" s="6">
        <f t="shared" si="101"/>
        <v>2.2793333333333332</v>
      </c>
      <c r="W825" s="7">
        <f t="shared" si="102"/>
        <v>1.4548936170212765</v>
      </c>
      <c r="X825" s="5">
        <f t="shared" si="103"/>
        <v>38.217899970751681</v>
      </c>
    </row>
    <row r="826" spans="1:24" x14ac:dyDescent="0.35">
      <c r="A826" s="3">
        <v>46160</v>
      </c>
      <c r="B826" t="s">
        <v>1086</v>
      </c>
      <c r="C826" t="s">
        <v>1192</v>
      </c>
      <c r="D826" t="s">
        <v>18</v>
      </c>
      <c r="E826" t="s">
        <v>19</v>
      </c>
      <c r="F826" t="s">
        <v>20</v>
      </c>
      <c r="G826" t="s">
        <v>36</v>
      </c>
      <c r="H826" t="s">
        <v>37</v>
      </c>
      <c r="I826">
        <v>1476</v>
      </c>
      <c r="J826">
        <v>1475</v>
      </c>
      <c r="K826">
        <v>1339</v>
      </c>
      <c r="L826">
        <v>4</v>
      </c>
      <c r="M826">
        <v>2</v>
      </c>
      <c r="N826">
        <v>0</v>
      </c>
      <c r="O826">
        <v>210.51</v>
      </c>
      <c r="P826">
        <v>0</v>
      </c>
      <c r="Q826" s="5">
        <f t="shared" si="96"/>
        <v>0.90779661016949154</v>
      </c>
      <c r="R826" s="5">
        <f t="shared" si="97"/>
        <v>2.9873039581777448E-3</v>
      </c>
      <c r="S826" s="5">
        <f t="shared" si="98"/>
        <v>0.5</v>
      </c>
      <c r="T826" s="5">
        <f t="shared" si="99"/>
        <v>0</v>
      </c>
      <c r="U826" s="5">
        <f t="shared" si="100"/>
        <v>0</v>
      </c>
      <c r="V826" s="6">
        <f t="shared" si="101"/>
        <v>105.255</v>
      </c>
      <c r="W826" s="7">
        <f t="shared" si="102"/>
        <v>52.627499999999998</v>
      </c>
      <c r="X826" s="5">
        <f t="shared" si="103"/>
        <v>-1</v>
      </c>
    </row>
    <row r="827" spans="1:24" x14ac:dyDescent="0.35">
      <c r="A827" s="3">
        <v>46160</v>
      </c>
      <c r="B827" t="s">
        <v>1164</v>
      </c>
      <c r="C827" t="s">
        <v>1193</v>
      </c>
      <c r="D827" t="s">
        <v>40</v>
      </c>
      <c r="E827" t="s">
        <v>35</v>
      </c>
      <c r="F827" t="s">
        <v>20</v>
      </c>
      <c r="G827" t="s">
        <v>41</v>
      </c>
      <c r="H827" t="s">
        <v>28</v>
      </c>
      <c r="I827">
        <v>3294</v>
      </c>
      <c r="J827">
        <v>2881</v>
      </c>
      <c r="K827">
        <v>2690</v>
      </c>
      <c r="L827">
        <v>169</v>
      </c>
      <c r="M827">
        <v>71</v>
      </c>
      <c r="N827">
        <v>5</v>
      </c>
      <c r="O827">
        <v>468.4</v>
      </c>
      <c r="P827">
        <v>4457.49</v>
      </c>
      <c r="Q827" s="5">
        <f t="shared" si="96"/>
        <v>0.93370357514751823</v>
      </c>
      <c r="R827" s="5">
        <f t="shared" si="97"/>
        <v>6.2825278810408919E-2</v>
      </c>
      <c r="S827" s="5">
        <f t="shared" si="98"/>
        <v>0.42011834319526625</v>
      </c>
      <c r="T827" s="5">
        <f t="shared" si="99"/>
        <v>7.0422535211267609E-2</v>
      </c>
      <c r="U827" s="5">
        <f t="shared" si="100"/>
        <v>1.8587360594795538E-3</v>
      </c>
      <c r="V827" s="6">
        <f t="shared" si="101"/>
        <v>6.5971830985915494</v>
      </c>
      <c r="W827" s="7">
        <f t="shared" si="102"/>
        <v>2.7715976331360945</v>
      </c>
      <c r="X827" s="5">
        <f t="shared" si="103"/>
        <v>8.5164175918018792</v>
      </c>
    </row>
    <row r="828" spans="1:24" x14ac:dyDescent="0.35">
      <c r="A828" s="3">
        <v>46160</v>
      </c>
      <c r="B828" t="s">
        <v>1096</v>
      </c>
      <c r="C828" t="s">
        <v>1194</v>
      </c>
      <c r="D828" t="s">
        <v>40</v>
      </c>
      <c r="E828" t="s">
        <v>25</v>
      </c>
      <c r="F828" t="s">
        <v>20</v>
      </c>
      <c r="G828" t="s">
        <v>59</v>
      </c>
      <c r="H828" t="s">
        <v>28</v>
      </c>
      <c r="I828">
        <v>2485</v>
      </c>
      <c r="J828">
        <v>1905</v>
      </c>
      <c r="K828">
        <v>1760</v>
      </c>
      <c r="L828">
        <v>48</v>
      </c>
      <c r="M828">
        <v>25</v>
      </c>
      <c r="N828">
        <v>1</v>
      </c>
      <c r="O828">
        <v>293.89999999999998</v>
      </c>
      <c r="P828">
        <v>1228.72</v>
      </c>
      <c r="Q828" s="5">
        <f t="shared" si="96"/>
        <v>0.92388451443569553</v>
      </c>
      <c r="R828" s="5">
        <f t="shared" si="97"/>
        <v>2.7272727272727271E-2</v>
      </c>
      <c r="S828" s="5">
        <f t="shared" si="98"/>
        <v>0.52083333333333337</v>
      </c>
      <c r="T828" s="5">
        <f t="shared" si="99"/>
        <v>0.04</v>
      </c>
      <c r="U828" s="5">
        <f t="shared" si="100"/>
        <v>5.6818181818181815E-4</v>
      </c>
      <c r="V828" s="6">
        <f t="shared" si="101"/>
        <v>11.755999999999998</v>
      </c>
      <c r="W828" s="7">
        <f t="shared" si="102"/>
        <v>6.1229166666666659</v>
      </c>
      <c r="X828" s="5">
        <f t="shared" si="103"/>
        <v>3.180741748894182</v>
      </c>
    </row>
    <row r="829" spans="1:24" x14ac:dyDescent="0.35">
      <c r="A829" s="3">
        <v>46160</v>
      </c>
      <c r="B829" t="s">
        <v>1116</v>
      </c>
      <c r="C829" t="s">
        <v>1195</v>
      </c>
      <c r="D829" t="s">
        <v>18</v>
      </c>
      <c r="E829" t="s">
        <v>35</v>
      </c>
      <c r="F829" t="s">
        <v>26</v>
      </c>
      <c r="G829" t="s">
        <v>59</v>
      </c>
      <c r="H829" t="s">
        <v>28</v>
      </c>
      <c r="I829">
        <v>3708</v>
      </c>
      <c r="J829">
        <v>2748</v>
      </c>
      <c r="K829">
        <v>2471</v>
      </c>
      <c r="L829">
        <v>261</v>
      </c>
      <c r="M829">
        <v>149</v>
      </c>
      <c r="N829">
        <v>14</v>
      </c>
      <c r="O829">
        <v>383.67</v>
      </c>
      <c r="P829">
        <v>21621.84</v>
      </c>
      <c r="Q829" s="5">
        <f t="shared" si="96"/>
        <v>0.89919941775836976</v>
      </c>
      <c r="R829" s="5">
        <f t="shared" si="97"/>
        <v>0.10562525293403481</v>
      </c>
      <c r="S829" s="5">
        <f t="shared" si="98"/>
        <v>0.57088122605363989</v>
      </c>
      <c r="T829" s="5">
        <f t="shared" si="99"/>
        <v>9.3959731543624164E-2</v>
      </c>
      <c r="U829" s="5">
        <f t="shared" si="100"/>
        <v>5.6657223796033997E-3</v>
      </c>
      <c r="V829" s="6">
        <f t="shared" si="101"/>
        <v>2.5749664429530204</v>
      </c>
      <c r="W829" s="7">
        <f t="shared" si="102"/>
        <v>1.47</v>
      </c>
      <c r="X829" s="5">
        <f t="shared" si="103"/>
        <v>55.355305340527018</v>
      </c>
    </row>
    <row r="830" spans="1:24" x14ac:dyDescent="0.35">
      <c r="A830" s="3">
        <v>46161</v>
      </c>
      <c r="B830" t="s">
        <v>1196</v>
      </c>
      <c r="C830" t="s">
        <v>1197</v>
      </c>
      <c r="D830" t="s">
        <v>18</v>
      </c>
      <c r="E830" t="s">
        <v>56</v>
      </c>
      <c r="F830" t="s">
        <v>20</v>
      </c>
      <c r="G830" t="s">
        <v>59</v>
      </c>
      <c r="H830" t="s">
        <v>37</v>
      </c>
      <c r="I830">
        <v>2438</v>
      </c>
      <c r="J830">
        <v>2401</v>
      </c>
      <c r="K830">
        <v>2178</v>
      </c>
      <c r="L830">
        <v>140</v>
      </c>
      <c r="M830">
        <v>70</v>
      </c>
      <c r="N830">
        <v>5</v>
      </c>
      <c r="O830">
        <v>295.07</v>
      </c>
      <c r="P830">
        <v>4068.72</v>
      </c>
      <c r="Q830" s="5">
        <f t="shared" si="96"/>
        <v>0.90712203248646395</v>
      </c>
      <c r="R830" s="5">
        <f t="shared" si="97"/>
        <v>6.4279155188246104E-2</v>
      </c>
      <c r="S830" s="5">
        <f t="shared" si="98"/>
        <v>0.5</v>
      </c>
      <c r="T830" s="5">
        <f t="shared" si="99"/>
        <v>7.1428571428571425E-2</v>
      </c>
      <c r="U830" s="5">
        <f t="shared" si="100"/>
        <v>2.295684113865932E-3</v>
      </c>
      <c r="V830" s="6">
        <f t="shared" si="101"/>
        <v>4.2152857142857139</v>
      </c>
      <c r="W830" s="7">
        <f t="shared" si="102"/>
        <v>2.1076428571428569</v>
      </c>
      <c r="X830" s="5">
        <f t="shared" si="103"/>
        <v>12.788999220523943</v>
      </c>
    </row>
    <row r="831" spans="1:24" x14ac:dyDescent="0.35">
      <c r="A831" s="3">
        <v>46161</v>
      </c>
      <c r="B831" t="s">
        <v>1196</v>
      </c>
      <c r="C831" t="s">
        <v>1198</v>
      </c>
      <c r="D831" t="s">
        <v>18</v>
      </c>
      <c r="E831" t="s">
        <v>19</v>
      </c>
      <c r="F831" t="s">
        <v>26</v>
      </c>
      <c r="G831" t="s">
        <v>21</v>
      </c>
      <c r="H831" t="s">
        <v>22</v>
      </c>
      <c r="I831">
        <v>1375</v>
      </c>
      <c r="J831">
        <v>1316</v>
      </c>
      <c r="K831">
        <v>1173</v>
      </c>
      <c r="L831">
        <v>24</v>
      </c>
      <c r="M831">
        <v>16</v>
      </c>
      <c r="N831">
        <v>0</v>
      </c>
      <c r="O831">
        <v>144.36000000000001</v>
      </c>
      <c r="P831">
        <v>0</v>
      </c>
      <c r="Q831" s="5">
        <f t="shared" si="96"/>
        <v>0.89133738601823709</v>
      </c>
      <c r="R831" s="5">
        <f t="shared" si="97"/>
        <v>2.0460358056265986E-2</v>
      </c>
      <c r="S831" s="5">
        <f t="shared" si="98"/>
        <v>0.66666666666666663</v>
      </c>
      <c r="T831" s="5">
        <f t="shared" si="99"/>
        <v>0</v>
      </c>
      <c r="U831" s="5">
        <f t="shared" si="100"/>
        <v>0</v>
      </c>
      <c r="V831" s="6">
        <f t="shared" si="101"/>
        <v>9.0225000000000009</v>
      </c>
      <c r="W831" s="7">
        <f t="shared" si="102"/>
        <v>6.0150000000000006</v>
      </c>
      <c r="X831" s="5">
        <f t="shared" si="103"/>
        <v>-1</v>
      </c>
    </row>
    <row r="832" spans="1:24" x14ac:dyDescent="0.35">
      <c r="A832" s="3">
        <v>46161</v>
      </c>
      <c r="B832" t="s">
        <v>1199</v>
      </c>
      <c r="C832" t="s">
        <v>1200</v>
      </c>
      <c r="D832" t="s">
        <v>40</v>
      </c>
      <c r="E832" t="s">
        <v>56</v>
      </c>
      <c r="F832" t="s">
        <v>26</v>
      </c>
      <c r="G832" t="s">
        <v>27</v>
      </c>
      <c r="H832" t="s">
        <v>48</v>
      </c>
      <c r="I832">
        <v>2212</v>
      </c>
      <c r="J832">
        <v>1997</v>
      </c>
      <c r="K832">
        <v>1814</v>
      </c>
      <c r="L832">
        <v>166</v>
      </c>
      <c r="M832">
        <v>89</v>
      </c>
      <c r="N832">
        <v>6</v>
      </c>
      <c r="O832">
        <v>344.38</v>
      </c>
      <c r="P832">
        <v>8927.2099999999991</v>
      </c>
      <c r="Q832" s="5">
        <f t="shared" si="96"/>
        <v>0.90836254381572357</v>
      </c>
      <c r="R832" s="5">
        <f t="shared" si="97"/>
        <v>9.1510474090407939E-2</v>
      </c>
      <c r="S832" s="5">
        <f t="shared" si="98"/>
        <v>0.53614457831325302</v>
      </c>
      <c r="T832" s="5">
        <f t="shared" si="99"/>
        <v>6.741573033707865E-2</v>
      </c>
      <c r="U832" s="5">
        <f t="shared" si="100"/>
        <v>3.3076074972436605E-3</v>
      </c>
      <c r="V832" s="6">
        <f t="shared" si="101"/>
        <v>3.8694382022471911</v>
      </c>
      <c r="W832" s="7">
        <f t="shared" si="102"/>
        <v>2.0745783132530122</v>
      </c>
      <c r="X832" s="5">
        <f t="shared" si="103"/>
        <v>24.922556478308845</v>
      </c>
    </row>
    <row r="833" spans="1:24" x14ac:dyDescent="0.35">
      <c r="A833" s="3">
        <v>46162</v>
      </c>
      <c r="B833" t="s">
        <v>1148</v>
      </c>
      <c r="C833" t="s">
        <v>1201</v>
      </c>
      <c r="D833" t="s">
        <v>31</v>
      </c>
      <c r="E833" t="s">
        <v>35</v>
      </c>
      <c r="F833" t="s">
        <v>20</v>
      </c>
      <c r="G833" t="s">
        <v>27</v>
      </c>
      <c r="H833" t="s">
        <v>48</v>
      </c>
      <c r="I833">
        <v>2834</v>
      </c>
      <c r="J833">
        <v>2534</v>
      </c>
      <c r="K833">
        <v>2456</v>
      </c>
      <c r="L833">
        <v>127</v>
      </c>
      <c r="M833">
        <v>62</v>
      </c>
      <c r="N833">
        <v>4</v>
      </c>
      <c r="O833">
        <v>517.80999999999995</v>
      </c>
      <c r="P833">
        <v>3846.26</v>
      </c>
      <c r="Q833" s="5">
        <f t="shared" si="96"/>
        <v>0.96921862667719016</v>
      </c>
      <c r="R833" s="5">
        <f t="shared" si="97"/>
        <v>5.1710097719869709E-2</v>
      </c>
      <c r="S833" s="5">
        <f t="shared" si="98"/>
        <v>0.48818897637795278</v>
      </c>
      <c r="T833" s="5">
        <f t="shared" si="99"/>
        <v>6.4516129032258063E-2</v>
      </c>
      <c r="U833" s="5">
        <f t="shared" si="100"/>
        <v>1.6286644951140066E-3</v>
      </c>
      <c r="V833" s="6">
        <f t="shared" si="101"/>
        <v>8.3517741935483869</v>
      </c>
      <c r="W833" s="7">
        <f t="shared" si="102"/>
        <v>4.0772440944881883</v>
      </c>
      <c r="X833" s="5">
        <f t="shared" si="103"/>
        <v>6.427936888047741</v>
      </c>
    </row>
    <row r="834" spans="1:24" x14ac:dyDescent="0.35">
      <c r="A834" s="3">
        <v>46162</v>
      </c>
      <c r="B834" t="s">
        <v>1202</v>
      </c>
      <c r="C834" t="s">
        <v>1203</v>
      </c>
      <c r="D834" t="s">
        <v>18</v>
      </c>
      <c r="E834" t="s">
        <v>35</v>
      </c>
      <c r="F834" t="s">
        <v>26</v>
      </c>
      <c r="G834" t="s">
        <v>21</v>
      </c>
      <c r="H834" t="s">
        <v>48</v>
      </c>
      <c r="I834">
        <v>4977</v>
      </c>
      <c r="J834">
        <v>4696</v>
      </c>
      <c r="K834">
        <v>4224</v>
      </c>
      <c r="L834">
        <v>426</v>
      </c>
      <c r="M834">
        <v>276</v>
      </c>
      <c r="N834">
        <v>20</v>
      </c>
      <c r="O834">
        <v>542.47</v>
      </c>
      <c r="P834">
        <v>18708.27</v>
      </c>
      <c r="Q834" s="5">
        <f t="shared" si="96"/>
        <v>0.89948892674616698</v>
      </c>
      <c r="R834" s="5">
        <f t="shared" si="97"/>
        <v>0.10085227272727272</v>
      </c>
      <c r="S834" s="5">
        <f t="shared" si="98"/>
        <v>0.647887323943662</v>
      </c>
      <c r="T834" s="5">
        <f t="shared" si="99"/>
        <v>7.2463768115942032E-2</v>
      </c>
      <c r="U834" s="5">
        <f t="shared" si="100"/>
        <v>4.734848484848485E-3</v>
      </c>
      <c r="V834" s="6">
        <f t="shared" si="101"/>
        <v>1.9654710144927536</v>
      </c>
      <c r="W834" s="7">
        <f t="shared" si="102"/>
        <v>1.2734037558685447</v>
      </c>
      <c r="X834" s="5">
        <f t="shared" si="103"/>
        <v>33.487197448706837</v>
      </c>
    </row>
    <row r="835" spans="1:24" x14ac:dyDescent="0.35">
      <c r="A835" s="3">
        <v>46162</v>
      </c>
      <c r="B835" t="s">
        <v>1054</v>
      </c>
      <c r="C835" t="s">
        <v>1204</v>
      </c>
      <c r="D835" t="s">
        <v>34</v>
      </c>
      <c r="E835" t="s">
        <v>35</v>
      </c>
      <c r="F835" t="s">
        <v>20</v>
      </c>
      <c r="G835" t="s">
        <v>59</v>
      </c>
      <c r="H835" t="s">
        <v>37</v>
      </c>
      <c r="I835">
        <v>433</v>
      </c>
      <c r="J835">
        <v>374</v>
      </c>
      <c r="K835">
        <v>355</v>
      </c>
      <c r="L835">
        <v>16</v>
      </c>
      <c r="M835">
        <v>6</v>
      </c>
      <c r="N835">
        <v>1</v>
      </c>
      <c r="O835">
        <v>28.06</v>
      </c>
      <c r="P835">
        <v>876.92</v>
      </c>
      <c r="Q835" s="5">
        <f t="shared" ref="Q835:Q898" si="104">K835/J835</f>
        <v>0.94919786096256686</v>
      </c>
      <c r="R835" s="5">
        <f t="shared" ref="R835:R898" si="105">L835/K835</f>
        <v>4.507042253521127E-2</v>
      </c>
      <c r="S835" s="5">
        <f t="shared" ref="S835:S898" si="106">M835/L835</f>
        <v>0.375</v>
      </c>
      <c r="T835" s="5">
        <f t="shared" ref="T835:T898" si="107">N835/M835</f>
        <v>0.16666666666666666</v>
      </c>
      <c r="U835" s="5">
        <f t="shared" ref="U835:U898" si="108">N835/K835</f>
        <v>2.8169014084507044E-3</v>
      </c>
      <c r="V835" s="6">
        <f t="shared" ref="V835:V898" si="109">O835/M835</f>
        <v>4.6766666666666667</v>
      </c>
      <c r="W835" s="7">
        <f t="shared" ref="W835:W898" si="110">O835/L835</f>
        <v>1.7537499999999999</v>
      </c>
      <c r="X835" s="5">
        <f t="shared" ref="X835:X898" si="111">(P835-O835)/O835</f>
        <v>30.251603706343552</v>
      </c>
    </row>
    <row r="836" spans="1:24" x14ac:dyDescent="0.35">
      <c r="A836" s="3">
        <v>46162</v>
      </c>
      <c r="B836" t="s">
        <v>1126</v>
      </c>
      <c r="C836" t="s">
        <v>1205</v>
      </c>
      <c r="D836" t="s">
        <v>34</v>
      </c>
      <c r="E836" t="s">
        <v>35</v>
      </c>
      <c r="F836" t="s">
        <v>20</v>
      </c>
      <c r="G836" t="s">
        <v>27</v>
      </c>
      <c r="H836" t="s">
        <v>28</v>
      </c>
      <c r="I836">
        <v>571</v>
      </c>
      <c r="J836">
        <v>517</v>
      </c>
      <c r="K836">
        <v>510</v>
      </c>
      <c r="L836">
        <v>27</v>
      </c>
      <c r="M836">
        <v>12</v>
      </c>
      <c r="N836">
        <v>1</v>
      </c>
      <c r="O836">
        <v>48.58</v>
      </c>
      <c r="P836">
        <v>1003.72</v>
      </c>
      <c r="Q836" s="5">
        <f t="shared" si="104"/>
        <v>0.98646034816247585</v>
      </c>
      <c r="R836" s="5">
        <f t="shared" si="105"/>
        <v>5.2941176470588235E-2</v>
      </c>
      <c r="S836" s="5">
        <f t="shared" si="106"/>
        <v>0.44444444444444442</v>
      </c>
      <c r="T836" s="5">
        <f t="shared" si="107"/>
        <v>8.3333333333333329E-2</v>
      </c>
      <c r="U836" s="5">
        <f t="shared" si="108"/>
        <v>1.9607843137254902E-3</v>
      </c>
      <c r="V836" s="6">
        <f t="shared" si="109"/>
        <v>4.0483333333333329</v>
      </c>
      <c r="W836" s="7">
        <f t="shared" si="110"/>
        <v>1.7992592592592591</v>
      </c>
      <c r="X836" s="5">
        <f t="shared" si="111"/>
        <v>19.661177439275423</v>
      </c>
    </row>
    <row r="837" spans="1:24" x14ac:dyDescent="0.35">
      <c r="A837" s="3">
        <v>46162</v>
      </c>
      <c r="B837" t="s">
        <v>1152</v>
      </c>
      <c r="C837" t="s">
        <v>1206</v>
      </c>
      <c r="D837" t="s">
        <v>31</v>
      </c>
      <c r="E837" t="s">
        <v>25</v>
      </c>
      <c r="F837" t="s">
        <v>26</v>
      </c>
      <c r="G837" t="s">
        <v>36</v>
      </c>
      <c r="H837" t="s">
        <v>48</v>
      </c>
      <c r="I837">
        <v>892</v>
      </c>
      <c r="J837">
        <v>795</v>
      </c>
      <c r="K837">
        <v>768</v>
      </c>
      <c r="L837">
        <v>36</v>
      </c>
      <c r="M837">
        <v>17</v>
      </c>
      <c r="N837">
        <v>0</v>
      </c>
      <c r="O837">
        <v>138.35</v>
      </c>
      <c r="P837">
        <v>0</v>
      </c>
      <c r="Q837" s="5">
        <f t="shared" si="104"/>
        <v>0.96603773584905661</v>
      </c>
      <c r="R837" s="5">
        <f t="shared" si="105"/>
        <v>4.6875E-2</v>
      </c>
      <c r="S837" s="5">
        <f t="shared" si="106"/>
        <v>0.47222222222222221</v>
      </c>
      <c r="T837" s="5">
        <f t="shared" si="107"/>
        <v>0</v>
      </c>
      <c r="U837" s="5">
        <f t="shared" si="108"/>
        <v>0</v>
      </c>
      <c r="V837" s="6">
        <f t="shared" si="109"/>
        <v>8.1382352941176475</v>
      </c>
      <c r="W837" s="7">
        <f t="shared" si="110"/>
        <v>3.8430555555555554</v>
      </c>
      <c r="X837" s="5">
        <f t="shared" si="111"/>
        <v>-1</v>
      </c>
    </row>
    <row r="838" spans="1:24" x14ac:dyDescent="0.35">
      <c r="A838" s="3">
        <v>46162</v>
      </c>
      <c r="B838" t="s">
        <v>1096</v>
      </c>
      <c r="C838" t="s">
        <v>1207</v>
      </c>
      <c r="D838" t="s">
        <v>31</v>
      </c>
      <c r="E838" t="s">
        <v>25</v>
      </c>
      <c r="F838" t="s">
        <v>20</v>
      </c>
      <c r="G838" t="s">
        <v>59</v>
      </c>
      <c r="H838" t="s">
        <v>28</v>
      </c>
      <c r="I838">
        <v>1621</v>
      </c>
      <c r="J838">
        <v>1527</v>
      </c>
      <c r="K838">
        <v>1452</v>
      </c>
      <c r="L838">
        <v>29</v>
      </c>
      <c r="M838">
        <v>13</v>
      </c>
      <c r="N838">
        <v>1</v>
      </c>
      <c r="O838">
        <v>315.68</v>
      </c>
      <c r="P838">
        <v>742.66</v>
      </c>
      <c r="Q838" s="5">
        <f t="shared" si="104"/>
        <v>0.9508840864440079</v>
      </c>
      <c r="R838" s="5">
        <f t="shared" si="105"/>
        <v>1.9972451790633609E-2</v>
      </c>
      <c r="S838" s="5">
        <f t="shared" si="106"/>
        <v>0.44827586206896552</v>
      </c>
      <c r="T838" s="5">
        <f t="shared" si="107"/>
        <v>7.6923076923076927E-2</v>
      </c>
      <c r="U838" s="5">
        <f t="shared" si="108"/>
        <v>6.8870523415977963E-4</v>
      </c>
      <c r="V838" s="6">
        <f t="shared" si="109"/>
        <v>24.283076923076923</v>
      </c>
      <c r="W838" s="7">
        <f t="shared" si="110"/>
        <v>10.885517241379311</v>
      </c>
      <c r="X838" s="5">
        <f t="shared" si="111"/>
        <v>1.352572225038013</v>
      </c>
    </row>
    <row r="839" spans="1:24" x14ac:dyDescent="0.35">
      <c r="A839" s="3">
        <v>46162</v>
      </c>
      <c r="B839" t="s">
        <v>1208</v>
      </c>
      <c r="C839" t="s">
        <v>1209</v>
      </c>
      <c r="D839" t="s">
        <v>34</v>
      </c>
      <c r="E839" t="s">
        <v>25</v>
      </c>
      <c r="F839" t="s">
        <v>26</v>
      </c>
      <c r="G839" t="s">
        <v>59</v>
      </c>
      <c r="H839" t="s">
        <v>37</v>
      </c>
      <c r="I839">
        <v>633</v>
      </c>
      <c r="J839">
        <v>544</v>
      </c>
      <c r="K839">
        <v>524</v>
      </c>
      <c r="L839">
        <v>29</v>
      </c>
      <c r="M839">
        <v>17</v>
      </c>
      <c r="N839">
        <v>1</v>
      </c>
      <c r="O839">
        <v>40.39</v>
      </c>
      <c r="P839">
        <v>1516.06</v>
      </c>
      <c r="Q839" s="5">
        <f t="shared" si="104"/>
        <v>0.96323529411764708</v>
      </c>
      <c r="R839" s="5">
        <f t="shared" si="105"/>
        <v>5.5343511450381681E-2</v>
      </c>
      <c r="S839" s="5">
        <f t="shared" si="106"/>
        <v>0.58620689655172409</v>
      </c>
      <c r="T839" s="5">
        <f t="shared" si="107"/>
        <v>5.8823529411764705E-2</v>
      </c>
      <c r="U839" s="5">
        <f t="shared" si="108"/>
        <v>1.9083969465648854E-3</v>
      </c>
      <c r="V839" s="6">
        <f t="shared" si="109"/>
        <v>2.3758823529411766</v>
      </c>
      <c r="W839" s="7">
        <f t="shared" si="110"/>
        <v>1.3927586206896552</v>
      </c>
      <c r="X839" s="5">
        <f t="shared" si="111"/>
        <v>36.53552859618717</v>
      </c>
    </row>
    <row r="840" spans="1:24" x14ac:dyDescent="0.35">
      <c r="A840" s="3">
        <v>46163</v>
      </c>
      <c r="B840" t="s">
        <v>1210</v>
      </c>
      <c r="C840" t="s">
        <v>1211</v>
      </c>
      <c r="D840" t="s">
        <v>18</v>
      </c>
      <c r="E840" t="s">
        <v>19</v>
      </c>
      <c r="F840" t="s">
        <v>20</v>
      </c>
      <c r="G840" t="s">
        <v>41</v>
      </c>
      <c r="H840" t="s">
        <v>37</v>
      </c>
      <c r="I840">
        <v>740</v>
      </c>
      <c r="J840">
        <v>624</v>
      </c>
      <c r="K840">
        <v>563</v>
      </c>
      <c r="L840">
        <v>4</v>
      </c>
      <c r="M840">
        <v>2</v>
      </c>
      <c r="N840">
        <v>0</v>
      </c>
      <c r="O840">
        <v>85.09</v>
      </c>
      <c r="P840">
        <v>0</v>
      </c>
      <c r="Q840" s="5">
        <f t="shared" si="104"/>
        <v>0.90224358974358976</v>
      </c>
      <c r="R840" s="5">
        <f t="shared" si="105"/>
        <v>7.104795737122558E-3</v>
      </c>
      <c r="S840" s="5">
        <f t="shared" si="106"/>
        <v>0.5</v>
      </c>
      <c r="T840" s="5">
        <f t="shared" si="107"/>
        <v>0</v>
      </c>
      <c r="U840" s="5">
        <f t="shared" si="108"/>
        <v>0</v>
      </c>
      <c r="V840" s="6">
        <f t="shared" si="109"/>
        <v>42.545000000000002</v>
      </c>
      <c r="W840" s="7">
        <f t="shared" si="110"/>
        <v>21.272500000000001</v>
      </c>
      <c r="X840" s="5">
        <f t="shared" si="111"/>
        <v>-1</v>
      </c>
    </row>
    <row r="841" spans="1:24" x14ac:dyDescent="0.35">
      <c r="A841" s="3">
        <v>46163</v>
      </c>
      <c r="B841" t="s">
        <v>1118</v>
      </c>
      <c r="C841" t="s">
        <v>1212</v>
      </c>
      <c r="D841" t="s">
        <v>34</v>
      </c>
      <c r="E841" t="s">
        <v>56</v>
      </c>
      <c r="F841" t="s">
        <v>20</v>
      </c>
      <c r="G841" t="s">
        <v>41</v>
      </c>
      <c r="H841" t="s">
        <v>22</v>
      </c>
      <c r="I841">
        <v>971</v>
      </c>
      <c r="J841">
        <v>731</v>
      </c>
      <c r="K841">
        <v>683</v>
      </c>
      <c r="L841">
        <v>35</v>
      </c>
      <c r="M841">
        <v>16</v>
      </c>
      <c r="N841">
        <v>1</v>
      </c>
      <c r="O841">
        <v>56.57</v>
      </c>
      <c r="P841">
        <v>940.35</v>
      </c>
      <c r="Q841" s="5">
        <f t="shared" si="104"/>
        <v>0.93433652530779754</v>
      </c>
      <c r="R841" s="5">
        <f t="shared" si="105"/>
        <v>5.1244509516837483E-2</v>
      </c>
      <c r="S841" s="5">
        <f t="shared" si="106"/>
        <v>0.45714285714285713</v>
      </c>
      <c r="T841" s="5">
        <f t="shared" si="107"/>
        <v>6.25E-2</v>
      </c>
      <c r="U841" s="5">
        <f t="shared" si="108"/>
        <v>1.4641288433382138E-3</v>
      </c>
      <c r="V841" s="6">
        <f t="shared" si="109"/>
        <v>3.535625</v>
      </c>
      <c r="W841" s="7">
        <f t="shared" si="110"/>
        <v>1.6162857142857143</v>
      </c>
      <c r="X841" s="5">
        <f t="shared" si="111"/>
        <v>15.622768251723528</v>
      </c>
    </row>
    <row r="842" spans="1:24" x14ac:dyDescent="0.35">
      <c r="A842" s="3">
        <v>46163</v>
      </c>
      <c r="B842" t="s">
        <v>1177</v>
      </c>
      <c r="C842" t="s">
        <v>1213</v>
      </c>
      <c r="D842" t="s">
        <v>40</v>
      </c>
      <c r="E842" t="s">
        <v>35</v>
      </c>
      <c r="F842" t="s">
        <v>20</v>
      </c>
      <c r="G842" t="s">
        <v>36</v>
      </c>
      <c r="H842" t="s">
        <v>48</v>
      </c>
      <c r="I842">
        <v>4710</v>
      </c>
      <c r="J842">
        <v>4295</v>
      </c>
      <c r="K842">
        <v>4007</v>
      </c>
      <c r="L842">
        <v>343</v>
      </c>
      <c r="M842">
        <v>168</v>
      </c>
      <c r="N842">
        <v>12</v>
      </c>
      <c r="O842">
        <v>570.41</v>
      </c>
      <c r="P842">
        <v>12056.73</v>
      </c>
      <c r="Q842" s="5">
        <f t="shared" si="104"/>
        <v>0.93294528521536668</v>
      </c>
      <c r="R842" s="5">
        <f t="shared" si="105"/>
        <v>8.5600199650611428E-2</v>
      </c>
      <c r="S842" s="5">
        <f t="shared" si="106"/>
        <v>0.48979591836734693</v>
      </c>
      <c r="T842" s="5">
        <f t="shared" si="107"/>
        <v>7.1428571428571425E-2</v>
      </c>
      <c r="U842" s="5">
        <f t="shared" si="108"/>
        <v>2.9947591714499623E-3</v>
      </c>
      <c r="V842" s="6">
        <f t="shared" si="109"/>
        <v>3.3952976190476187</v>
      </c>
      <c r="W842" s="7">
        <f t="shared" si="110"/>
        <v>1.663002915451895</v>
      </c>
      <c r="X842" s="5">
        <f t="shared" si="111"/>
        <v>20.136954120720183</v>
      </c>
    </row>
    <row r="843" spans="1:24" x14ac:dyDescent="0.35">
      <c r="A843" s="3">
        <v>46163</v>
      </c>
      <c r="B843" t="s">
        <v>1214</v>
      </c>
      <c r="C843" t="s">
        <v>1215</v>
      </c>
      <c r="D843" t="s">
        <v>34</v>
      </c>
      <c r="E843" t="s">
        <v>35</v>
      </c>
      <c r="F843" t="s">
        <v>20</v>
      </c>
      <c r="G843" t="s">
        <v>27</v>
      </c>
      <c r="H843" t="s">
        <v>28</v>
      </c>
      <c r="I843">
        <v>4109</v>
      </c>
      <c r="J843">
        <v>3343</v>
      </c>
      <c r="K843">
        <v>3192</v>
      </c>
      <c r="L843">
        <v>232</v>
      </c>
      <c r="M843">
        <v>111</v>
      </c>
      <c r="N843">
        <v>6</v>
      </c>
      <c r="O843">
        <v>316.75</v>
      </c>
      <c r="P843">
        <v>9243.02</v>
      </c>
      <c r="Q843" s="5">
        <f t="shared" si="104"/>
        <v>0.95483099012862693</v>
      </c>
      <c r="R843" s="5">
        <f t="shared" si="105"/>
        <v>7.2681704260651625E-2</v>
      </c>
      <c r="S843" s="5">
        <f t="shared" si="106"/>
        <v>0.47844827586206895</v>
      </c>
      <c r="T843" s="5">
        <f t="shared" si="107"/>
        <v>5.4054054054054057E-2</v>
      </c>
      <c r="U843" s="5">
        <f t="shared" si="108"/>
        <v>1.8796992481203006E-3</v>
      </c>
      <c r="V843" s="6">
        <f t="shared" si="109"/>
        <v>2.8536036036036037</v>
      </c>
      <c r="W843" s="7">
        <f t="shared" si="110"/>
        <v>1.365301724137931</v>
      </c>
      <c r="X843" s="5">
        <f t="shared" si="111"/>
        <v>28.18080505130229</v>
      </c>
    </row>
    <row r="844" spans="1:24" x14ac:dyDescent="0.35">
      <c r="A844" s="3">
        <v>46163</v>
      </c>
      <c r="B844" t="s">
        <v>1058</v>
      </c>
      <c r="C844" t="s">
        <v>1216</v>
      </c>
      <c r="D844" t="s">
        <v>18</v>
      </c>
      <c r="E844" t="s">
        <v>35</v>
      </c>
      <c r="F844" t="s">
        <v>20</v>
      </c>
      <c r="G844" t="s">
        <v>41</v>
      </c>
      <c r="H844" t="s">
        <v>28</v>
      </c>
      <c r="I844">
        <v>4297</v>
      </c>
      <c r="J844">
        <v>3879</v>
      </c>
      <c r="K844">
        <v>3517</v>
      </c>
      <c r="L844">
        <v>294</v>
      </c>
      <c r="M844">
        <v>141</v>
      </c>
      <c r="N844">
        <v>11</v>
      </c>
      <c r="O844">
        <v>488.54</v>
      </c>
      <c r="P844">
        <v>14398.87</v>
      </c>
      <c r="Q844" s="5">
        <f t="shared" si="104"/>
        <v>0.90667697860273266</v>
      </c>
      <c r="R844" s="5">
        <f t="shared" si="105"/>
        <v>8.3593972135342615E-2</v>
      </c>
      <c r="S844" s="5">
        <f t="shared" si="106"/>
        <v>0.47959183673469385</v>
      </c>
      <c r="T844" s="5">
        <f t="shared" si="107"/>
        <v>7.8014184397163122E-2</v>
      </c>
      <c r="U844" s="5">
        <f t="shared" si="108"/>
        <v>3.1276656241114587E-3</v>
      </c>
      <c r="V844" s="6">
        <f t="shared" si="109"/>
        <v>3.464822695035461</v>
      </c>
      <c r="W844" s="7">
        <f t="shared" si="110"/>
        <v>1.6617006802721088</v>
      </c>
      <c r="X844" s="5">
        <f t="shared" si="111"/>
        <v>28.473267286199697</v>
      </c>
    </row>
    <row r="845" spans="1:24" x14ac:dyDescent="0.35">
      <c r="A845" s="3">
        <v>46163</v>
      </c>
      <c r="B845" t="s">
        <v>1116</v>
      </c>
      <c r="C845" t="s">
        <v>1217</v>
      </c>
      <c r="D845" t="s">
        <v>18</v>
      </c>
      <c r="E845" t="s">
        <v>25</v>
      </c>
      <c r="F845" t="s">
        <v>20</v>
      </c>
      <c r="G845" t="s">
        <v>41</v>
      </c>
      <c r="H845" t="s">
        <v>51</v>
      </c>
      <c r="I845">
        <v>1316</v>
      </c>
      <c r="J845">
        <v>1156</v>
      </c>
      <c r="K845">
        <v>1055</v>
      </c>
      <c r="L845">
        <v>38</v>
      </c>
      <c r="M845">
        <v>19</v>
      </c>
      <c r="N845">
        <v>1</v>
      </c>
      <c r="O845">
        <v>120.57</v>
      </c>
      <c r="P845">
        <v>1078.3800000000001</v>
      </c>
      <c r="Q845" s="5">
        <f t="shared" si="104"/>
        <v>0.91262975778546718</v>
      </c>
      <c r="R845" s="5">
        <f t="shared" si="105"/>
        <v>3.6018957345971561E-2</v>
      </c>
      <c r="S845" s="5">
        <f t="shared" si="106"/>
        <v>0.5</v>
      </c>
      <c r="T845" s="5">
        <f t="shared" si="107"/>
        <v>5.2631578947368418E-2</v>
      </c>
      <c r="U845" s="5">
        <f t="shared" si="108"/>
        <v>9.4786729857819908E-4</v>
      </c>
      <c r="V845" s="6">
        <f t="shared" si="109"/>
        <v>6.34578947368421</v>
      </c>
      <c r="W845" s="7">
        <f t="shared" si="110"/>
        <v>3.172894736842105</v>
      </c>
      <c r="X845" s="5">
        <f t="shared" si="111"/>
        <v>7.9440159243592952</v>
      </c>
    </row>
    <row r="846" spans="1:24" x14ac:dyDescent="0.35">
      <c r="A846" s="3">
        <v>46163</v>
      </c>
      <c r="B846" t="s">
        <v>1131</v>
      </c>
      <c r="C846" t="s">
        <v>1218</v>
      </c>
      <c r="D846" t="s">
        <v>18</v>
      </c>
      <c r="E846" t="s">
        <v>56</v>
      </c>
      <c r="F846" t="s">
        <v>26</v>
      </c>
      <c r="G846" t="s">
        <v>27</v>
      </c>
      <c r="H846" t="s">
        <v>22</v>
      </c>
      <c r="I846">
        <v>1562</v>
      </c>
      <c r="J846">
        <v>1194</v>
      </c>
      <c r="K846">
        <v>1080</v>
      </c>
      <c r="L846">
        <v>74</v>
      </c>
      <c r="M846">
        <v>56</v>
      </c>
      <c r="N846">
        <v>3</v>
      </c>
      <c r="O846">
        <v>125.39</v>
      </c>
      <c r="P846">
        <v>2693.76</v>
      </c>
      <c r="Q846" s="5">
        <f t="shared" si="104"/>
        <v>0.90452261306532666</v>
      </c>
      <c r="R846" s="5">
        <f t="shared" si="105"/>
        <v>6.851851851851852E-2</v>
      </c>
      <c r="S846" s="5">
        <f t="shared" si="106"/>
        <v>0.7567567567567568</v>
      </c>
      <c r="T846" s="5">
        <f t="shared" si="107"/>
        <v>5.3571428571428568E-2</v>
      </c>
      <c r="U846" s="5">
        <f t="shared" si="108"/>
        <v>2.7777777777777779E-3</v>
      </c>
      <c r="V846" s="6">
        <f t="shared" si="109"/>
        <v>2.2391071428571427</v>
      </c>
      <c r="W846" s="7">
        <f t="shared" si="110"/>
        <v>1.6944594594594595</v>
      </c>
      <c r="X846" s="5">
        <f t="shared" si="111"/>
        <v>20.483052875029909</v>
      </c>
    </row>
    <row r="847" spans="1:24" x14ac:dyDescent="0.35">
      <c r="A847" s="3">
        <v>46164</v>
      </c>
      <c r="B847" t="s">
        <v>1104</v>
      </c>
      <c r="C847" t="s">
        <v>1219</v>
      </c>
      <c r="D847" t="s">
        <v>34</v>
      </c>
      <c r="E847" t="s">
        <v>35</v>
      </c>
      <c r="F847" t="s">
        <v>20</v>
      </c>
      <c r="G847" t="s">
        <v>59</v>
      </c>
      <c r="H847" t="s">
        <v>28</v>
      </c>
      <c r="I847">
        <v>3096</v>
      </c>
      <c r="J847">
        <v>2791</v>
      </c>
      <c r="K847">
        <v>2577</v>
      </c>
      <c r="L847">
        <v>169</v>
      </c>
      <c r="M847">
        <v>73</v>
      </c>
      <c r="N847">
        <v>5</v>
      </c>
      <c r="O847">
        <v>247.14</v>
      </c>
      <c r="P847">
        <v>3969.64</v>
      </c>
      <c r="Q847" s="5">
        <f t="shared" si="104"/>
        <v>0.92332497312791117</v>
      </c>
      <c r="R847" s="5">
        <f t="shared" si="105"/>
        <v>6.5580131936360114E-2</v>
      </c>
      <c r="S847" s="5">
        <f t="shared" si="106"/>
        <v>0.43195266272189348</v>
      </c>
      <c r="T847" s="5">
        <f t="shared" si="107"/>
        <v>6.8493150684931503E-2</v>
      </c>
      <c r="U847" s="5">
        <f t="shared" si="108"/>
        <v>1.9402405898331393E-3</v>
      </c>
      <c r="V847" s="6">
        <f t="shared" si="109"/>
        <v>3.3854794520547942</v>
      </c>
      <c r="W847" s="7">
        <f t="shared" si="110"/>
        <v>1.4623668639053253</v>
      </c>
      <c r="X847" s="5">
        <f t="shared" si="111"/>
        <v>15.062312859108198</v>
      </c>
    </row>
    <row r="848" spans="1:24" x14ac:dyDescent="0.35">
      <c r="A848" s="3">
        <v>46164</v>
      </c>
      <c r="B848" t="s">
        <v>1220</v>
      </c>
      <c r="C848" t="s">
        <v>1221</v>
      </c>
      <c r="D848" t="s">
        <v>34</v>
      </c>
      <c r="E848" t="s">
        <v>35</v>
      </c>
      <c r="F848" t="s">
        <v>26</v>
      </c>
      <c r="G848" t="s">
        <v>59</v>
      </c>
      <c r="H848" t="s">
        <v>37</v>
      </c>
      <c r="I848">
        <v>1526</v>
      </c>
      <c r="J848">
        <v>1172</v>
      </c>
      <c r="K848">
        <v>1120</v>
      </c>
      <c r="L848">
        <v>119</v>
      </c>
      <c r="M848">
        <v>64</v>
      </c>
      <c r="N848">
        <v>6</v>
      </c>
      <c r="O848">
        <v>109.02</v>
      </c>
      <c r="P848">
        <v>6977.55</v>
      </c>
      <c r="Q848" s="5">
        <f t="shared" si="104"/>
        <v>0.95563139931740615</v>
      </c>
      <c r="R848" s="5">
        <f t="shared" si="105"/>
        <v>0.10625</v>
      </c>
      <c r="S848" s="5">
        <f t="shared" si="106"/>
        <v>0.53781512605042014</v>
      </c>
      <c r="T848" s="5">
        <f t="shared" si="107"/>
        <v>9.375E-2</v>
      </c>
      <c r="U848" s="5">
        <f t="shared" si="108"/>
        <v>5.3571428571428572E-3</v>
      </c>
      <c r="V848" s="6">
        <f t="shared" si="109"/>
        <v>1.7034374999999999</v>
      </c>
      <c r="W848" s="7">
        <f t="shared" si="110"/>
        <v>0.91613445378151259</v>
      </c>
      <c r="X848" s="5">
        <f t="shared" si="111"/>
        <v>63.002476609796368</v>
      </c>
    </row>
    <row r="849" spans="1:24" x14ac:dyDescent="0.35">
      <c r="A849" s="3">
        <v>46164</v>
      </c>
      <c r="B849" t="s">
        <v>1222</v>
      </c>
      <c r="C849" t="s">
        <v>1223</v>
      </c>
      <c r="D849" t="s">
        <v>18</v>
      </c>
      <c r="E849" t="s">
        <v>56</v>
      </c>
      <c r="F849" t="s">
        <v>26</v>
      </c>
      <c r="G849" t="s">
        <v>36</v>
      </c>
      <c r="H849" t="s">
        <v>22</v>
      </c>
      <c r="I849">
        <v>2360</v>
      </c>
      <c r="J849">
        <v>2283</v>
      </c>
      <c r="K849">
        <v>2058</v>
      </c>
      <c r="L849">
        <v>164</v>
      </c>
      <c r="M849">
        <v>105</v>
      </c>
      <c r="N849">
        <v>8</v>
      </c>
      <c r="O849">
        <v>316.14999999999998</v>
      </c>
      <c r="P849">
        <v>11538.81</v>
      </c>
      <c r="Q849" s="5">
        <f t="shared" si="104"/>
        <v>0.90144546649145862</v>
      </c>
      <c r="R849" s="5">
        <f t="shared" si="105"/>
        <v>7.9689018464528666E-2</v>
      </c>
      <c r="S849" s="5">
        <f t="shared" si="106"/>
        <v>0.6402439024390244</v>
      </c>
      <c r="T849" s="5">
        <f t="shared" si="107"/>
        <v>7.6190476190476197E-2</v>
      </c>
      <c r="U849" s="5">
        <f t="shared" si="108"/>
        <v>3.8872691933916422E-3</v>
      </c>
      <c r="V849" s="6">
        <f t="shared" si="109"/>
        <v>3.0109523809523808</v>
      </c>
      <c r="W849" s="7">
        <f t="shared" si="110"/>
        <v>1.9277439024390242</v>
      </c>
      <c r="X849" s="5">
        <f t="shared" si="111"/>
        <v>35.497896568084769</v>
      </c>
    </row>
    <row r="850" spans="1:24" x14ac:dyDescent="0.35">
      <c r="A850" s="3">
        <v>46164</v>
      </c>
      <c r="B850" t="s">
        <v>1112</v>
      </c>
      <c r="C850" t="s">
        <v>1224</v>
      </c>
      <c r="D850" t="s">
        <v>34</v>
      </c>
      <c r="E850" t="s">
        <v>35</v>
      </c>
      <c r="F850" t="s">
        <v>20</v>
      </c>
      <c r="G850" t="s">
        <v>41</v>
      </c>
      <c r="H850" t="s">
        <v>28</v>
      </c>
      <c r="I850">
        <v>1664</v>
      </c>
      <c r="J850">
        <v>1367</v>
      </c>
      <c r="K850">
        <v>1278</v>
      </c>
      <c r="L850">
        <v>81</v>
      </c>
      <c r="M850">
        <v>31</v>
      </c>
      <c r="N850">
        <v>2</v>
      </c>
      <c r="O850">
        <v>111.88</v>
      </c>
      <c r="P850">
        <v>1674.08</v>
      </c>
      <c r="Q850" s="5">
        <f t="shared" si="104"/>
        <v>0.93489392831016827</v>
      </c>
      <c r="R850" s="5">
        <f t="shared" si="105"/>
        <v>6.3380281690140844E-2</v>
      </c>
      <c r="S850" s="5">
        <f t="shared" si="106"/>
        <v>0.38271604938271603</v>
      </c>
      <c r="T850" s="5">
        <f t="shared" si="107"/>
        <v>6.4516129032258063E-2</v>
      </c>
      <c r="U850" s="5">
        <f t="shared" si="108"/>
        <v>1.5649452269170579E-3</v>
      </c>
      <c r="V850" s="6">
        <f t="shared" si="109"/>
        <v>3.609032258064516</v>
      </c>
      <c r="W850" s="7">
        <f t="shared" si="110"/>
        <v>1.3812345679012346</v>
      </c>
      <c r="X850" s="5">
        <f t="shared" si="111"/>
        <v>13.963174830175186</v>
      </c>
    </row>
    <row r="851" spans="1:24" x14ac:dyDescent="0.35">
      <c r="A851" s="3">
        <v>46164</v>
      </c>
      <c r="B851" t="s">
        <v>1084</v>
      </c>
      <c r="C851" t="s">
        <v>1225</v>
      </c>
      <c r="D851" t="s">
        <v>40</v>
      </c>
      <c r="E851" t="s">
        <v>56</v>
      </c>
      <c r="F851" t="s">
        <v>20</v>
      </c>
      <c r="G851" t="s">
        <v>21</v>
      </c>
      <c r="H851" t="s">
        <v>51</v>
      </c>
      <c r="I851">
        <v>1225</v>
      </c>
      <c r="J851">
        <v>1030</v>
      </c>
      <c r="K851">
        <v>977</v>
      </c>
      <c r="L851">
        <v>63</v>
      </c>
      <c r="M851">
        <v>30</v>
      </c>
      <c r="N851">
        <v>1</v>
      </c>
      <c r="O851">
        <v>162.94</v>
      </c>
      <c r="P851">
        <v>680.49</v>
      </c>
      <c r="Q851" s="5">
        <f t="shared" si="104"/>
        <v>0.94854368932038835</v>
      </c>
      <c r="R851" s="5">
        <f t="shared" si="105"/>
        <v>6.4483111566018422E-2</v>
      </c>
      <c r="S851" s="5">
        <f t="shared" si="106"/>
        <v>0.47619047619047616</v>
      </c>
      <c r="T851" s="5">
        <f t="shared" si="107"/>
        <v>3.3333333333333333E-2</v>
      </c>
      <c r="U851" s="5">
        <f t="shared" si="108"/>
        <v>1.0235414534288639E-3</v>
      </c>
      <c r="V851" s="6">
        <f t="shared" si="109"/>
        <v>5.4313333333333329</v>
      </c>
      <c r="W851" s="7">
        <f t="shared" si="110"/>
        <v>2.5863492063492064</v>
      </c>
      <c r="X851" s="5">
        <f t="shared" si="111"/>
        <v>3.1763225727261566</v>
      </c>
    </row>
    <row r="852" spans="1:24" x14ac:dyDescent="0.35">
      <c r="A852" s="3">
        <v>46164</v>
      </c>
      <c r="B852" t="s">
        <v>1226</v>
      </c>
      <c r="C852" t="s">
        <v>1227</v>
      </c>
      <c r="D852" t="s">
        <v>34</v>
      </c>
      <c r="E852" t="s">
        <v>25</v>
      </c>
      <c r="F852" t="s">
        <v>20</v>
      </c>
      <c r="G852" t="s">
        <v>27</v>
      </c>
      <c r="H852" t="s">
        <v>48</v>
      </c>
      <c r="I852">
        <v>2967</v>
      </c>
      <c r="J852">
        <v>2546</v>
      </c>
      <c r="K852">
        <v>2467</v>
      </c>
      <c r="L852">
        <v>100</v>
      </c>
      <c r="M852">
        <v>42</v>
      </c>
      <c r="N852">
        <v>2</v>
      </c>
      <c r="O852">
        <v>235.8</v>
      </c>
      <c r="P852">
        <v>2600.41</v>
      </c>
      <c r="Q852" s="5">
        <f t="shared" si="104"/>
        <v>0.96897093479968577</v>
      </c>
      <c r="R852" s="5">
        <f t="shared" si="105"/>
        <v>4.0535062829347386E-2</v>
      </c>
      <c r="S852" s="5">
        <f t="shared" si="106"/>
        <v>0.42</v>
      </c>
      <c r="T852" s="5">
        <f t="shared" si="107"/>
        <v>4.7619047619047616E-2</v>
      </c>
      <c r="U852" s="5">
        <f t="shared" si="108"/>
        <v>8.107012565869477E-4</v>
      </c>
      <c r="V852" s="6">
        <f t="shared" si="109"/>
        <v>5.6142857142857148</v>
      </c>
      <c r="W852" s="7">
        <f t="shared" si="110"/>
        <v>2.3580000000000001</v>
      </c>
      <c r="X852" s="5">
        <f t="shared" si="111"/>
        <v>10.028032230703985</v>
      </c>
    </row>
    <row r="853" spans="1:24" x14ac:dyDescent="0.35">
      <c r="A853" s="3">
        <v>46164</v>
      </c>
      <c r="B853" t="s">
        <v>1152</v>
      </c>
      <c r="C853" t="s">
        <v>1228</v>
      </c>
      <c r="D853" t="s">
        <v>34</v>
      </c>
      <c r="E853" t="s">
        <v>56</v>
      </c>
      <c r="F853" t="s">
        <v>26</v>
      </c>
      <c r="G853" t="s">
        <v>36</v>
      </c>
      <c r="H853" t="s">
        <v>37</v>
      </c>
      <c r="I853">
        <v>1923</v>
      </c>
      <c r="J853">
        <v>1727</v>
      </c>
      <c r="K853">
        <v>1652</v>
      </c>
      <c r="L853">
        <v>130</v>
      </c>
      <c r="M853">
        <v>87</v>
      </c>
      <c r="N853">
        <v>5</v>
      </c>
      <c r="O853">
        <v>120.81</v>
      </c>
      <c r="P853">
        <v>7224.56</v>
      </c>
      <c r="Q853" s="5">
        <f t="shared" si="104"/>
        <v>0.95657209033005208</v>
      </c>
      <c r="R853" s="5">
        <f t="shared" si="105"/>
        <v>7.8692493946731237E-2</v>
      </c>
      <c r="S853" s="5">
        <f t="shared" si="106"/>
        <v>0.66923076923076918</v>
      </c>
      <c r="T853" s="5">
        <f t="shared" si="107"/>
        <v>5.7471264367816091E-2</v>
      </c>
      <c r="U853" s="5">
        <f t="shared" si="108"/>
        <v>3.0266343825665859E-3</v>
      </c>
      <c r="V853" s="6">
        <f t="shared" si="109"/>
        <v>1.3886206896551725</v>
      </c>
      <c r="W853" s="7">
        <f t="shared" si="110"/>
        <v>0.92930769230769228</v>
      </c>
      <c r="X853" s="5">
        <f t="shared" si="111"/>
        <v>58.801009850177962</v>
      </c>
    </row>
    <row r="854" spans="1:24" x14ac:dyDescent="0.35">
      <c r="A854" s="3">
        <v>46164</v>
      </c>
      <c r="B854" t="s">
        <v>1164</v>
      </c>
      <c r="C854" t="s">
        <v>1229</v>
      </c>
      <c r="D854" t="s">
        <v>18</v>
      </c>
      <c r="E854" t="s">
        <v>56</v>
      </c>
      <c r="F854" t="s">
        <v>20</v>
      </c>
      <c r="G854" t="s">
        <v>21</v>
      </c>
      <c r="H854" t="s">
        <v>48</v>
      </c>
      <c r="I854">
        <v>1263</v>
      </c>
      <c r="J854">
        <v>1134</v>
      </c>
      <c r="K854">
        <v>1034</v>
      </c>
      <c r="L854">
        <v>42</v>
      </c>
      <c r="M854">
        <v>21</v>
      </c>
      <c r="N854">
        <v>1</v>
      </c>
      <c r="O854">
        <v>135.21</v>
      </c>
      <c r="P854">
        <v>1254.44</v>
      </c>
      <c r="Q854" s="5">
        <f t="shared" si="104"/>
        <v>0.91181657848324515</v>
      </c>
      <c r="R854" s="5">
        <f t="shared" si="105"/>
        <v>4.0618955512572531E-2</v>
      </c>
      <c r="S854" s="5">
        <f t="shared" si="106"/>
        <v>0.5</v>
      </c>
      <c r="T854" s="5">
        <f t="shared" si="107"/>
        <v>4.7619047619047616E-2</v>
      </c>
      <c r="U854" s="5">
        <f t="shared" si="108"/>
        <v>9.6711798839458415E-4</v>
      </c>
      <c r="V854" s="6">
        <f t="shared" si="109"/>
        <v>6.4385714285714286</v>
      </c>
      <c r="W854" s="7">
        <f t="shared" si="110"/>
        <v>3.2192857142857143</v>
      </c>
      <c r="X854" s="5">
        <f t="shared" si="111"/>
        <v>8.2777161452555283</v>
      </c>
    </row>
    <row r="855" spans="1:24" x14ac:dyDescent="0.35">
      <c r="A855" s="3">
        <v>46164</v>
      </c>
      <c r="B855" t="s">
        <v>1064</v>
      </c>
      <c r="C855" t="s">
        <v>1230</v>
      </c>
      <c r="D855" t="s">
        <v>31</v>
      </c>
      <c r="E855" t="s">
        <v>35</v>
      </c>
      <c r="F855" t="s">
        <v>20</v>
      </c>
      <c r="G855" t="s">
        <v>21</v>
      </c>
      <c r="H855" t="s">
        <v>28</v>
      </c>
      <c r="I855">
        <v>4694</v>
      </c>
      <c r="J855">
        <v>3487</v>
      </c>
      <c r="K855">
        <v>3320</v>
      </c>
      <c r="L855">
        <v>218</v>
      </c>
      <c r="M855">
        <v>84</v>
      </c>
      <c r="N855">
        <v>5</v>
      </c>
      <c r="O855">
        <v>624.55999999999995</v>
      </c>
      <c r="P855">
        <v>4118.08</v>
      </c>
      <c r="Q855" s="5">
        <f t="shared" si="104"/>
        <v>0.95210782907943792</v>
      </c>
      <c r="R855" s="5">
        <f t="shared" si="105"/>
        <v>6.5662650602409639E-2</v>
      </c>
      <c r="S855" s="5">
        <f t="shared" si="106"/>
        <v>0.38532110091743121</v>
      </c>
      <c r="T855" s="5">
        <f t="shared" si="107"/>
        <v>5.9523809523809521E-2</v>
      </c>
      <c r="U855" s="5">
        <f t="shared" si="108"/>
        <v>1.5060240963855422E-3</v>
      </c>
      <c r="V855" s="6">
        <f t="shared" si="109"/>
        <v>7.4352380952380948</v>
      </c>
      <c r="W855" s="7">
        <f t="shared" si="110"/>
        <v>2.8649541284403668</v>
      </c>
      <c r="X855" s="5">
        <f t="shared" si="111"/>
        <v>5.5935698731907264</v>
      </c>
    </row>
    <row r="856" spans="1:24" x14ac:dyDescent="0.35">
      <c r="A856" s="3">
        <v>46164</v>
      </c>
      <c r="B856" t="s">
        <v>1231</v>
      </c>
      <c r="C856" t="s">
        <v>1232</v>
      </c>
      <c r="D856" t="s">
        <v>34</v>
      </c>
      <c r="E856" t="s">
        <v>56</v>
      </c>
      <c r="F856" t="s">
        <v>20</v>
      </c>
      <c r="G856" t="s">
        <v>36</v>
      </c>
      <c r="H856" t="s">
        <v>37</v>
      </c>
      <c r="I856">
        <v>4175</v>
      </c>
      <c r="J856">
        <v>3739</v>
      </c>
      <c r="K856">
        <v>3585</v>
      </c>
      <c r="L856">
        <v>143</v>
      </c>
      <c r="M856">
        <v>57</v>
      </c>
      <c r="N856">
        <v>3</v>
      </c>
      <c r="O856">
        <v>344.03</v>
      </c>
      <c r="P856">
        <v>2090.62</v>
      </c>
      <c r="Q856" s="5">
        <f t="shared" si="104"/>
        <v>0.95881251671569934</v>
      </c>
      <c r="R856" s="5">
        <f t="shared" si="105"/>
        <v>3.9888423988842396E-2</v>
      </c>
      <c r="S856" s="5">
        <f t="shared" si="106"/>
        <v>0.39860139860139859</v>
      </c>
      <c r="T856" s="5">
        <f t="shared" si="107"/>
        <v>5.2631578947368418E-2</v>
      </c>
      <c r="U856" s="5">
        <f t="shared" si="108"/>
        <v>8.3682008368200832E-4</v>
      </c>
      <c r="V856" s="6">
        <f t="shared" si="109"/>
        <v>6.0356140350877192</v>
      </c>
      <c r="W856" s="7">
        <f t="shared" si="110"/>
        <v>2.4058041958041958</v>
      </c>
      <c r="X856" s="5">
        <f t="shared" si="111"/>
        <v>5.0768537627532488</v>
      </c>
    </row>
    <row r="857" spans="1:24" x14ac:dyDescent="0.35">
      <c r="A857" s="3">
        <v>46165</v>
      </c>
      <c r="B857" t="s">
        <v>1202</v>
      </c>
      <c r="C857" t="s">
        <v>1233</v>
      </c>
      <c r="D857" t="s">
        <v>34</v>
      </c>
      <c r="E857" t="s">
        <v>19</v>
      </c>
      <c r="F857" t="s">
        <v>20</v>
      </c>
      <c r="G857" t="s">
        <v>27</v>
      </c>
      <c r="H857" t="s">
        <v>37</v>
      </c>
      <c r="I857">
        <v>4251</v>
      </c>
      <c r="J857">
        <v>4076</v>
      </c>
      <c r="K857">
        <v>3928</v>
      </c>
      <c r="L857">
        <v>65</v>
      </c>
      <c r="M857">
        <v>31</v>
      </c>
      <c r="N857">
        <v>0</v>
      </c>
      <c r="O857">
        <v>382.6</v>
      </c>
      <c r="P857">
        <v>0</v>
      </c>
      <c r="Q857" s="5">
        <f t="shared" si="104"/>
        <v>0.96368989205103039</v>
      </c>
      <c r="R857" s="5">
        <f t="shared" si="105"/>
        <v>1.6547861507128309E-2</v>
      </c>
      <c r="S857" s="5">
        <f t="shared" si="106"/>
        <v>0.47692307692307695</v>
      </c>
      <c r="T857" s="5">
        <f t="shared" si="107"/>
        <v>0</v>
      </c>
      <c r="U857" s="5">
        <f t="shared" si="108"/>
        <v>0</v>
      </c>
      <c r="V857" s="6">
        <f t="shared" si="109"/>
        <v>12.341935483870968</v>
      </c>
      <c r="W857" s="7">
        <f t="shared" si="110"/>
        <v>5.8861538461538467</v>
      </c>
      <c r="X857" s="5">
        <f t="shared" si="111"/>
        <v>-1</v>
      </c>
    </row>
    <row r="858" spans="1:24" x14ac:dyDescent="0.35">
      <c r="A858" s="3">
        <v>46165</v>
      </c>
      <c r="B858" t="s">
        <v>1078</v>
      </c>
      <c r="C858" t="s">
        <v>1234</v>
      </c>
      <c r="D858" t="s">
        <v>34</v>
      </c>
      <c r="E858" t="s">
        <v>25</v>
      </c>
      <c r="F858" t="s">
        <v>26</v>
      </c>
      <c r="G858" t="s">
        <v>59</v>
      </c>
      <c r="H858" t="s">
        <v>28</v>
      </c>
      <c r="I858">
        <v>4137</v>
      </c>
      <c r="J858">
        <v>3464</v>
      </c>
      <c r="K858">
        <v>3302</v>
      </c>
      <c r="L858">
        <v>133</v>
      </c>
      <c r="M858">
        <v>69</v>
      </c>
      <c r="N858">
        <v>4</v>
      </c>
      <c r="O858">
        <v>290.38</v>
      </c>
      <c r="P858">
        <v>4411.3500000000004</v>
      </c>
      <c r="Q858" s="5">
        <f t="shared" si="104"/>
        <v>0.95323325635103928</v>
      </c>
      <c r="R858" s="5">
        <f t="shared" si="105"/>
        <v>4.0278619018776496E-2</v>
      </c>
      <c r="S858" s="5">
        <f t="shared" si="106"/>
        <v>0.51879699248120303</v>
      </c>
      <c r="T858" s="5">
        <f t="shared" si="107"/>
        <v>5.7971014492753624E-2</v>
      </c>
      <c r="U858" s="5">
        <f t="shared" si="108"/>
        <v>1.2113870381586917E-3</v>
      </c>
      <c r="V858" s="6">
        <f t="shared" si="109"/>
        <v>4.2084057971014488</v>
      </c>
      <c r="W858" s="7">
        <f t="shared" si="110"/>
        <v>2.1833082706766915</v>
      </c>
      <c r="X858" s="5">
        <f t="shared" si="111"/>
        <v>14.191645430126043</v>
      </c>
    </row>
    <row r="859" spans="1:24" x14ac:dyDescent="0.35">
      <c r="A859" s="3">
        <v>46165</v>
      </c>
      <c r="B859" t="s">
        <v>1112</v>
      </c>
      <c r="C859" t="s">
        <v>1235</v>
      </c>
      <c r="D859" t="s">
        <v>40</v>
      </c>
      <c r="E859" t="s">
        <v>25</v>
      </c>
      <c r="F859" t="s">
        <v>20</v>
      </c>
      <c r="G859" t="s">
        <v>41</v>
      </c>
      <c r="H859" t="s">
        <v>48</v>
      </c>
      <c r="I859">
        <v>3181</v>
      </c>
      <c r="J859">
        <v>2886</v>
      </c>
      <c r="K859">
        <v>2678</v>
      </c>
      <c r="L859">
        <v>102</v>
      </c>
      <c r="M859">
        <v>50</v>
      </c>
      <c r="N859">
        <v>2</v>
      </c>
      <c r="O859">
        <v>506.5</v>
      </c>
      <c r="P859">
        <v>1724.46</v>
      </c>
      <c r="Q859" s="5">
        <f t="shared" si="104"/>
        <v>0.92792792792792789</v>
      </c>
      <c r="R859" s="5">
        <f t="shared" si="105"/>
        <v>3.8088125466766244E-2</v>
      </c>
      <c r="S859" s="5">
        <f t="shared" si="106"/>
        <v>0.49019607843137253</v>
      </c>
      <c r="T859" s="5">
        <f t="shared" si="107"/>
        <v>0.04</v>
      </c>
      <c r="U859" s="5">
        <f t="shared" si="108"/>
        <v>7.468259895444362E-4</v>
      </c>
      <c r="V859" s="6">
        <f t="shared" si="109"/>
        <v>10.130000000000001</v>
      </c>
      <c r="W859" s="7">
        <f t="shared" si="110"/>
        <v>4.965686274509804</v>
      </c>
      <c r="X859" s="5">
        <f t="shared" si="111"/>
        <v>2.4046594274432378</v>
      </c>
    </row>
    <row r="860" spans="1:24" x14ac:dyDescent="0.35">
      <c r="A860" s="3">
        <v>46165</v>
      </c>
      <c r="B860" t="s">
        <v>1236</v>
      </c>
      <c r="C860" t="s">
        <v>1237</v>
      </c>
      <c r="D860" t="s">
        <v>34</v>
      </c>
      <c r="E860" t="s">
        <v>19</v>
      </c>
      <c r="F860" t="s">
        <v>20</v>
      </c>
      <c r="G860" t="s">
        <v>27</v>
      </c>
      <c r="H860" t="s">
        <v>22</v>
      </c>
      <c r="I860">
        <v>3580</v>
      </c>
      <c r="J860">
        <v>3327</v>
      </c>
      <c r="K860">
        <v>3133</v>
      </c>
      <c r="L860">
        <v>93</v>
      </c>
      <c r="M860">
        <v>43</v>
      </c>
      <c r="N860">
        <v>2</v>
      </c>
      <c r="O860">
        <v>228.9</v>
      </c>
      <c r="P860">
        <v>1236.94</v>
      </c>
      <c r="Q860" s="5">
        <f t="shared" si="104"/>
        <v>0.94168920949804624</v>
      </c>
      <c r="R860" s="5">
        <f t="shared" si="105"/>
        <v>2.9684008937120969E-2</v>
      </c>
      <c r="S860" s="5">
        <f t="shared" si="106"/>
        <v>0.46236559139784944</v>
      </c>
      <c r="T860" s="5">
        <f t="shared" si="107"/>
        <v>4.6511627906976744E-2</v>
      </c>
      <c r="U860" s="5">
        <f t="shared" si="108"/>
        <v>6.3836578359399937E-4</v>
      </c>
      <c r="V860" s="6">
        <f t="shared" si="109"/>
        <v>5.3232558139534882</v>
      </c>
      <c r="W860" s="7">
        <f t="shared" si="110"/>
        <v>2.4612903225806453</v>
      </c>
      <c r="X860" s="5">
        <f t="shared" si="111"/>
        <v>4.4038444735692446</v>
      </c>
    </row>
    <row r="861" spans="1:24" x14ac:dyDescent="0.35">
      <c r="A861" s="3">
        <v>46165</v>
      </c>
      <c r="B861" t="s">
        <v>1152</v>
      </c>
      <c r="C861" t="s">
        <v>1238</v>
      </c>
      <c r="D861" t="s">
        <v>34</v>
      </c>
      <c r="E861" t="s">
        <v>35</v>
      </c>
      <c r="F861" t="s">
        <v>20</v>
      </c>
      <c r="G861" t="s">
        <v>21</v>
      </c>
      <c r="H861" t="s">
        <v>37</v>
      </c>
      <c r="I861">
        <v>2387</v>
      </c>
      <c r="J861">
        <v>1719</v>
      </c>
      <c r="K861">
        <v>1601</v>
      </c>
      <c r="L861">
        <v>112</v>
      </c>
      <c r="M861">
        <v>46</v>
      </c>
      <c r="N861">
        <v>3</v>
      </c>
      <c r="O861">
        <v>143.86000000000001</v>
      </c>
      <c r="P861">
        <v>3253.71</v>
      </c>
      <c r="Q861" s="5">
        <f t="shared" si="104"/>
        <v>0.93135543920884234</v>
      </c>
      <c r="R861" s="5">
        <f t="shared" si="105"/>
        <v>6.9956277326670827E-2</v>
      </c>
      <c r="S861" s="5">
        <f t="shared" si="106"/>
        <v>0.4107142857142857</v>
      </c>
      <c r="T861" s="5">
        <f t="shared" si="107"/>
        <v>6.5217391304347824E-2</v>
      </c>
      <c r="U861" s="5">
        <f t="shared" si="108"/>
        <v>1.8738288569643974E-3</v>
      </c>
      <c r="V861" s="6">
        <f t="shared" si="109"/>
        <v>3.1273913043478263</v>
      </c>
      <c r="W861" s="7">
        <f t="shared" si="110"/>
        <v>1.2844642857142858</v>
      </c>
      <c r="X861" s="5">
        <f t="shared" si="111"/>
        <v>21.617197275128593</v>
      </c>
    </row>
    <row r="862" spans="1:24" x14ac:dyDescent="0.35">
      <c r="A862" s="3">
        <v>46165</v>
      </c>
      <c r="B862" t="s">
        <v>1072</v>
      </c>
      <c r="C862" t="s">
        <v>1239</v>
      </c>
      <c r="D862" t="s">
        <v>34</v>
      </c>
      <c r="E862" t="s">
        <v>56</v>
      </c>
      <c r="F862" t="s">
        <v>20</v>
      </c>
      <c r="G862" t="s">
        <v>27</v>
      </c>
      <c r="H862" t="s">
        <v>48</v>
      </c>
      <c r="I862">
        <v>4317</v>
      </c>
      <c r="J862">
        <v>4254</v>
      </c>
      <c r="K862">
        <v>3972</v>
      </c>
      <c r="L862">
        <v>204</v>
      </c>
      <c r="M862">
        <v>104</v>
      </c>
      <c r="N862">
        <v>7</v>
      </c>
      <c r="O862">
        <v>315.33</v>
      </c>
      <c r="P862">
        <v>8797.2999999999993</v>
      </c>
      <c r="Q862" s="5">
        <f t="shared" si="104"/>
        <v>0.93370944992947813</v>
      </c>
      <c r="R862" s="5">
        <f t="shared" si="105"/>
        <v>5.1359516616314202E-2</v>
      </c>
      <c r="S862" s="5">
        <f t="shared" si="106"/>
        <v>0.50980392156862742</v>
      </c>
      <c r="T862" s="5">
        <f t="shared" si="107"/>
        <v>6.7307692307692304E-2</v>
      </c>
      <c r="U862" s="5">
        <f t="shared" si="108"/>
        <v>1.7623363544813696E-3</v>
      </c>
      <c r="V862" s="6">
        <f t="shared" si="109"/>
        <v>3.0320192307692304</v>
      </c>
      <c r="W862" s="7">
        <f t="shared" si="110"/>
        <v>1.545735294117647</v>
      </c>
      <c r="X862" s="5">
        <f t="shared" si="111"/>
        <v>26.898709288681697</v>
      </c>
    </row>
    <row r="863" spans="1:24" x14ac:dyDescent="0.35">
      <c r="A863" s="3">
        <v>46165</v>
      </c>
      <c r="B863" t="s">
        <v>1129</v>
      </c>
      <c r="C863" t="s">
        <v>1240</v>
      </c>
      <c r="D863" t="s">
        <v>18</v>
      </c>
      <c r="E863" t="s">
        <v>56</v>
      </c>
      <c r="F863" t="s">
        <v>20</v>
      </c>
      <c r="G863" t="s">
        <v>36</v>
      </c>
      <c r="H863" t="s">
        <v>28</v>
      </c>
      <c r="I863">
        <v>689</v>
      </c>
      <c r="J863">
        <v>661</v>
      </c>
      <c r="K863">
        <v>605</v>
      </c>
      <c r="L863">
        <v>31</v>
      </c>
      <c r="M863">
        <v>14</v>
      </c>
      <c r="N863">
        <v>1</v>
      </c>
      <c r="O863">
        <v>78.599999999999994</v>
      </c>
      <c r="P863">
        <v>710.77</v>
      </c>
      <c r="Q863" s="5">
        <f t="shared" si="104"/>
        <v>0.91527987897125562</v>
      </c>
      <c r="R863" s="5">
        <f t="shared" si="105"/>
        <v>5.1239669421487603E-2</v>
      </c>
      <c r="S863" s="5">
        <f t="shared" si="106"/>
        <v>0.45161290322580644</v>
      </c>
      <c r="T863" s="5">
        <f t="shared" si="107"/>
        <v>7.1428571428571425E-2</v>
      </c>
      <c r="U863" s="5">
        <f t="shared" si="108"/>
        <v>1.652892561983471E-3</v>
      </c>
      <c r="V863" s="6">
        <f t="shared" si="109"/>
        <v>5.6142857142857139</v>
      </c>
      <c r="W863" s="7">
        <f t="shared" si="110"/>
        <v>2.5354838709677416</v>
      </c>
      <c r="X863" s="5">
        <f t="shared" si="111"/>
        <v>8.042875318066157</v>
      </c>
    </row>
    <row r="864" spans="1:24" x14ac:dyDescent="0.35">
      <c r="A864" s="3">
        <v>46165</v>
      </c>
      <c r="B864" t="s">
        <v>1241</v>
      </c>
      <c r="C864" t="s">
        <v>1242</v>
      </c>
      <c r="D864" t="s">
        <v>18</v>
      </c>
      <c r="E864" t="s">
        <v>56</v>
      </c>
      <c r="F864" t="s">
        <v>20</v>
      </c>
      <c r="G864" t="s">
        <v>59</v>
      </c>
      <c r="H864" t="s">
        <v>22</v>
      </c>
      <c r="I864">
        <v>3510</v>
      </c>
      <c r="J864">
        <v>2642</v>
      </c>
      <c r="K864">
        <v>2411</v>
      </c>
      <c r="L864">
        <v>148</v>
      </c>
      <c r="M864">
        <v>68</v>
      </c>
      <c r="N864">
        <v>3</v>
      </c>
      <c r="O864">
        <v>357.59</v>
      </c>
      <c r="P864">
        <v>3438.17</v>
      </c>
      <c r="Q864" s="5">
        <f t="shared" si="104"/>
        <v>0.91256623769871315</v>
      </c>
      <c r="R864" s="5">
        <f t="shared" si="105"/>
        <v>6.1385317295727916E-2</v>
      </c>
      <c r="S864" s="5">
        <f t="shared" si="106"/>
        <v>0.45945945945945948</v>
      </c>
      <c r="T864" s="5">
        <f t="shared" si="107"/>
        <v>4.4117647058823532E-2</v>
      </c>
      <c r="U864" s="5">
        <f t="shared" si="108"/>
        <v>1.244296972210701E-3</v>
      </c>
      <c r="V864" s="6">
        <f t="shared" si="109"/>
        <v>5.2586764705882345</v>
      </c>
      <c r="W864" s="7">
        <f t="shared" si="110"/>
        <v>2.4161486486486483</v>
      </c>
      <c r="X864" s="5">
        <f t="shared" si="111"/>
        <v>8.614838222545373</v>
      </c>
    </row>
    <row r="865" spans="1:24" x14ac:dyDescent="0.35">
      <c r="A865" s="3">
        <v>46165</v>
      </c>
      <c r="B865" t="s">
        <v>1131</v>
      </c>
      <c r="C865" t="s">
        <v>1243</v>
      </c>
      <c r="D865" t="s">
        <v>34</v>
      </c>
      <c r="E865" t="s">
        <v>35</v>
      </c>
      <c r="F865" t="s">
        <v>20</v>
      </c>
      <c r="G865" t="s">
        <v>41</v>
      </c>
      <c r="H865" t="s">
        <v>48</v>
      </c>
      <c r="I865">
        <v>3877</v>
      </c>
      <c r="J865">
        <v>3683</v>
      </c>
      <c r="K865">
        <v>3486</v>
      </c>
      <c r="L865">
        <v>226</v>
      </c>
      <c r="M865">
        <v>92</v>
      </c>
      <c r="N865">
        <v>5</v>
      </c>
      <c r="O865">
        <v>277.69</v>
      </c>
      <c r="P865">
        <v>7716.6</v>
      </c>
      <c r="Q865" s="5">
        <f t="shared" si="104"/>
        <v>0.94651099647026882</v>
      </c>
      <c r="R865" s="5">
        <f t="shared" si="105"/>
        <v>6.4830751577739529E-2</v>
      </c>
      <c r="S865" s="5">
        <f t="shared" si="106"/>
        <v>0.40707964601769914</v>
      </c>
      <c r="T865" s="5">
        <f t="shared" si="107"/>
        <v>5.434782608695652E-2</v>
      </c>
      <c r="U865" s="5">
        <f t="shared" si="108"/>
        <v>1.434308663224326E-3</v>
      </c>
      <c r="V865" s="6">
        <f t="shared" si="109"/>
        <v>3.0183695652173914</v>
      </c>
      <c r="W865" s="7">
        <f t="shared" si="110"/>
        <v>1.2287168141592921</v>
      </c>
      <c r="X865" s="5">
        <f t="shared" si="111"/>
        <v>26.788541179012572</v>
      </c>
    </row>
    <row r="866" spans="1:24" x14ac:dyDescent="0.35">
      <c r="A866" s="3">
        <v>46166</v>
      </c>
      <c r="B866" t="s">
        <v>1118</v>
      </c>
      <c r="C866" t="s">
        <v>1244</v>
      </c>
      <c r="D866" t="s">
        <v>34</v>
      </c>
      <c r="E866" t="s">
        <v>35</v>
      </c>
      <c r="F866" t="s">
        <v>20</v>
      </c>
      <c r="G866" t="s">
        <v>59</v>
      </c>
      <c r="H866" t="s">
        <v>28</v>
      </c>
      <c r="I866">
        <v>2903</v>
      </c>
      <c r="J866">
        <v>2322</v>
      </c>
      <c r="K866">
        <v>2136</v>
      </c>
      <c r="L866">
        <v>143</v>
      </c>
      <c r="M866">
        <v>78</v>
      </c>
      <c r="N866">
        <v>5</v>
      </c>
      <c r="O866">
        <v>159.83000000000001</v>
      </c>
      <c r="P866">
        <v>3683.81</v>
      </c>
      <c r="Q866" s="5">
        <f t="shared" si="104"/>
        <v>0.91989664082687339</v>
      </c>
      <c r="R866" s="5">
        <f t="shared" si="105"/>
        <v>6.6947565543071158E-2</v>
      </c>
      <c r="S866" s="5">
        <f t="shared" si="106"/>
        <v>0.54545454545454541</v>
      </c>
      <c r="T866" s="5">
        <f t="shared" si="107"/>
        <v>6.4102564102564097E-2</v>
      </c>
      <c r="U866" s="5">
        <f t="shared" si="108"/>
        <v>2.3408239700374533E-3</v>
      </c>
      <c r="V866" s="6">
        <f t="shared" si="109"/>
        <v>2.0491025641025642</v>
      </c>
      <c r="W866" s="7">
        <f t="shared" si="110"/>
        <v>1.1176923076923078</v>
      </c>
      <c r="X866" s="5">
        <f t="shared" si="111"/>
        <v>22.04830132015266</v>
      </c>
    </row>
    <row r="867" spans="1:24" x14ac:dyDescent="0.35">
      <c r="A867" s="3">
        <v>46166</v>
      </c>
      <c r="B867" t="s">
        <v>1164</v>
      </c>
      <c r="C867" t="s">
        <v>1245</v>
      </c>
      <c r="D867" t="s">
        <v>18</v>
      </c>
      <c r="E867" t="s">
        <v>19</v>
      </c>
      <c r="F867" t="s">
        <v>20</v>
      </c>
      <c r="G867" t="s">
        <v>27</v>
      </c>
      <c r="H867" t="s">
        <v>22</v>
      </c>
      <c r="I867">
        <v>926</v>
      </c>
      <c r="J867">
        <v>916</v>
      </c>
      <c r="K867">
        <v>847</v>
      </c>
      <c r="L867">
        <v>21</v>
      </c>
      <c r="M867">
        <v>10</v>
      </c>
      <c r="N867">
        <v>0</v>
      </c>
      <c r="O867">
        <v>103.69</v>
      </c>
      <c r="P867">
        <v>0</v>
      </c>
      <c r="Q867" s="5">
        <f t="shared" si="104"/>
        <v>0.9246724890829694</v>
      </c>
      <c r="R867" s="5">
        <f t="shared" si="105"/>
        <v>2.4793388429752067E-2</v>
      </c>
      <c r="S867" s="5">
        <f t="shared" si="106"/>
        <v>0.47619047619047616</v>
      </c>
      <c r="T867" s="5">
        <f t="shared" si="107"/>
        <v>0</v>
      </c>
      <c r="U867" s="5">
        <f t="shared" si="108"/>
        <v>0</v>
      </c>
      <c r="V867" s="6">
        <f t="shared" si="109"/>
        <v>10.369</v>
      </c>
      <c r="W867" s="7">
        <f t="shared" si="110"/>
        <v>4.9376190476190471</v>
      </c>
      <c r="X867" s="5">
        <f t="shared" si="111"/>
        <v>-1</v>
      </c>
    </row>
    <row r="868" spans="1:24" x14ac:dyDescent="0.35">
      <c r="A868" s="3">
        <v>46166</v>
      </c>
      <c r="B868" t="s">
        <v>1074</v>
      </c>
      <c r="C868" t="s">
        <v>1246</v>
      </c>
      <c r="D868" t="s">
        <v>40</v>
      </c>
      <c r="E868" t="s">
        <v>25</v>
      </c>
      <c r="F868" t="s">
        <v>20</v>
      </c>
      <c r="G868" t="s">
        <v>41</v>
      </c>
      <c r="H868" t="s">
        <v>48</v>
      </c>
      <c r="I868">
        <v>1295</v>
      </c>
      <c r="J868">
        <v>1216</v>
      </c>
      <c r="K868">
        <v>1130</v>
      </c>
      <c r="L868">
        <v>31</v>
      </c>
      <c r="M868">
        <v>17</v>
      </c>
      <c r="N868">
        <v>0</v>
      </c>
      <c r="O868">
        <v>157.88</v>
      </c>
      <c r="P868">
        <v>0</v>
      </c>
      <c r="Q868" s="5">
        <f t="shared" si="104"/>
        <v>0.92927631578947367</v>
      </c>
      <c r="R868" s="5">
        <f t="shared" si="105"/>
        <v>2.743362831858407E-2</v>
      </c>
      <c r="S868" s="5">
        <f t="shared" si="106"/>
        <v>0.54838709677419351</v>
      </c>
      <c r="T868" s="5">
        <f t="shared" si="107"/>
        <v>0</v>
      </c>
      <c r="U868" s="5">
        <f t="shared" si="108"/>
        <v>0</v>
      </c>
      <c r="V868" s="6">
        <f t="shared" si="109"/>
        <v>9.2870588235294118</v>
      </c>
      <c r="W868" s="7">
        <f t="shared" si="110"/>
        <v>5.0929032258064515</v>
      </c>
      <c r="X868" s="5">
        <f t="shared" si="111"/>
        <v>-1</v>
      </c>
    </row>
    <row r="869" spans="1:24" x14ac:dyDescent="0.35">
      <c r="A869" s="3">
        <v>46166</v>
      </c>
      <c r="B869" t="s">
        <v>1108</v>
      </c>
      <c r="C869" t="s">
        <v>1247</v>
      </c>
      <c r="D869" t="s">
        <v>31</v>
      </c>
      <c r="E869" t="s">
        <v>56</v>
      </c>
      <c r="F869" t="s">
        <v>20</v>
      </c>
      <c r="G869" t="s">
        <v>21</v>
      </c>
      <c r="H869" t="s">
        <v>28</v>
      </c>
      <c r="I869">
        <v>1248</v>
      </c>
      <c r="J869">
        <v>1061</v>
      </c>
      <c r="K869">
        <v>1007</v>
      </c>
      <c r="L869">
        <v>40</v>
      </c>
      <c r="M869">
        <v>15</v>
      </c>
      <c r="N869">
        <v>1</v>
      </c>
      <c r="O869">
        <v>206.83</v>
      </c>
      <c r="P869">
        <v>1055.28</v>
      </c>
      <c r="Q869" s="5">
        <f t="shared" si="104"/>
        <v>0.9491046182846371</v>
      </c>
      <c r="R869" s="5">
        <f t="shared" si="105"/>
        <v>3.9721946375372394E-2</v>
      </c>
      <c r="S869" s="5">
        <f t="shared" si="106"/>
        <v>0.375</v>
      </c>
      <c r="T869" s="5">
        <f t="shared" si="107"/>
        <v>6.6666666666666666E-2</v>
      </c>
      <c r="U869" s="5">
        <f t="shared" si="108"/>
        <v>9.930486593843098E-4</v>
      </c>
      <c r="V869" s="6">
        <f t="shared" si="109"/>
        <v>13.788666666666668</v>
      </c>
      <c r="W869" s="7">
        <f t="shared" si="110"/>
        <v>5.17075</v>
      </c>
      <c r="X869" s="5">
        <f t="shared" si="111"/>
        <v>4.1021611951844505</v>
      </c>
    </row>
    <row r="870" spans="1:24" x14ac:dyDescent="0.35">
      <c r="A870" s="3">
        <v>46167</v>
      </c>
      <c r="B870" t="s">
        <v>1196</v>
      </c>
      <c r="C870" t="s">
        <v>1248</v>
      </c>
      <c r="D870" t="s">
        <v>34</v>
      </c>
      <c r="E870" t="s">
        <v>56</v>
      </c>
      <c r="F870" t="s">
        <v>20</v>
      </c>
      <c r="G870" t="s">
        <v>41</v>
      </c>
      <c r="H870" t="s">
        <v>28</v>
      </c>
      <c r="I870">
        <v>2628</v>
      </c>
      <c r="J870">
        <v>2350</v>
      </c>
      <c r="K870">
        <v>2232</v>
      </c>
      <c r="L870">
        <v>110</v>
      </c>
      <c r="M870">
        <v>43</v>
      </c>
      <c r="N870">
        <v>1</v>
      </c>
      <c r="O870">
        <v>206.83</v>
      </c>
      <c r="P870">
        <v>1133.03</v>
      </c>
      <c r="Q870" s="5">
        <f t="shared" si="104"/>
        <v>0.94978723404255316</v>
      </c>
      <c r="R870" s="5">
        <f t="shared" si="105"/>
        <v>4.9283154121863799E-2</v>
      </c>
      <c r="S870" s="5">
        <f t="shared" si="106"/>
        <v>0.39090909090909093</v>
      </c>
      <c r="T870" s="5">
        <f t="shared" si="107"/>
        <v>2.3255813953488372E-2</v>
      </c>
      <c r="U870" s="5">
        <f t="shared" si="108"/>
        <v>4.4802867383512545E-4</v>
      </c>
      <c r="V870" s="6">
        <f t="shared" si="109"/>
        <v>4.8100000000000005</v>
      </c>
      <c r="W870" s="7">
        <f t="shared" si="110"/>
        <v>1.8802727272727273</v>
      </c>
      <c r="X870" s="5">
        <f t="shared" si="111"/>
        <v>4.4780737803993613</v>
      </c>
    </row>
    <row r="871" spans="1:24" x14ac:dyDescent="0.35">
      <c r="A871" s="3">
        <v>46167</v>
      </c>
      <c r="B871" t="s">
        <v>1126</v>
      </c>
      <c r="C871" t="s">
        <v>1249</v>
      </c>
      <c r="D871" t="s">
        <v>31</v>
      </c>
      <c r="E871" t="s">
        <v>35</v>
      </c>
      <c r="F871" t="s">
        <v>26</v>
      </c>
      <c r="G871" t="s">
        <v>59</v>
      </c>
      <c r="H871" t="s">
        <v>28</v>
      </c>
      <c r="I871">
        <v>4993</v>
      </c>
      <c r="J871">
        <v>3664</v>
      </c>
      <c r="K871">
        <v>3524</v>
      </c>
      <c r="L871">
        <v>179</v>
      </c>
      <c r="M871">
        <v>73</v>
      </c>
      <c r="N871">
        <v>7</v>
      </c>
      <c r="O871">
        <v>771.02</v>
      </c>
      <c r="P871">
        <v>7998.2</v>
      </c>
      <c r="Q871" s="5">
        <f t="shared" si="104"/>
        <v>0.96179039301310043</v>
      </c>
      <c r="R871" s="5">
        <f t="shared" si="105"/>
        <v>5.0794551645856979E-2</v>
      </c>
      <c r="S871" s="5">
        <f t="shared" si="106"/>
        <v>0.40782122905027934</v>
      </c>
      <c r="T871" s="5">
        <f t="shared" si="107"/>
        <v>9.5890410958904104E-2</v>
      </c>
      <c r="U871" s="5">
        <f t="shared" si="108"/>
        <v>1.9863791146424517E-3</v>
      </c>
      <c r="V871" s="6">
        <f t="shared" si="109"/>
        <v>10.561917808219178</v>
      </c>
      <c r="W871" s="7">
        <f t="shared" si="110"/>
        <v>4.3073743016759778</v>
      </c>
      <c r="X871" s="5">
        <f t="shared" si="111"/>
        <v>9.3735311665067051</v>
      </c>
    </row>
    <row r="872" spans="1:24" x14ac:dyDescent="0.35">
      <c r="A872" s="3">
        <v>46167</v>
      </c>
      <c r="B872" t="s">
        <v>1236</v>
      </c>
      <c r="C872" t="s">
        <v>1250</v>
      </c>
      <c r="D872" t="s">
        <v>34</v>
      </c>
      <c r="E872" t="s">
        <v>19</v>
      </c>
      <c r="F872" t="s">
        <v>20</v>
      </c>
      <c r="G872" t="s">
        <v>59</v>
      </c>
      <c r="H872" t="s">
        <v>37</v>
      </c>
      <c r="I872">
        <v>1940</v>
      </c>
      <c r="J872">
        <v>1797</v>
      </c>
      <c r="K872">
        <v>1669</v>
      </c>
      <c r="L872">
        <v>38</v>
      </c>
      <c r="M872">
        <v>16</v>
      </c>
      <c r="N872">
        <v>0</v>
      </c>
      <c r="O872">
        <v>135.13</v>
      </c>
      <c r="P872">
        <v>0</v>
      </c>
      <c r="Q872" s="5">
        <f t="shared" si="104"/>
        <v>0.92877017250973848</v>
      </c>
      <c r="R872" s="5">
        <f t="shared" si="105"/>
        <v>2.2768124625524265E-2</v>
      </c>
      <c r="S872" s="5">
        <f t="shared" si="106"/>
        <v>0.42105263157894735</v>
      </c>
      <c r="T872" s="5">
        <f t="shared" si="107"/>
        <v>0</v>
      </c>
      <c r="U872" s="5">
        <f t="shared" si="108"/>
        <v>0</v>
      </c>
      <c r="V872" s="6">
        <f t="shared" si="109"/>
        <v>8.4456249999999997</v>
      </c>
      <c r="W872" s="7">
        <f t="shared" si="110"/>
        <v>3.5560526315789471</v>
      </c>
      <c r="X872" s="5">
        <f t="shared" si="111"/>
        <v>-1</v>
      </c>
    </row>
    <row r="873" spans="1:24" x14ac:dyDescent="0.35">
      <c r="A873" s="3">
        <v>46167</v>
      </c>
      <c r="B873" t="s">
        <v>1102</v>
      </c>
      <c r="C873" t="s">
        <v>1251</v>
      </c>
      <c r="D873" t="s">
        <v>40</v>
      </c>
      <c r="E873" t="s">
        <v>25</v>
      </c>
      <c r="F873" t="s">
        <v>20</v>
      </c>
      <c r="G873" t="s">
        <v>36</v>
      </c>
      <c r="H873" t="s">
        <v>22</v>
      </c>
      <c r="I873">
        <v>2797</v>
      </c>
      <c r="J873">
        <v>2756</v>
      </c>
      <c r="K873">
        <v>2601</v>
      </c>
      <c r="L873">
        <v>95</v>
      </c>
      <c r="M873">
        <v>43</v>
      </c>
      <c r="N873">
        <v>2</v>
      </c>
      <c r="O873">
        <v>453.86</v>
      </c>
      <c r="P873">
        <v>1996.74</v>
      </c>
      <c r="Q873" s="5">
        <f t="shared" si="104"/>
        <v>0.94375907111756163</v>
      </c>
      <c r="R873" s="5">
        <f t="shared" si="105"/>
        <v>3.6524413687043442E-2</v>
      </c>
      <c r="S873" s="5">
        <f t="shared" si="106"/>
        <v>0.45263157894736844</v>
      </c>
      <c r="T873" s="5">
        <f t="shared" si="107"/>
        <v>4.6511627906976744E-2</v>
      </c>
      <c r="U873" s="5">
        <f t="shared" si="108"/>
        <v>7.6893502499038834E-4</v>
      </c>
      <c r="V873" s="6">
        <f t="shared" si="109"/>
        <v>10.554883720930233</v>
      </c>
      <c r="W873" s="7">
        <f t="shared" si="110"/>
        <v>4.7774736842105261</v>
      </c>
      <c r="X873" s="5">
        <f t="shared" si="111"/>
        <v>3.3994623892830389</v>
      </c>
    </row>
    <row r="874" spans="1:24" x14ac:dyDescent="0.35">
      <c r="A874" s="3">
        <v>46167</v>
      </c>
      <c r="B874" t="s">
        <v>1074</v>
      </c>
      <c r="C874" t="s">
        <v>1252</v>
      </c>
      <c r="D874" t="s">
        <v>18</v>
      </c>
      <c r="E874" t="s">
        <v>35</v>
      </c>
      <c r="F874" t="s">
        <v>20</v>
      </c>
      <c r="G874" t="s">
        <v>36</v>
      </c>
      <c r="H874" t="s">
        <v>28</v>
      </c>
      <c r="I874">
        <v>2818</v>
      </c>
      <c r="J874">
        <v>2615</v>
      </c>
      <c r="K874">
        <v>2337</v>
      </c>
      <c r="L874">
        <v>205</v>
      </c>
      <c r="M874">
        <v>100</v>
      </c>
      <c r="N874">
        <v>6</v>
      </c>
      <c r="O874">
        <v>289.83</v>
      </c>
      <c r="P874">
        <v>5100.63</v>
      </c>
      <c r="Q874" s="5">
        <f t="shared" si="104"/>
        <v>0.89369024856596557</v>
      </c>
      <c r="R874" s="5">
        <f t="shared" si="105"/>
        <v>8.771929824561403E-2</v>
      </c>
      <c r="S874" s="5">
        <f t="shared" si="106"/>
        <v>0.48780487804878048</v>
      </c>
      <c r="T874" s="5">
        <f t="shared" si="107"/>
        <v>0.06</v>
      </c>
      <c r="U874" s="5">
        <f t="shared" si="108"/>
        <v>2.5673940949935813E-3</v>
      </c>
      <c r="V874" s="6">
        <f t="shared" si="109"/>
        <v>2.8982999999999999</v>
      </c>
      <c r="W874" s="7">
        <f t="shared" si="110"/>
        <v>1.4138048780487804</v>
      </c>
      <c r="X874" s="5">
        <f t="shared" si="111"/>
        <v>16.598695787185594</v>
      </c>
    </row>
    <row r="875" spans="1:24" x14ac:dyDescent="0.35">
      <c r="A875" s="3">
        <v>46167</v>
      </c>
      <c r="B875" t="s">
        <v>1199</v>
      </c>
      <c r="C875" t="s">
        <v>1253</v>
      </c>
      <c r="D875" t="s">
        <v>34</v>
      </c>
      <c r="E875" t="s">
        <v>25</v>
      </c>
      <c r="F875" t="s">
        <v>20</v>
      </c>
      <c r="G875" t="s">
        <v>27</v>
      </c>
      <c r="H875" t="s">
        <v>37</v>
      </c>
      <c r="I875">
        <v>1482</v>
      </c>
      <c r="J875">
        <v>1181</v>
      </c>
      <c r="K875">
        <v>1121</v>
      </c>
      <c r="L875">
        <v>33</v>
      </c>
      <c r="M875">
        <v>16</v>
      </c>
      <c r="N875">
        <v>1</v>
      </c>
      <c r="O875">
        <v>91.7</v>
      </c>
      <c r="P875">
        <v>1220.1300000000001</v>
      </c>
      <c r="Q875" s="5">
        <f t="shared" si="104"/>
        <v>0.94919559695173583</v>
      </c>
      <c r="R875" s="5">
        <f t="shared" si="105"/>
        <v>2.9438001784121322E-2</v>
      </c>
      <c r="S875" s="5">
        <f t="shared" si="106"/>
        <v>0.48484848484848486</v>
      </c>
      <c r="T875" s="5">
        <f t="shared" si="107"/>
        <v>6.25E-2</v>
      </c>
      <c r="U875" s="5">
        <f t="shared" si="108"/>
        <v>8.9206066012488853E-4</v>
      </c>
      <c r="V875" s="6">
        <f t="shared" si="109"/>
        <v>5.7312500000000002</v>
      </c>
      <c r="W875" s="7">
        <f t="shared" si="110"/>
        <v>2.7787878787878788</v>
      </c>
      <c r="X875" s="5">
        <f t="shared" si="111"/>
        <v>12.30567066521265</v>
      </c>
    </row>
    <row r="876" spans="1:24" x14ac:dyDescent="0.35">
      <c r="A876" s="3">
        <v>46167</v>
      </c>
      <c r="B876" t="s">
        <v>1076</v>
      </c>
      <c r="C876" t="s">
        <v>1254</v>
      </c>
      <c r="D876" t="s">
        <v>18</v>
      </c>
      <c r="E876" t="s">
        <v>35</v>
      </c>
      <c r="F876" t="s">
        <v>20</v>
      </c>
      <c r="G876" t="s">
        <v>27</v>
      </c>
      <c r="H876" t="s">
        <v>37</v>
      </c>
      <c r="I876">
        <v>3806</v>
      </c>
      <c r="J876">
        <v>3427</v>
      </c>
      <c r="K876">
        <v>3133</v>
      </c>
      <c r="L876">
        <v>273</v>
      </c>
      <c r="M876">
        <v>129</v>
      </c>
      <c r="N876">
        <v>12</v>
      </c>
      <c r="O876">
        <v>425.65</v>
      </c>
      <c r="P876">
        <v>9105.6200000000008</v>
      </c>
      <c r="Q876" s="5">
        <f t="shared" si="104"/>
        <v>0.91421067989495186</v>
      </c>
      <c r="R876" s="5">
        <f t="shared" si="105"/>
        <v>8.7136929460580909E-2</v>
      </c>
      <c r="S876" s="5">
        <f t="shared" si="106"/>
        <v>0.47252747252747251</v>
      </c>
      <c r="T876" s="5">
        <f t="shared" si="107"/>
        <v>9.3023255813953487E-2</v>
      </c>
      <c r="U876" s="5">
        <f t="shared" si="108"/>
        <v>3.830194701563996E-3</v>
      </c>
      <c r="V876" s="6">
        <f t="shared" si="109"/>
        <v>3.2996124031007752</v>
      </c>
      <c r="W876" s="7">
        <f t="shared" si="110"/>
        <v>1.5591575091575092</v>
      </c>
      <c r="X876" s="5">
        <f t="shared" si="111"/>
        <v>20.392270644896044</v>
      </c>
    </row>
    <row r="877" spans="1:24" x14ac:dyDescent="0.35">
      <c r="A877" s="3">
        <v>46168</v>
      </c>
      <c r="B877" t="s">
        <v>1202</v>
      </c>
      <c r="C877" t="s">
        <v>1255</v>
      </c>
      <c r="D877" t="s">
        <v>40</v>
      </c>
      <c r="E877" t="s">
        <v>56</v>
      </c>
      <c r="F877" t="s">
        <v>20</v>
      </c>
      <c r="G877" t="s">
        <v>59</v>
      </c>
      <c r="H877" t="s">
        <v>51</v>
      </c>
      <c r="I877">
        <v>2088</v>
      </c>
      <c r="J877">
        <v>1560</v>
      </c>
      <c r="K877">
        <v>1424</v>
      </c>
      <c r="L877">
        <v>99</v>
      </c>
      <c r="M877">
        <v>51</v>
      </c>
      <c r="N877">
        <v>1</v>
      </c>
      <c r="O877">
        <v>228.5</v>
      </c>
      <c r="P877">
        <v>1150.8499999999999</v>
      </c>
      <c r="Q877" s="5">
        <f t="shared" si="104"/>
        <v>0.9128205128205128</v>
      </c>
      <c r="R877" s="5">
        <f t="shared" si="105"/>
        <v>6.9522471910112363E-2</v>
      </c>
      <c r="S877" s="5">
        <f t="shared" si="106"/>
        <v>0.51515151515151514</v>
      </c>
      <c r="T877" s="5">
        <f t="shared" si="107"/>
        <v>1.9607843137254902E-2</v>
      </c>
      <c r="U877" s="5">
        <f t="shared" si="108"/>
        <v>7.0224719101123594E-4</v>
      </c>
      <c r="V877" s="6">
        <f t="shared" si="109"/>
        <v>4.4803921568627452</v>
      </c>
      <c r="W877" s="7">
        <f t="shared" si="110"/>
        <v>2.308080808080808</v>
      </c>
      <c r="X877" s="5">
        <f t="shared" si="111"/>
        <v>4.0365426695842448</v>
      </c>
    </row>
    <row r="878" spans="1:24" x14ac:dyDescent="0.35">
      <c r="A878" s="3">
        <v>46168</v>
      </c>
      <c r="B878" t="s">
        <v>1222</v>
      </c>
      <c r="C878" t="s">
        <v>1256</v>
      </c>
      <c r="D878" t="s">
        <v>40</v>
      </c>
      <c r="E878" t="s">
        <v>25</v>
      </c>
      <c r="F878" t="s">
        <v>26</v>
      </c>
      <c r="G878" t="s">
        <v>59</v>
      </c>
      <c r="H878" t="s">
        <v>48</v>
      </c>
      <c r="I878">
        <v>1591</v>
      </c>
      <c r="J878">
        <v>1178</v>
      </c>
      <c r="K878">
        <v>1105</v>
      </c>
      <c r="L878">
        <v>64</v>
      </c>
      <c r="M878">
        <v>42</v>
      </c>
      <c r="N878">
        <v>2</v>
      </c>
      <c r="O878">
        <v>208.78</v>
      </c>
      <c r="P878">
        <v>3107.81</v>
      </c>
      <c r="Q878" s="5">
        <f t="shared" si="104"/>
        <v>0.93803056027164688</v>
      </c>
      <c r="R878" s="5">
        <f t="shared" si="105"/>
        <v>5.7918552036199097E-2</v>
      </c>
      <c r="S878" s="5">
        <f t="shared" si="106"/>
        <v>0.65625</v>
      </c>
      <c r="T878" s="5">
        <f t="shared" si="107"/>
        <v>4.7619047619047616E-2</v>
      </c>
      <c r="U878" s="5">
        <f t="shared" si="108"/>
        <v>1.8099547511312218E-3</v>
      </c>
      <c r="V878" s="6">
        <f t="shared" si="109"/>
        <v>4.9709523809523812</v>
      </c>
      <c r="W878" s="7">
        <f t="shared" si="110"/>
        <v>3.2621875</v>
      </c>
      <c r="X878" s="5">
        <f t="shared" si="111"/>
        <v>13.88557333077881</v>
      </c>
    </row>
    <row r="879" spans="1:24" x14ac:dyDescent="0.35">
      <c r="A879" s="3">
        <v>46168</v>
      </c>
      <c r="B879" t="s">
        <v>1118</v>
      </c>
      <c r="C879" t="s">
        <v>1257</v>
      </c>
      <c r="D879" t="s">
        <v>34</v>
      </c>
      <c r="E879" t="s">
        <v>35</v>
      </c>
      <c r="F879" t="s">
        <v>20</v>
      </c>
      <c r="G879" t="s">
        <v>59</v>
      </c>
      <c r="H879" t="s">
        <v>22</v>
      </c>
      <c r="I879">
        <v>1254</v>
      </c>
      <c r="J879">
        <v>1148</v>
      </c>
      <c r="K879">
        <v>1108</v>
      </c>
      <c r="L879">
        <v>71</v>
      </c>
      <c r="M879">
        <v>32</v>
      </c>
      <c r="N879">
        <v>2</v>
      </c>
      <c r="O879">
        <v>92.27</v>
      </c>
      <c r="P879">
        <v>1726.55</v>
      </c>
      <c r="Q879" s="5">
        <f t="shared" si="104"/>
        <v>0.96515679442508706</v>
      </c>
      <c r="R879" s="5">
        <f t="shared" si="105"/>
        <v>6.4079422382671475E-2</v>
      </c>
      <c r="S879" s="5">
        <f t="shared" si="106"/>
        <v>0.45070422535211269</v>
      </c>
      <c r="T879" s="5">
        <f t="shared" si="107"/>
        <v>6.25E-2</v>
      </c>
      <c r="U879" s="5">
        <f t="shared" si="108"/>
        <v>1.8050541516245488E-3</v>
      </c>
      <c r="V879" s="6">
        <f t="shared" si="109"/>
        <v>2.8834374999999999</v>
      </c>
      <c r="W879" s="7">
        <f t="shared" si="110"/>
        <v>1.2995774647887324</v>
      </c>
      <c r="X879" s="5">
        <f t="shared" si="111"/>
        <v>17.711932372385391</v>
      </c>
    </row>
    <row r="880" spans="1:24" x14ac:dyDescent="0.35">
      <c r="A880" s="3">
        <v>46168</v>
      </c>
      <c r="B880" t="s">
        <v>1181</v>
      </c>
      <c r="C880" t="s">
        <v>1258</v>
      </c>
      <c r="D880" t="s">
        <v>34</v>
      </c>
      <c r="E880" t="s">
        <v>25</v>
      </c>
      <c r="F880" t="s">
        <v>20</v>
      </c>
      <c r="G880" t="s">
        <v>59</v>
      </c>
      <c r="H880" t="s">
        <v>48</v>
      </c>
      <c r="I880">
        <v>2797</v>
      </c>
      <c r="J880">
        <v>2437</v>
      </c>
      <c r="K880">
        <v>2282</v>
      </c>
      <c r="L880">
        <v>99</v>
      </c>
      <c r="M880">
        <v>48</v>
      </c>
      <c r="N880">
        <v>2</v>
      </c>
      <c r="O880">
        <v>182.85</v>
      </c>
      <c r="P880">
        <v>2650.74</v>
      </c>
      <c r="Q880" s="5">
        <f t="shared" si="104"/>
        <v>0.93639720968403772</v>
      </c>
      <c r="R880" s="5">
        <f t="shared" si="105"/>
        <v>4.3382997370727434E-2</v>
      </c>
      <c r="S880" s="5">
        <f t="shared" si="106"/>
        <v>0.48484848484848486</v>
      </c>
      <c r="T880" s="5">
        <f t="shared" si="107"/>
        <v>4.1666666666666664E-2</v>
      </c>
      <c r="U880" s="5">
        <f t="shared" si="108"/>
        <v>8.7642418930762491E-4</v>
      </c>
      <c r="V880" s="6">
        <f t="shared" si="109"/>
        <v>3.8093749999999997</v>
      </c>
      <c r="W880" s="7">
        <f t="shared" si="110"/>
        <v>1.8469696969696969</v>
      </c>
      <c r="X880" s="5">
        <f t="shared" si="111"/>
        <v>13.496800656275635</v>
      </c>
    </row>
    <row r="881" spans="1:24" x14ac:dyDescent="0.35">
      <c r="A881" s="3">
        <v>46168</v>
      </c>
      <c r="B881" t="s">
        <v>1058</v>
      </c>
      <c r="C881" t="s">
        <v>1259</v>
      </c>
      <c r="D881" t="s">
        <v>31</v>
      </c>
      <c r="E881" t="s">
        <v>35</v>
      </c>
      <c r="F881" t="s">
        <v>20</v>
      </c>
      <c r="G881" t="s">
        <v>27</v>
      </c>
      <c r="H881" t="s">
        <v>37</v>
      </c>
      <c r="I881">
        <v>2910</v>
      </c>
      <c r="J881">
        <v>2224</v>
      </c>
      <c r="K881">
        <v>2136</v>
      </c>
      <c r="L881">
        <v>80</v>
      </c>
      <c r="M881">
        <v>38</v>
      </c>
      <c r="N881">
        <v>2</v>
      </c>
      <c r="O881">
        <v>347.41</v>
      </c>
      <c r="P881">
        <v>2347.89</v>
      </c>
      <c r="Q881" s="5">
        <f t="shared" si="104"/>
        <v>0.96043165467625902</v>
      </c>
      <c r="R881" s="5">
        <f t="shared" si="105"/>
        <v>3.7453183520599252E-2</v>
      </c>
      <c r="S881" s="5">
        <f t="shared" si="106"/>
        <v>0.47499999999999998</v>
      </c>
      <c r="T881" s="5">
        <f t="shared" si="107"/>
        <v>5.2631578947368418E-2</v>
      </c>
      <c r="U881" s="5">
        <f t="shared" si="108"/>
        <v>9.3632958801498128E-4</v>
      </c>
      <c r="V881" s="6">
        <f t="shared" si="109"/>
        <v>9.1423684210526321</v>
      </c>
      <c r="W881" s="7">
        <f t="shared" si="110"/>
        <v>4.342625</v>
      </c>
      <c r="X881" s="5">
        <f t="shared" si="111"/>
        <v>5.7582683284879526</v>
      </c>
    </row>
    <row r="882" spans="1:24" x14ac:dyDescent="0.35">
      <c r="A882" s="3">
        <v>46168</v>
      </c>
      <c r="B882" t="s">
        <v>1260</v>
      </c>
      <c r="C882" t="s">
        <v>1261</v>
      </c>
      <c r="D882" t="s">
        <v>31</v>
      </c>
      <c r="E882" t="s">
        <v>56</v>
      </c>
      <c r="F882" t="s">
        <v>20</v>
      </c>
      <c r="G882" t="s">
        <v>41</v>
      </c>
      <c r="H882" t="s">
        <v>37</v>
      </c>
      <c r="I882">
        <v>1154</v>
      </c>
      <c r="J882">
        <v>1051</v>
      </c>
      <c r="K882">
        <v>1005</v>
      </c>
      <c r="L882">
        <v>22</v>
      </c>
      <c r="M882">
        <v>9</v>
      </c>
      <c r="N882">
        <v>1</v>
      </c>
      <c r="O882">
        <v>209.98</v>
      </c>
      <c r="P882">
        <v>990.39</v>
      </c>
      <c r="Q882" s="5">
        <f t="shared" si="104"/>
        <v>0.956232159847764</v>
      </c>
      <c r="R882" s="5">
        <f t="shared" si="105"/>
        <v>2.1890547263681594E-2</v>
      </c>
      <c r="S882" s="5">
        <f t="shared" si="106"/>
        <v>0.40909090909090912</v>
      </c>
      <c r="T882" s="5">
        <f t="shared" si="107"/>
        <v>0.1111111111111111</v>
      </c>
      <c r="U882" s="5">
        <f t="shared" si="108"/>
        <v>9.9502487562189048E-4</v>
      </c>
      <c r="V882" s="6">
        <f t="shared" si="109"/>
        <v>23.33111111111111</v>
      </c>
      <c r="W882" s="7">
        <f t="shared" si="110"/>
        <v>9.5445454545454549</v>
      </c>
      <c r="X882" s="5">
        <f t="shared" si="111"/>
        <v>3.7165920563863226</v>
      </c>
    </row>
    <row r="883" spans="1:24" x14ac:dyDescent="0.35">
      <c r="A883" s="3">
        <v>46168</v>
      </c>
      <c r="B883" t="s">
        <v>1116</v>
      </c>
      <c r="C883" t="s">
        <v>1262</v>
      </c>
      <c r="D883" t="s">
        <v>34</v>
      </c>
      <c r="E883" t="s">
        <v>56</v>
      </c>
      <c r="F883" t="s">
        <v>26</v>
      </c>
      <c r="G883" t="s">
        <v>36</v>
      </c>
      <c r="H883" t="s">
        <v>37</v>
      </c>
      <c r="I883">
        <v>560</v>
      </c>
      <c r="J883">
        <v>406</v>
      </c>
      <c r="K883">
        <v>374</v>
      </c>
      <c r="L883">
        <v>26</v>
      </c>
      <c r="M883">
        <v>17</v>
      </c>
      <c r="N883">
        <v>1</v>
      </c>
      <c r="O883">
        <v>35.799999999999997</v>
      </c>
      <c r="P883">
        <v>968.16</v>
      </c>
      <c r="Q883" s="5">
        <f t="shared" si="104"/>
        <v>0.9211822660098522</v>
      </c>
      <c r="R883" s="5">
        <f t="shared" si="105"/>
        <v>6.9518716577540107E-2</v>
      </c>
      <c r="S883" s="5">
        <f t="shared" si="106"/>
        <v>0.65384615384615385</v>
      </c>
      <c r="T883" s="5">
        <f t="shared" si="107"/>
        <v>5.8823529411764705E-2</v>
      </c>
      <c r="U883" s="5">
        <f t="shared" si="108"/>
        <v>2.6737967914438501E-3</v>
      </c>
      <c r="V883" s="6">
        <f t="shared" si="109"/>
        <v>2.1058823529411761</v>
      </c>
      <c r="W883" s="7">
        <f t="shared" si="110"/>
        <v>1.3769230769230769</v>
      </c>
      <c r="X883" s="5">
        <f t="shared" si="111"/>
        <v>26.043575418994415</v>
      </c>
    </row>
    <row r="884" spans="1:24" x14ac:dyDescent="0.35">
      <c r="A884" s="3">
        <v>46168</v>
      </c>
      <c r="B884" t="s">
        <v>1263</v>
      </c>
      <c r="C884" t="s">
        <v>1264</v>
      </c>
      <c r="D884" t="s">
        <v>31</v>
      </c>
      <c r="E884" t="s">
        <v>19</v>
      </c>
      <c r="F884" t="s">
        <v>26</v>
      </c>
      <c r="G884" t="s">
        <v>41</v>
      </c>
      <c r="H884" t="s">
        <v>28</v>
      </c>
      <c r="I884">
        <v>3162</v>
      </c>
      <c r="J884">
        <v>2655</v>
      </c>
      <c r="K884">
        <v>2487</v>
      </c>
      <c r="L884">
        <v>31</v>
      </c>
      <c r="M884">
        <v>16</v>
      </c>
      <c r="N884">
        <v>1</v>
      </c>
      <c r="O884">
        <v>566.74</v>
      </c>
      <c r="P884">
        <v>809.54</v>
      </c>
      <c r="Q884" s="5">
        <f t="shared" si="104"/>
        <v>0.93672316384180787</v>
      </c>
      <c r="R884" s="5">
        <f t="shared" si="105"/>
        <v>1.2464817048652996E-2</v>
      </c>
      <c r="S884" s="5">
        <f t="shared" si="106"/>
        <v>0.5161290322580645</v>
      </c>
      <c r="T884" s="5">
        <f t="shared" si="107"/>
        <v>6.25E-2</v>
      </c>
      <c r="U884" s="5">
        <f t="shared" si="108"/>
        <v>4.020908725371934E-4</v>
      </c>
      <c r="V884" s="6">
        <f t="shared" si="109"/>
        <v>35.421250000000001</v>
      </c>
      <c r="W884" s="7">
        <f t="shared" si="110"/>
        <v>18.281935483870967</v>
      </c>
      <c r="X884" s="5">
        <f t="shared" si="111"/>
        <v>0.42841514627518784</v>
      </c>
    </row>
    <row r="885" spans="1:24" x14ac:dyDescent="0.35">
      <c r="A885" s="3">
        <v>46168</v>
      </c>
      <c r="B885" t="s">
        <v>1136</v>
      </c>
      <c r="C885" t="s">
        <v>1265</v>
      </c>
      <c r="D885" t="s">
        <v>40</v>
      </c>
      <c r="E885" t="s">
        <v>19</v>
      </c>
      <c r="F885" t="s">
        <v>26</v>
      </c>
      <c r="G885" t="s">
        <v>27</v>
      </c>
      <c r="H885" t="s">
        <v>22</v>
      </c>
      <c r="I885">
        <v>878</v>
      </c>
      <c r="J885">
        <v>845</v>
      </c>
      <c r="K885">
        <v>783</v>
      </c>
      <c r="L885">
        <v>28</v>
      </c>
      <c r="M885">
        <v>18</v>
      </c>
      <c r="N885">
        <v>0</v>
      </c>
      <c r="O885">
        <v>136.88999999999999</v>
      </c>
      <c r="P885">
        <v>0</v>
      </c>
      <c r="Q885" s="5">
        <f t="shared" si="104"/>
        <v>0.92662721893491129</v>
      </c>
      <c r="R885" s="5">
        <f t="shared" si="105"/>
        <v>3.5759897828863345E-2</v>
      </c>
      <c r="S885" s="5">
        <f t="shared" si="106"/>
        <v>0.6428571428571429</v>
      </c>
      <c r="T885" s="5">
        <f t="shared" si="107"/>
        <v>0</v>
      </c>
      <c r="U885" s="5">
        <f t="shared" si="108"/>
        <v>0</v>
      </c>
      <c r="V885" s="6">
        <f t="shared" si="109"/>
        <v>7.6049999999999995</v>
      </c>
      <c r="W885" s="7">
        <f t="shared" si="110"/>
        <v>4.8889285714285711</v>
      </c>
      <c r="X885" s="5">
        <f t="shared" si="111"/>
        <v>-1</v>
      </c>
    </row>
    <row r="886" spans="1:24" x14ac:dyDescent="0.35">
      <c r="A886" s="3">
        <v>46169</v>
      </c>
      <c r="B886" t="s">
        <v>1152</v>
      </c>
      <c r="C886" t="s">
        <v>1266</v>
      </c>
      <c r="D886" t="s">
        <v>34</v>
      </c>
      <c r="E886" t="s">
        <v>25</v>
      </c>
      <c r="F886" t="s">
        <v>20</v>
      </c>
      <c r="G886" t="s">
        <v>27</v>
      </c>
      <c r="H886" t="s">
        <v>37</v>
      </c>
      <c r="I886">
        <v>2683</v>
      </c>
      <c r="J886">
        <v>2317</v>
      </c>
      <c r="K886">
        <v>2146</v>
      </c>
      <c r="L886">
        <v>94</v>
      </c>
      <c r="M886">
        <v>49</v>
      </c>
      <c r="N886">
        <v>2</v>
      </c>
      <c r="O886">
        <v>166.81</v>
      </c>
      <c r="P886">
        <v>1524.11</v>
      </c>
      <c r="Q886" s="5">
        <f t="shared" si="104"/>
        <v>0.9261976694000863</v>
      </c>
      <c r="R886" s="5">
        <f t="shared" si="105"/>
        <v>4.3802423112767941E-2</v>
      </c>
      <c r="S886" s="5">
        <f t="shared" si="106"/>
        <v>0.52127659574468088</v>
      </c>
      <c r="T886" s="5">
        <f t="shared" si="107"/>
        <v>4.0816326530612242E-2</v>
      </c>
      <c r="U886" s="5">
        <f t="shared" si="108"/>
        <v>9.3196644920782849E-4</v>
      </c>
      <c r="V886" s="6">
        <f t="shared" si="109"/>
        <v>3.4042857142857144</v>
      </c>
      <c r="W886" s="7">
        <f t="shared" si="110"/>
        <v>1.7745744680851063</v>
      </c>
      <c r="X886" s="5">
        <f t="shared" si="111"/>
        <v>8.1368023499790176</v>
      </c>
    </row>
    <row r="887" spans="1:24" x14ac:dyDescent="0.35">
      <c r="A887" s="3">
        <v>46169</v>
      </c>
      <c r="B887" t="s">
        <v>1181</v>
      </c>
      <c r="C887" t="s">
        <v>1267</v>
      </c>
      <c r="D887" t="s">
        <v>34</v>
      </c>
      <c r="E887" t="s">
        <v>19</v>
      </c>
      <c r="F887" t="s">
        <v>26</v>
      </c>
      <c r="G887" t="s">
        <v>41</v>
      </c>
      <c r="H887" t="s">
        <v>22</v>
      </c>
      <c r="I887">
        <v>3605</v>
      </c>
      <c r="J887">
        <v>3032</v>
      </c>
      <c r="K887">
        <v>2863</v>
      </c>
      <c r="L887">
        <v>98</v>
      </c>
      <c r="M887">
        <v>50</v>
      </c>
      <c r="N887">
        <v>2</v>
      </c>
      <c r="O887">
        <v>219.88</v>
      </c>
      <c r="P887">
        <v>1255.47</v>
      </c>
      <c r="Q887" s="5">
        <f t="shared" si="104"/>
        <v>0.94426121372031657</v>
      </c>
      <c r="R887" s="5">
        <f t="shared" si="105"/>
        <v>3.4229828850855744E-2</v>
      </c>
      <c r="S887" s="5">
        <f t="shared" si="106"/>
        <v>0.51020408163265307</v>
      </c>
      <c r="T887" s="5">
        <f t="shared" si="107"/>
        <v>0.04</v>
      </c>
      <c r="U887" s="5">
        <f t="shared" si="108"/>
        <v>6.9856793573174988E-4</v>
      </c>
      <c r="V887" s="6">
        <f t="shared" si="109"/>
        <v>4.3975999999999997</v>
      </c>
      <c r="W887" s="7">
        <f t="shared" si="110"/>
        <v>2.2436734693877551</v>
      </c>
      <c r="X887" s="5">
        <f t="shared" si="111"/>
        <v>4.7097962525013655</v>
      </c>
    </row>
    <row r="888" spans="1:24" x14ac:dyDescent="0.35">
      <c r="A888" s="3">
        <v>46169</v>
      </c>
      <c r="B888" t="s">
        <v>1096</v>
      </c>
      <c r="C888" t="s">
        <v>1268</v>
      </c>
      <c r="D888" t="s">
        <v>18</v>
      </c>
      <c r="E888" t="s">
        <v>56</v>
      </c>
      <c r="F888" t="s">
        <v>20</v>
      </c>
      <c r="G888" t="s">
        <v>27</v>
      </c>
      <c r="H888" t="s">
        <v>28</v>
      </c>
      <c r="I888">
        <v>4063</v>
      </c>
      <c r="J888">
        <v>2943</v>
      </c>
      <c r="K888">
        <v>2659</v>
      </c>
      <c r="L888">
        <v>151</v>
      </c>
      <c r="M888">
        <v>78</v>
      </c>
      <c r="N888">
        <v>6</v>
      </c>
      <c r="O888">
        <v>404.02</v>
      </c>
      <c r="P888">
        <v>6692.55</v>
      </c>
      <c r="Q888" s="5">
        <f t="shared" si="104"/>
        <v>0.90349983010533474</v>
      </c>
      <c r="R888" s="5">
        <f t="shared" si="105"/>
        <v>5.6788266265513351E-2</v>
      </c>
      <c r="S888" s="5">
        <f t="shared" si="106"/>
        <v>0.51655629139072845</v>
      </c>
      <c r="T888" s="5">
        <f t="shared" si="107"/>
        <v>7.6923076923076927E-2</v>
      </c>
      <c r="U888" s="5">
        <f t="shared" si="108"/>
        <v>2.2564874012786762E-3</v>
      </c>
      <c r="V888" s="6">
        <f t="shared" si="109"/>
        <v>5.1797435897435893</v>
      </c>
      <c r="W888" s="7">
        <f t="shared" si="110"/>
        <v>2.6756291390728477</v>
      </c>
      <c r="X888" s="5">
        <f t="shared" si="111"/>
        <v>15.564897777337757</v>
      </c>
    </row>
    <row r="889" spans="1:24" x14ac:dyDescent="0.35">
      <c r="A889" s="3">
        <v>46169</v>
      </c>
      <c r="B889" t="s">
        <v>1199</v>
      </c>
      <c r="C889" t="s">
        <v>1269</v>
      </c>
      <c r="D889" t="s">
        <v>18</v>
      </c>
      <c r="E889" t="s">
        <v>56</v>
      </c>
      <c r="F889" t="s">
        <v>20</v>
      </c>
      <c r="G889" t="s">
        <v>27</v>
      </c>
      <c r="H889" t="s">
        <v>48</v>
      </c>
      <c r="I889">
        <v>1275</v>
      </c>
      <c r="J889">
        <v>1085</v>
      </c>
      <c r="K889">
        <v>1002</v>
      </c>
      <c r="L889">
        <v>56</v>
      </c>
      <c r="M889">
        <v>28</v>
      </c>
      <c r="N889">
        <v>0</v>
      </c>
      <c r="O889">
        <v>154.47999999999999</v>
      </c>
      <c r="P889">
        <v>0</v>
      </c>
      <c r="Q889" s="5">
        <f t="shared" si="104"/>
        <v>0.92350230414746548</v>
      </c>
      <c r="R889" s="5">
        <f t="shared" si="105"/>
        <v>5.588822355289421E-2</v>
      </c>
      <c r="S889" s="5">
        <f t="shared" si="106"/>
        <v>0.5</v>
      </c>
      <c r="T889" s="5">
        <f t="shared" si="107"/>
        <v>0</v>
      </c>
      <c r="U889" s="5">
        <f t="shared" si="108"/>
        <v>0</v>
      </c>
      <c r="V889" s="6">
        <f t="shared" si="109"/>
        <v>5.5171428571428569</v>
      </c>
      <c r="W889" s="7">
        <f t="shared" si="110"/>
        <v>2.7585714285714285</v>
      </c>
      <c r="X889" s="5">
        <f t="shared" si="111"/>
        <v>-1</v>
      </c>
    </row>
    <row r="890" spans="1:24" x14ac:dyDescent="0.35">
      <c r="A890" s="3">
        <v>46169</v>
      </c>
      <c r="B890" t="s">
        <v>1144</v>
      </c>
      <c r="C890" t="s">
        <v>1270</v>
      </c>
      <c r="D890" t="s">
        <v>31</v>
      </c>
      <c r="E890" t="s">
        <v>35</v>
      </c>
      <c r="F890" t="s">
        <v>20</v>
      </c>
      <c r="G890" t="s">
        <v>41</v>
      </c>
      <c r="H890" t="s">
        <v>22</v>
      </c>
      <c r="I890">
        <v>2015</v>
      </c>
      <c r="J890">
        <v>1572</v>
      </c>
      <c r="K890">
        <v>1480</v>
      </c>
      <c r="L890">
        <v>79</v>
      </c>
      <c r="M890">
        <v>30</v>
      </c>
      <c r="N890">
        <v>2</v>
      </c>
      <c r="O890">
        <v>328.53</v>
      </c>
      <c r="P890">
        <v>2295.1999999999998</v>
      </c>
      <c r="Q890" s="5">
        <f t="shared" si="104"/>
        <v>0.94147582697201015</v>
      </c>
      <c r="R890" s="5">
        <f t="shared" si="105"/>
        <v>5.3378378378378381E-2</v>
      </c>
      <c r="S890" s="5">
        <f t="shared" si="106"/>
        <v>0.379746835443038</v>
      </c>
      <c r="T890" s="5">
        <f t="shared" si="107"/>
        <v>6.6666666666666666E-2</v>
      </c>
      <c r="U890" s="5">
        <f t="shared" si="108"/>
        <v>1.3513513513513514E-3</v>
      </c>
      <c r="V890" s="6">
        <f t="shared" si="109"/>
        <v>10.950999999999999</v>
      </c>
      <c r="W890" s="7">
        <f t="shared" si="110"/>
        <v>4.1586075949367087</v>
      </c>
      <c r="X890" s="5">
        <f t="shared" si="111"/>
        <v>5.9862721821447051</v>
      </c>
    </row>
    <row r="891" spans="1:24" x14ac:dyDescent="0.35">
      <c r="A891" s="3">
        <v>46169</v>
      </c>
      <c r="B891" t="s">
        <v>1066</v>
      </c>
      <c r="C891" t="s">
        <v>1271</v>
      </c>
      <c r="D891" t="s">
        <v>40</v>
      </c>
      <c r="E891" t="s">
        <v>35</v>
      </c>
      <c r="F891" t="s">
        <v>20</v>
      </c>
      <c r="G891" t="s">
        <v>21</v>
      </c>
      <c r="H891" t="s">
        <v>22</v>
      </c>
      <c r="I891">
        <v>683</v>
      </c>
      <c r="J891">
        <v>619</v>
      </c>
      <c r="K891">
        <v>571</v>
      </c>
      <c r="L891">
        <v>44</v>
      </c>
      <c r="M891">
        <v>21</v>
      </c>
      <c r="N891">
        <v>2</v>
      </c>
      <c r="O891">
        <v>110.82</v>
      </c>
      <c r="P891">
        <v>1630.5</v>
      </c>
      <c r="Q891" s="5">
        <f t="shared" si="104"/>
        <v>0.92245557350565432</v>
      </c>
      <c r="R891" s="5">
        <f t="shared" si="105"/>
        <v>7.7057793345008757E-2</v>
      </c>
      <c r="S891" s="5">
        <f t="shared" si="106"/>
        <v>0.47727272727272729</v>
      </c>
      <c r="T891" s="5">
        <f t="shared" si="107"/>
        <v>9.5238095238095233E-2</v>
      </c>
      <c r="U891" s="5">
        <f t="shared" si="108"/>
        <v>3.5026269702276708E-3</v>
      </c>
      <c r="V891" s="6">
        <f t="shared" si="109"/>
        <v>5.2771428571428567</v>
      </c>
      <c r="W891" s="7">
        <f t="shared" si="110"/>
        <v>2.5186363636363636</v>
      </c>
      <c r="X891" s="5">
        <f t="shared" si="111"/>
        <v>13.713048186247971</v>
      </c>
    </row>
    <row r="892" spans="1:24" x14ac:dyDescent="0.35">
      <c r="A892" s="3">
        <v>46169</v>
      </c>
      <c r="B892" t="s">
        <v>1098</v>
      </c>
      <c r="C892" t="s">
        <v>1272</v>
      </c>
      <c r="D892" t="s">
        <v>18</v>
      </c>
      <c r="E892" t="s">
        <v>56</v>
      </c>
      <c r="F892" t="s">
        <v>26</v>
      </c>
      <c r="G892" t="s">
        <v>27</v>
      </c>
      <c r="H892" t="s">
        <v>22</v>
      </c>
      <c r="I892">
        <v>3102</v>
      </c>
      <c r="J892">
        <v>2885</v>
      </c>
      <c r="K892">
        <v>2702</v>
      </c>
      <c r="L892">
        <v>191</v>
      </c>
      <c r="M892">
        <v>131</v>
      </c>
      <c r="N892">
        <v>9</v>
      </c>
      <c r="O892">
        <v>366.81</v>
      </c>
      <c r="P892">
        <v>10222.75</v>
      </c>
      <c r="Q892" s="5">
        <f t="shared" si="104"/>
        <v>0.93656845753899476</v>
      </c>
      <c r="R892" s="5">
        <f t="shared" si="105"/>
        <v>7.0688378978534416E-2</v>
      </c>
      <c r="S892" s="5">
        <f t="shared" si="106"/>
        <v>0.68586387434554974</v>
      </c>
      <c r="T892" s="5">
        <f t="shared" si="107"/>
        <v>6.8702290076335881E-2</v>
      </c>
      <c r="U892" s="5">
        <f t="shared" si="108"/>
        <v>3.3308660251665434E-3</v>
      </c>
      <c r="V892" s="6">
        <f t="shared" si="109"/>
        <v>2.8000763358778626</v>
      </c>
      <c r="W892" s="7">
        <f t="shared" si="110"/>
        <v>1.9204712041884817</v>
      </c>
      <c r="X892" s="5">
        <f t="shared" si="111"/>
        <v>26.869332897140211</v>
      </c>
    </row>
    <row r="893" spans="1:24" x14ac:dyDescent="0.35">
      <c r="A893" s="3">
        <v>46170</v>
      </c>
      <c r="B893" t="s">
        <v>1273</v>
      </c>
      <c r="C893" t="s">
        <v>1274</v>
      </c>
      <c r="D893" t="s">
        <v>31</v>
      </c>
      <c r="E893" t="s">
        <v>56</v>
      </c>
      <c r="F893" t="s">
        <v>20</v>
      </c>
      <c r="G893" t="s">
        <v>21</v>
      </c>
      <c r="H893" t="s">
        <v>22</v>
      </c>
      <c r="I893">
        <v>1227</v>
      </c>
      <c r="J893">
        <v>1160</v>
      </c>
      <c r="K893">
        <v>1140</v>
      </c>
      <c r="L893">
        <v>38</v>
      </c>
      <c r="M893">
        <v>14</v>
      </c>
      <c r="N893">
        <v>1</v>
      </c>
      <c r="O893">
        <v>233.31</v>
      </c>
      <c r="P893">
        <v>1215.3599999999999</v>
      </c>
      <c r="Q893" s="5">
        <f t="shared" si="104"/>
        <v>0.98275862068965514</v>
      </c>
      <c r="R893" s="5">
        <f t="shared" si="105"/>
        <v>3.3333333333333333E-2</v>
      </c>
      <c r="S893" s="5">
        <f t="shared" si="106"/>
        <v>0.36842105263157893</v>
      </c>
      <c r="T893" s="5">
        <f t="shared" si="107"/>
        <v>7.1428571428571425E-2</v>
      </c>
      <c r="U893" s="5">
        <f t="shared" si="108"/>
        <v>8.7719298245614037E-4</v>
      </c>
      <c r="V893" s="6">
        <f t="shared" si="109"/>
        <v>16.664999999999999</v>
      </c>
      <c r="W893" s="7">
        <f t="shared" si="110"/>
        <v>6.1397368421052629</v>
      </c>
      <c r="X893" s="5">
        <f t="shared" si="111"/>
        <v>4.2092066349492088</v>
      </c>
    </row>
    <row r="894" spans="1:24" x14ac:dyDescent="0.35">
      <c r="A894" s="3">
        <v>46170</v>
      </c>
      <c r="B894" t="s">
        <v>1275</v>
      </c>
      <c r="C894" t="s">
        <v>1276</v>
      </c>
      <c r="D894" t="s">
        <v>18</v>
      </c>
      <c r="E894" t="s">
        <v>25</v>
      </c>
      <c r="F894" t="s">
        <v>20</v>
      </c>
      <c r="G894" t="s">
        <v>41</v>
      </c>
      <c r="H894" t="s">
        <v>37</v>
      </c>
      <c r="I894">
        <v>3537</v>
      </c>
      <c r="J894">
        <v>3136</v>
      </c>
      <c r="K894">
        <v>2828</v>
      </c>
      <c r="L894">
        <v>107</v>
      </c>
      <c r="M894">
        <v>48</v>
      </c>
      <c r="N894">
        <v>1</v>
      </c>
      <c r="O894">
        <v>388.79</v>
      </c>
      <c r="P894">
        <v>1178.8699999999999</v>
      </c>
      <c r="Q894" s="5">
        <f t="shared" si="104"/>
        <v>0.9017857142857143</v>
      </c>
      <c r="R894" s="5">
        <f t="shared" si="105"/>
        <v>3.7835926449787838E-2</v>
      </c>
      <c r="S894" s="5">
        <f t="shared" si="106"/>
        <v>0.44859813084112149</v>
      </c>
      <c r="T894" s="5">
        <f t="shared" si="107"/>
        <v>2.0833333333333332E-2</v>
      </c>
      <c r="U894" s="5">
        <f t="shared" si="108"/>
        <v>3.5360678925035362E-4</v>
      </c>
      <c r="V894" s="6">
        <f t="shared" si="109"/>
        <v>8.0997916666666665</v>
      </c>
      <c r="W894" s="7">
        <f t="shared" si="110"/>
        <v>3.633551401869159</v>
      </c>
      <c r="X894" s="5">
        <f t="shared" si="111"/>
        <v>2.0321510326911696</v>
      </c>
    </row>
    <row r="895" spans="1:24" x14ac:dyDescent="0.35">
      <c r="A895" s="3">
        <v>46170</v>
      </c>
      <c r="B895" t="s">
        <v>1129</v>
      </c>
      <c r="C895" t="s">
        <v>1277</v>
      </c>
      <c r="D895" t="s">
        <v>31</v>
      </c>
      <c r="E895" t="s">
        <v>56</v>
      </c>
      <c r="F895" t="s">
        <v>20</v>
      </c>
      <c r="G895" t="s">
        <v>59</v>
      </c>
      <c r="H895" t="s">
        <v>37</v>
      </c>
      <c r="I895">
        <v>3411</v>
      </c>
      <c r="J895">
        <v>2900</v>
      </c>
      <c r="K895">
        <v>2768</v>
      </c>
      <c r="L895">
        <v>97</v>
      </c>
      <c r="M895">
        <v>33</v>
      </c>
      <c r="N895">
        <v>2</v>
      </c>
      <c r="O895">
        <v>596.15</v>
      </c>
      <c r="P895">
        <v>2504.0300000000002</v>
      </c>
      <c r="Q895" s="5">
        <f t="shared" si="104"/>
        <v>0.95448275862068965</v>
      </c>
      <c r="R895" s="5">
        <f t="shared" si="105"/>
        <v>3.5043352601156069E-2</v>
      </c>
      <c r="S895" s="5">
        <f t="shared" si="106"/>
        <v>0.34020618556701032</v>
      </c>
      <c r="T895" s="5">
        <f t="shared" si="107"/>
        <v>6.0606060606060608E-2</v>
      </c>
      <c r="U895" s="5">
        <f t="shared" si="108"/>
        <v>7.2254335260115603E-4</v>
      </c>
      <c r="V895" s="6">
        <f t="shared" si="109"/>
        <v>18.065151515151513</v>
      </c>
      <c r="W895" s="7">
        <f t="shared" si="110"/>
        <v>6.1458762886597933</v>
      </c>
      <c r="X895" s="5">
        <f t="shared" si="111"/>
        <v>3.2003354860353941</v>
      </c>
    </row>
    <row r="896" spans="1:24" x14ac:dyDescent="0.35">
      <c r="A896" s="3">
        <v>46170</v>
      </c>
      <c r="B896" t="s">
        <v>1144</v>
      </c>
      <c r="C896" t="s">
        <v>1278</v>
      </c>
      <c r="D896" t="s">
        <v>31</v>
      </c>
      <c r="E896" t="s">
        <v>56</v>
      </c>
      <c r="F896" t="s">
        <v>20</v>
      </c>
      <c r="G896" t="s">
        <v>41</v>
      </c>
      <c r="H896" t="s">
        <v>51</v>
      </c>
      <c r="I896">
        <v>3967</v>
      </c>
      <c r="J896">
        <v>3526</v>
      </c>
      <c r="K896">
        <v>3355</v>
      </c>
      <c r="L896">
        <v>129</v>
      </c>
      <c r="M896">
        <v>61</v>
      </c>
      <c r="N896">
        <v>4</v>
      </c>
      <c r="O896">
        <v>584.05999999999995</v>
      </c>
      <c r="P896">
        <v>5416.5</v>
      </c>
      <c r="Q896" s="5">
        <f t="shared" si="104"/>
        <v>0.95150311968235957</v>
      </c>
      <c r="R896" s="5">
        <f t="shared" si="105"/>
        <v>3.8450074515648289E-2</v>
      </c>
      <c r="S896" s="5">
        <f t="shared" si="106"/>
        <v>0.47286821705426357</v>
      </c>
      <c r="T896" s="5">
        <f t="shared" si="107"/>
        <v>6.5573770491803282E-2</v>
      </c>
      <c r="U896" s="5">
        <f t="shared" si="108"/>
        <v>1.1922503725782414E-3</v>
      </c>
      <c r="V896" s="6">
        <f t="shared" si="109"/>
        <v>9.5747540983606552</v>
      </c>
      <c r="W896" s="7">
        <f t="shared" si="110"/>
        <v>4.5275968992248057</v>
      </c>
      <c r="X896" s="5">
        <f t="shared" si="111"/>
        <v>8.2738759716467509</v>
      </c>
    </row>
    <row r="897" spans="1:24" x14ac:dyDescent="0.35">
      <c r="A897" s="3">
        <v>46170</v>
      </c>
      <c r="B897" t="s">
        <v>1263</v>
      </c>
      <c r="C897" t="s">
        <v>1279</v>
      </c>
      <c r="D897" t="s">
        <v>18</v>
      </c>
      <c r="E897" t="s">
        <v>19</v>
      </c>
      <c r="F897" t="s">
        <v>26</v>
      </c>
      <c r="G897" t="s">
        <v>27</v>
      </c>
      <c r="H897" t="s">
        <v>51</v>
      </c>
      <c r="I897">
        <v>2346</v>
      </c>
      <c r="J897">
        <v>2241</v>
      </c>
      <c r="K897">
        <v>1996</v>
      </c>
      <c r="L897">
        <v>58</v>
      </c>
      <c r="M897">
        <v>38</v>
      </c>
      <c r="N897">
        <v>2</v>
      </c>
      <c r="O897">
        <v>266.10000000000002</v>
      </c>
      <c r="P897">
        <v>1417.43</v>
      </c>
      <c r="Q897" s="5">
        <f t="shared" si="104"/>
        <v>0.89067380633645699</v>
      </c>
      <c r="R897" s="5">
        <f t="shared" si="105"/>
        <v>2.9058116232464931E-2</v>
      </c>
      <c r="S897" s="5">
        <f t="shared" si="106"/>
        <v>0.65517241379310343</v>
      </c>
      <c r="T897" s="5">
        <f t="shared" si="107"/>
        <v>5.2631578947368418E-2</v>
      </c>
      <c r="U897" s="5">
        <f t="shared" si="108"/>
        <v>1.002004008016032E-3</v>
      </c>
      <c r="V897" s="6">
        <f t="shared" si="109"/>
        <v>7.0026315789473692</v>
      </c>
      <c r="W897" s="7">
        <f t="shared" si="110"/>
        <v>4.5879310344827591</v>
      </c>
      <c r="X897" s="5">
        <f t="shared" si="111"/>
        <v>4.3266816986095442</v>
      </c>
    </row>
    <row r="898" spans="1:24" x14ac:dyDescent="0.35">
      <c r="A898" s="3">
        <v>46171</v>
      </c>
      <c r="B898" t="s">
        <v>1124</v>
      </c>
      <c r="C898" t="s">
        <v>1280</v>
      </c>
      <c r="D898" t="s">
        <v>40</v>
      </c>
      <c r="E898" t="s">
        <v>56</v>
      </c>
      <c r="F898" t="s">
        <v>20</v>
      </c>
      <c r="G898" t="s">
        <v>36</v>
      </c>
      <c r="H898" t="s">
        <v>28</v>
      </c>
      <c r="I898">
        <v>4054</v>
      </c>
      <c r="J898">
        <v>3255</v>
      </c>
      <c r="K898">
        <v>3073</v>
      </c>
      <c r="L898">
        <v>137</v>
      </c>
      <c r="M898">
        <v>68</v>
      </c>
      <c r="N898">
        <v>1</v>
      </c>
      <c r="O898">
        <v>571.77</v>
      </c>
      <c r="P898">
        <v>741.75</v>
      </c>
      <c r="Q898" s="5">
        <f t="shared" si="104"/>
        <v>0.94408602150537635</v>
      </c>
      <c r="R898" s="5">
        <f t="shared" si="105"/>
        <v>4.4581841848356653E-2</v>
      </c>
      <c r="S898" s="5">
        <f t="shared" si="106"/>
        <v>0.49635036496350365</v>
      </c>
      <c r="T898" s="5">
        <f t="shared" si="107"/>
        <v>1.4705882352941176E-2</v>
      </c>
      <c r="U898" s="5">
        <f t="shared" si="108"/>
        <v>3.254149040026033E-4</v>
      </c>
      <c r="V898" s="6">
        <f t="shared" si="109"/>
        <v>8.4083823529411763</v>
      </c>
      <c r="W898" s="7">
        <f t="shared" si="110"/>
        <v>4.1735036496350366</v>
      </c>
      <c r="X898" s="5">
        <f t="shared" si="111"/>
        <v>0.29728737079594947</v>
      </c>
    </row>
    <row r="899" spans="1:24" x14ac:dyDescent="0.35">
      <c r="A899" s="3">
        <v>46171</v>
      </c>
      <c r="B899" t="s">
        <v>1124</v>
      </c>
      <c r="C899" t="s">
        <v>1281</v>
      </c>
      <c r="D899" t="s">
        <v>40</v>
      </c>
      <c r="E899" t="s">
        <v>35</v>
      </c>
      <c r="F899" t="s">
        <v>20</v>
      </c>
      <c r="G899" t="s">
        <v>27</v>
      </c>
      <c r="H899" t="s">
        <v>37</v>
      </c>
      <c r="I899">
        <v>3668</v>
      </c>
      <c r="J899">
        <v>3460</v>
      </c>
      <c r="K899">
        <v>3183</v>
      </c>
      <c r="L899">
        <v>262</v>
      </c>
      <c r="M899">
        <v>112</v>
      </c>
      <c r="N899">
        <v>8</v>
      </c>
      <c r="O899">
        <v>621.4</v>
      </c>
      <c r="P899">
        <v>9268.83</v>
      </c>
      <c r="Q899" s="5">
        <f t="shared" ref="Q899:Q962" si="112">K899/J899</f>
        <v>0.91994219653179188</v>
      </c>
      <c r="R899" s="5">
        <f t="shared" ref="R899:R962" si="113">L899/K899</f>
        <v>8.2312284008796727E-2</v>
      </c>
      <c r="S899" s="5">
        <f t="shared" ref="S899:S962" si="114">M899/L899</f>
        <v>0.42748091603053434</v>
      </c>
      <c r="T899" s="5">
        <f t="shared" ref="T899:T962" si="115">N899/M899</f>
        <v>7.1428571428571425E-2</v>
      </c>
      <c r="U899" s="5">
        <f t="shared" ref="U899:U962" si="116">N899/K899</f>
        <v>2.5133521834747093E-3</v>
      </c>
      <c r="V899" s="6">
        <f t="shared" ref="V899:V962" si="117">O899/M899</f>
        <v>5.5482142857142858</v>
      </c>
      <c r="W899" s="7">
        <f t="shared" ref="W899:W962" si="118">O899/L899</f>
        <v>2.3717557251908397</v>
      </c>
      <c r="X899" s="5">
        <f t="shared" ref="X899:X962" si="119">(P899-O899)/O899</f>
        <v>13.916044415835211</v>
      </c>
    </row>
    <row r="900" spans="1:24" x14ac:dyDescent="0.35">
      <c r="A900" s="3">
        <v>46171</v>
      </c>
      <c r="B900" t="s">
        <v>1068</v>
      </c>
      <c r="C900" t="s">
        <v>1282</v>
      </c>
      <c r="D900" t="s">
        <v>18</v>
      </c>
      <c r="E900" t="s">
        <v>19</v>
      </c>
      <c r="F900" t="s">
        <v>26</v>
      </c>
      <c r="G900" t="s">
        <v>41</v>
      </c>
      <c r="H900" t="s">
        <v>48</v>
      </c>
      <c r="I900">
        <v>410</v>
      </c>
      <c r="J900">
        <v>307</v>
      </c>
      <c r="K900">
        <v>278</v>
      </c>
      <c r="L900">
        <v>7</v>
      </c>
      <c r="M900">
        <v>5</v>
      </c>
      <c r="N900">
        <v>0</v>
      </c>
      <c r="O900">
        <v>40.42</v>
      </c>
      <c r="P900">
        <v>0</v>
      </c>
      <c r="Q900" s="5">
        <f t="shared" si="112"/>
        <v>0.90553745928338758</v>
      </c>
      <c r="R900" s="5">
        <f t="shared" si="113"/>
        <v>2.5179856115107913E-2</v>
      </c>
      <c r="S900" s="5">
        <f t="shared" si="114"/>
        <v>0.7142857142857143</v>
      </c>
      <c r="T900" s="5">
        <f t="shared" si="115"/>
        <v>0</v>
      </c>
      <c r="U900" s="5">
        <f t="shared" si="116"/>
        <v>0</v>
      </c>
      <c r="V900" s="6">
        <f t="shared" si="117"/>
        <v>8.0839999999999996</v>
      </c>
      <c r="W900" s="7">
        <f t="shared" si="118"/>
        <v>5.7742857142857149</v>
      </c>
      <c r="X900" s="5">
        <f t="shared" si="119"/>
        <v>-1</v>
      </c>
    </row>
    <row r="901" spans="1:24" x14ac:dyDescent="0.35">
      <c r="A901" s="3">
        <v>46171</v>
      </c>
      <c r="B901" t="s">
        <v>1100</v>
      </c>
      <c r="C901" t="s">
        <v>1283</v>
      </c>
      <c r="D901" t="s">
        <v>18</v>
      </c>
      <c r="E901" t="s">
        <v>25</v>
      </c>
      <c r="F901" t="s">
        <v>20</v>
      </c>
      <c r="G901" t="s">
        <v>41</v>
      </c>
      <c r="H901" t="s">
        <v>28</v>
      </c>
      <c r="I901">
        <v>3179</v>
      </c>
      <c r="J901">
        <v>2383</v>
      </c>
      <c r="K901">
        <v>2151</v>
      </c>
      <c r="L901">
        <v>95</v>
      </c>
      <c r="M901">
        <v>48</v>
      </c>
      <c r="N901">
        <v>1</v>
      </c>
      <c r="O901">
        <v>320.01</v>
      </c>
      <c r="P901">
        <v>699.56</v>
      </c>
      <c r="Q901" s="5">
        <f t="shared" si="112"/>
        <v>0.90264372639529999</v>
      </c>
      <c r="R901" s="5">
        <f t="shared" si="113"/>
        <v>4.4165504416550441E-2</v>
      </c>
      <c r="S901" s="5">
        <f t="shared" si="114"/>
        <v>0.50526315789473686</v>
      </c>
      <c r="T901" s="5">
        <f t="shared" si="115"/>
        <v>2.0833333333333332E-2</v>
      </c>
      <c r="U901" s="5">
        <f t="shared" si="116"/>
        <v>4.6490004649000463E-4</v>
      </c>
      <c r="V901" s="6">
        <f t="shared" si="117"/>
        <v>6.6668750000000001</v>
      </c>
      <c r="W901" s="7">
        <f t="shared" si="118"/>
        <v>3.3685263157894734</v>
      </c>
      <c r="X901" s="5">
        <f t="shared" si="119"/>
        <v>1.1860566857285708</v>
      </c>
    </row>
    <row r="902" spans="1:24" x14ac:dyDescent="0.35">
      <c r="A902" s="3">
        <v>46171</v>
      </c>
      <c r="B902" t="s">
        <v>1177</v>
      </c>
      <c r="C902" t="s">
        <v>1284</v>
      </c>
      <c r="D902" t="s">
        <v>31</v>
      </c>
      <c r="E902" t="s">
        <v>19</v>
      </c>
      <c r="F902" t="s">
        <v>26</v>
      </c>
      <c r="G902" t="s">
        <v>27</v>
      </c>
      <c r="H902" t="s">
        <v>37</v>
      </c>
      <c r="I902">
        <v>763</v>
      </c>
      <c r="J902">
        <v>569</v>
      </c>
      <c r="K902">
        <v>557</v>
      </c>
      <c r="L902">
        <v>10</v>
      </c>
      <c r="M902">
        <v>5</v>
      </c>
      <c r="N902">
        <v>0</v>
      </c>
      <c r="O902">
        <v>116.15</v>
      </c>
      <c r="P902">
        <v>0</v>
      </c>
      <c r="Q902" s="5">
        <f t="shared" si="112"/>
        <v>0.97891036906854134</v>
      </c>
      <c r="R902" s="5">
        <f t="shared" si="113"/>
        <v>1.7953321364452424E-2</v>
      </c>
      <c r="S902" s="5">
        <f t="shared" si="114"/>
        <v>0.5</v>
      </c>
      <c r="T902" s="5">
        <f t="shared" si="115"/>
        <v>0</v>
      </c>
      <c r="U902" s="5">
        <f t="shared" si="116"/>
        <v>0</v>
      </c>
      <c r="V902" s="6">
        <f t="shared" si="117"/>
        <v>23.23</v>
      </c>
      <c r="W902" s="7">
        <f t="shared" si="118"/>
        <v>11.615</v>
      </c>
      <c r="X902" s="5">
        <f t="shared" si="119"/>
        <v>-1</v>
      </c>
    </row>
    <row r="903" spans="1:24" x14ac:dyDescent="0.35">
      <c r="A903" s="3">
        <v>46171</v>
      </c>
      <c r="B903" t="s">
        <v>1177</v>
      </c>
      <c r="C903" t="s">
        <v>1285</v>
      </c>
      <c r="D903" t="s">
        <v>18</v>
      </c>
      <c r="E903" t="s">
        <v>19</v>
      </c>
      <c r="F903" t="s">
        <v>20</v>
      </c>
      <c r="G903" t="s">
        <v>27</v>
      </c>
      <c r="H903" t="s">
        <v>48</v>
      </c>
      <c r="I903">
        <v>2472</v>
      </c>
      <c r="J903">
        <v>1834</v>
      </c>
      <c r="K903">
        <v>1618</v>
      </c>
      <c r="L903">
        <v>53</v>
      </c>
      <c r="M903">
        <v>25</v>
      </c>
      <c r="N903">
        <v>0</v>
      </c>
      <c r="O903">
        <v>235.71</v>
      </c>
      <c r="P903">
        <v>0</v>
      </c>
      <c r="Q903" s="5">
        <f t="shared" si="112"/>
        <v>0.88222464558342417</v>
      </c>
      <c r="R903" s="5">
        <f t="shared" si="113"/>
        <v>3.2756489493201486E-2</v>
      </c>
      <c r="S903" s="5">
        <f t="shared" si="114"/>
        <v>0.47169811320754718</v>
      </c>
      <c r="T903" s="5">
        <f t="shared" si="115"/>
        <v>0</v>
      </c>
      <c r="U903" s="5">
        <f t="shared" si="116"/>
        <v>0</v>
      </c>
      <c r="V903" s="6">
        <f t="shared" si="117"/>
        <v>9.4283999999999999</v>
      </c>
      <c r="W903" s="7">
        <f t="shared" si="118"/>
        <v>4.4473584905660379</v>
      </c>
      <c r="X903" s="5">
        <f t="shared" si="119"/>
        <v>-1</v>
      </c>
    </row>
    <row r="904" spans="1:24" x14ac:dyDescent="0.35">
      <c r="A904" s="3">
        <v>46171</v>
      </c>
      <c r="B904" t="s">
        <v>1158</v>
      </c>
      <c r="C904" t="s">
        <v>1286</v>
      </c>
      <c r="D904" t="s">
        <v>31</v>
      </c>
      <c r="E904" t="s">
        <v>25</v>
      </c>
      <c r="F904" t="s">
        <v>20</v>
      </c>
      <c r="G904" t="s">
        <v>59</v>
      </c>
      <c r="H904" t="s">
        <v>22</v>
      </c>
      <c r="I904">
        <v>565</v>
      </c>
      <c r="J904">
        <v>410</v>
      </c>
      <c r="K904">
        <v>395</v>
      </c>
      <c r="L904">
        <v>11</v>
      </c>
      <c r="M904">
        <v>4</v>
      </c>
      <c r="N904">
        <v>0</v>
      </c>
      <c r="O904">
        <v>75.95</v>
      </c>
      <c r="P904">
        <v>0</v>
      </c>
      <c r="Q904" s="5">
        <f t="shared" si="112"/>
        <v>0.96341463414634143</v>
      </c>
      <c r="R904" s="5">
        <f t="shared" si="113"/>
        <v>2.7848101265822784E-2</v>
      </c>
      <c r="S904" s="5">
        <f t="shared" si="114"/>
        <v>0.36363636363636365</v>
      </c>
      <c r="T904" s="5">
        <f t="shared" si="115"/>
        <v>0</v>
      </c>
      <c r="U904" s="5">
        <f t="shared" si="116"/>
        <v>0</v>
      </c>
      <c r="V904" s="6">
        <f t="shared" si="117"/>
        <v>18.987500000000001</v>
      </c>
      <c r="W904" s="7">
        <f t="shared" si="118"/>
        <v>6.9045454545454552</v>
      </c>
      <c r="X904" s="5">
        <f t="shared" si="119"/>
        <v>-1</v>
      </c>
    </row>
    <row r="905" spans="1:24" x14ac:dyDescent="0.35">
      <c r="A905" s="3">
        <v>46171</v>
      </c>
      <c r="B905" t="s">
        <v>1076</v>
      </c>
      <c r="C905" t="s">
        <v>1287</v>
      </c>
      <c r="D905" t="s">
        <v>31</v>
      </c>
      <c r="E905" t="s">
        <v>25</v>
      </c>
      <c r="F905" t="s">
        <v>20</v>
      </c>
      <c r="G905" t="s">
        <v>27</v>
      </c>
      <c r="H905" t="s">
        <v>51</v>
      </c>
      <c r="I905">
        <v>2875</v>
      </c>
      <c r="J905">
        <v>2510</v>
      </c>
      <c r="K905">
        <v>2338</v>
      </c>
      <c r="L905">
        <v>26</v>
      </c>
      <c r="M905">
        <v>11</v>
      </c>
      <c r="N905">
        <v>0</v>
      </c>
      <c r="O905">
        <v>499.64</v>
      </c>
      <c r="P905">
        <v>0</v>
      </c>
      <c r="Q905" s="5">
        <f t="shared" si="112"/>
        <v>0.93147410358565741</v>
      </c>
      <c r="R905" s="5">
        <f t="shared" si="113"/>
        <v>1.1120615911035072E-2</v>
      </c>
      <c r="S905" s="5">
        <f t="shared" si="114"/>
        <v>0.42307692307692307</v>
      </c>
      <c r="T905" s="5">
        <f t="shared" si="115"/>
        <v>0</v>
      </c>
      <c r="U905" s="5">
        <f t="shared" si="116"/>
        <v>0</v>
      </c>
      <c r="V905" s="6">
        <f t="shared" si="117"/>
        <v>45.421818181818182</v>
      </c>
      <c r="W905" s="7">
        <f t="shared" si="118"/>
        <v>19.216923076923077</v>
      </c>
      <c r="X905" s="5">
        <f t="shared" si="119"/>
        <v>-1</v>
      </c>
    </row>
    <row r="906" spans="1:24" x14ac:dyDescent="0.35">
      <c r="A906" s="3">
        <v>46172</v>
      </c>
      <c r="B906" t="s">
        <v>1288</v>
      </c>
      <c r="C906" t="s">
        <v>1289</v>
      </c>
      <c r="D906" t="s">
        <v>18</v>
      </c>
      <c r="E906" t="s">
        <v>25</v>
      </c>
      <c r="F906" t="s">
        <v>20</v>
      </c>
      <c r="G906" t="s">
        <v>59</v>
      </c>
      <c r="H906" t="s">
        <v>22</v>
      </c>
      <c r="I906">
        <v>2311</v>
      </c>
      <c r="J906">
        <v>2307</v>
      </c>
      <c r="K906">
        <v>2103</v>
      </c>
      <c r="L906">
        <v>100</v>
      </c>
      <c r="M906">
        <v>48</v>
      </c>
      <c r="N906">
        <v>1</v>
      </c>
      <c r="O906">
        <v>267.72000000000003</v>
      </c>
      <c r="P906">
        <v>925.21</v>
      </c>
      <c r="Q906" s="5">
        <f t="shared" si="112"/>
        <v>0.91157347204161243</v>
      </c>
      <c r="R906" s="5">
        <f t="shared" si="113"/>
        <v>4.7551117451260103E-2</v>
      </c>
      <c r="S906" s="5">
        <f t="shared" si="114"/>
        <v>0.48</v>
      </c>
      <c r="T906" s="5">
        <f t="shared" si="115"/>
        <v>2.0833333333333332E-2</v>
      </c>
      <c r="U906" s="5">
        <f t="shared" si="116"/>
        <v>4.7551117451260106E-4</v>
      </c>
      <c r="V906" s="6">
        <f t="shared" si="117"/>
        <v>5.5775000000000006</v>
      </c>
      <c r="W906" s="7">
        <f t="shared" si="118"/>
        <v>2.6772000000000005</v>
      </c>
      <c r="X906" s="5">
        <f t="shared" si="119"/>
        <v>2.4558867473479751</v>
      </c>
    </row>
    <row r="907" spans="1:24" x14ac:dyDescent="0.35">
      <c r="A907" s="3">
        <v>46172</v>
      </c>
      <c r="B907" t="s">
        <v>1074</v>
      </c>
      <c r="C907" t="s">
        <v>1290</v>
      </c>
      <c r="D907" t="s">
        <v>34</v>
      </c>
      <c r="E907" t="s">
        <v>35</v>
      </c>
      <c r="F907" t="s">
        <v>20</v>
      </c>
      <c r="G907" t="s">
        <v>59</v>
      </c>
      <c r="H907" t="s">
        <v>28</v>
      </c>
      <c r="I907">
        <v>2454</v>
      </c>
      <c r="J907">
        <v>2226</v>
      </c>
      <c r="K907">
        <v>2137</v>
      </c>
      <c r="L907">
        <v>148</v>
      </c>
      <c r="M907">
        <v>51</v>
      </c>
      <c r="N907">
        <v>4</v>
      </c>
      <c r="O907">
        <v>166.5</v>
      </c>
      <c r="P907">
        <v>3217.54</v>
      </c>
      <c r="Q907" s="5">
        <f t="shared" si="112"/>
        <v>0.96001796945193174</v>
      </c>
      <c r="R907" s="5">
        <f t="shared" si="113"/>
        <v>6.9255966307908284E-2</v>
      </c>
      <c r="S907" s="5">
        <f t="shared" si="114"/>
        <v>0.34459459459459457</v>
      </c>
      <c r="T907" s="5">
        <f t="shared" si="115"/>
        <v>7.8431372549019607E-2</v>
      </c>
      <c r="U907" s="5">
        <f t="shared" si="116"/>
        <v>1.8717828731867104E-3</v>
      </c>
      <c r="V907" s="6">
        <f t="shared" si="117"/>
        <v>3.2647058823529411</v>
      </c>
      <c r="W907" s="7">
        <f t="shared" si="118"/>
        <v>1.125</v>
      </c>
      <c r="X907" s="5">
        <f t="shared" si="119"/>
        <v>18.324564564564565</v>
      </c>
    </row>
    <row r="908" spans="1:24" x14ac:dyDescent="0.35">
      <c r="A908" s="3">
        <v>46172</v>
      </c>
      <c r="B908" t="s">
        <v>1260</v>
      </c>
      <c r="C908" t="s">
        <v>1291</v>
      </c>
      <c r="D908" t="s">
        <v>34</v>
      </c>
      <c r="E908" t="s">
        <v>25</v>
      </c>
      <c r="F908" t="s">
        <v>26</v>
      </c>
      <c r="G908" t="s">
        <v>27</v>
      </c>
      <c r="H908" t="s">
        <v>22</v>
      </c>
      <c r="I908">
        <v>4278</v>
      </c>
      <c r="J908">
        <v>3528</v>
      </c>
      <c r="K908">
        <v>3339</v>
      </c>
      <c r="L908">
        <v>142</v>
      </c>
      <c r="M908">
        <v>86</v>
      </c>
      <c r="N908">
        <v>3</v>
      </c>
      <c r="O908">
        <v>277.95</v>
      </c>
      <c r="P908">
        <v>4321.66</v>
      </c>
      <c r="Q908" s="5">
        <f t="shared" si="112"/>
        <v>0.9464285714285714</v>
      </c>
      <c r="R908" s="5">
        <f t="shared" si="113"/>
        <v>4.2527702905061394E-2</v>
      </c>
      <c r="S908" s="5">
        <f t="shared" si="114"/>
        <v>0.60563380281690138</v>
      </c>
      <c r="T908" s="5">
        <f t="shared" si="115"/>
        <v>3.4883720930232558E-2</v>
      </c>
      <c r="U908" s="5">
        <f t="shared" si="116"/>
        <v>8.9847259658580418E-4</v>
      </c>
      <c r="V908" s="6">
        <f t="shared" si="117"/>
        <v>3.2319767441860465</v>
      </c>
      <c r="W908" s="7">
        <f t="shared" si="118"/>
        <v>1.9573943661971831</v>
      </c>
      <c r="X908" s="5">
        <f t="shared" si="119"/>
        <v>14.548336031660371</v>
      </c>
    </row>
    <row r="909" spans="1:24" x14ac:dyDescent="0.35">
      <c r="A909" s="3">
        <v>46173</v>
      </c>
      <c r="B909" t="s">
        <v>1202</v>
      </c>
      <c r="C909" t="s">
        <v>1292</v>
      </c>
      <c r="D909" t="s">
        <v>34</v>
      </c>
      <c r="E909" t="s">
        <v>56</v>
      </c>
      <c r="F909" t="s">
        <v>26</v>
      </c>
      <c r="G909" t="s">
        <v>36</v>
      </c>
      <c r="H909" t="s">
        <v>51</v>
      </c>
      <c r="I909">
        <v>2781</v>
      </c>
      <c r="J909">
        <v>2156</v>
      </c>
      <c r="K909">
        <v>1994</v>
      </c>
      <c r="L909">
        <v>139</v>
      </c>
      <c r="M909">
        <v>77</v>
      </c>
      <c r="N909">
        <v>5</v>
      </c>
      <c r="O909">
        <v>153.13999999999999</v>
      </c>
      <c r="P909">
        <v>5708.35</v>
      </c>
      <c r="Q909" s="5">
        <f t="shared" si="112"/>
        <v>0.92486085343228197</v>
      </c>
      <c r="R909" s="5">
        <f t="shared" si="113"/>
        <v>6.9709127382146435E-2</v>
      </c>
      <c r="S909" s="5">
        <f t="shared" si="114"/>
        <v>0.5539568345323741</v>
      </c>
      <c r="T909" s="5">
        <f t="shared" si="115"/>
        <v>6.4935064935064929E-2</v>
      </c>
      <c r="U909" s="5">
        <f t="shared" si="116"/>
        <v>2.5075225677031092E-3</v>
      </c>
      <c r="V909" s="6">
        <f t="shared" si="117"/>
        <v>1.9888311688311686</v>
      </c>
      <c r="W909" s="7">
        <f t="shared" si="118"/>
        <v>1.1017266187050359</v>
      </c>
      <c r="X909" s="5">
        <f t="shared" si="119"/>
        <v>36.275368943450438</v>
      </c>
    </row>
    <row r="910" spans="1:24" x14ac:dyDescent="0.35">
      <c r="A910" s="3">
        <v>46173</v>
      </c>
      <c r="B910" t="s">
        <v>1084</v>
      </c>
      <c r="C910" t="s">
        <v>1293</v>
      </c>
      <c r="D910" t="s">
        <v>18</v>
      </c>
      <c r="E910" t="s">
        <v>19</v>
      </c>
      <c r="F910" t="s">
        <v>20</v>
      </c>
      <c r="G910" t="s">
        <v>36</v>
      </c>
      <c r="H910" t="s">
        <v>51</v>
      </c>
      <c r="I910">
        <v>860</v>
      </c>
      <c r="J910">
        <v>669</v>
      </c>
      <c r="K910">
        <v>597</v>
      </c>
      <c r="L910">
        <v>11</v>
      </c>
      <c r="M910">
        <v>6</v>
      </c>
      <c r="N910">
        <v>0</v>
      </c>
      <c r="O910">
        <v>76.59</v>
      </c>
      <c r="P910">
        <v>0</v>
      </c>
      <c r="Q910" s="5">
        <f t="shared" si="112"/>
        <v>0.8923766816143498</v>
      </c>
      <c r="R910" s="5">
        <f t="shared" si="113"/>
        <v>1.8425460636515914E-2</v>
      </c>
      <c r="S910" s="5">
        <f t="shared" si="114"/>
        <v>0.54545454545454541</v>
      </c>
      <c r="T910" s="5">
        <f t="shared" si="115"/>
        <v>0</v>
      </c>
      <c r="U910" s="5">
        <f t="shared" si="116"/>
        <v>0</v>
      </c>
      <c r="V910" s="6">
        <f t="shared" si="117"/>
        <v>12.765000000000001</v>
      </c>
      <c r="W910" s="7">
        <f t="shared" si="118"/>
        <v>6.9627272727272729</v>
      </c>
      <c r="X910" s="5">
        <f t="shared" si="119"/>
        <v>-1</v>
      </c>
    </row>
    <row r="911" spans="1:24" x14ac:dyDescent="0.35">
      <c r="A911" s="3">
        <v>46173</v>
      </c>
      <c r="B911" t="s">
        <v>1150</v>
      </c>
      <c r="C911" t="s">
        <v>1294</v>
      </c>
      <c r="D911" t="s">
        <v>18</v>
      </c>
      <c r="E911" t="s">
        <v>56</v>
      </c>
      <c r="F911" t="s">
        <v>20</v>
      </c>
      <c r="G911" t="s">
        <v>59</v>
      </c>
      <c r="H911" t="s">
        <v>22</v>
      </c>
      <c r="I911">
        <v>1389</v>
      </c>
      <c r="J911">
        <v>1299</v>
      </c>
      <c r="K911">
        <v>1215</v>
      </c>
      <c r="L911">
        <v>51</v>
      </c>
      <c r="M911">
        <v>29</v>
      </c>
      <c r="N911">
        <v>1</v>
      </c>
      <c r="O911">
        <v>180.79</v>
      </c>
      <c r="P911">
        <v>719.37</v>
      </c>
      <c r="Q911" s="5">
        <f t="shared" si="112"/>
        <v>0.9353348729792148</v>
      </c>
      <c r="R911" s="5">
        <f t="shared" si="113"/>
        <v>4.1975308641975309E-2</v>
      </c>
      <c r="S911" s="5">
        <f t="shared" si="114"/>
        <v>0.56862745098039214</v>
      </c>
      <c r="T911" s="5">
        <f t="shared" si="115"/>
        <v>3.4482758620689655E-2</v>
      </c>
      <c r="U911" s="5">
        <f t="shared" si="116"/>
        <v>8.2304526748971192E-4</v>
      </c>
      <c r="V911" s="6">
        <f t="shared" si="117"/>
        <v>6.2341379310344829</v>
      </c>
      <c r="W911" s="7">
        <f t="shared" si="118"/>
        <v>3.5449019607843137</v>
      </c>
      <c r="X911" s="5">
        <f t="shared" si="119"/>
        <v>2.9790364511311469</v>
      </c>
    </row>
    <row r="912" spans="1:24" x14ac:dyDescent="0.35">
      <c r="A912" s="3">
        <v>46173</v>
      </c>
      <c r="B912" t="s">
        <v>1295</v>
      </c>
      <c r="C912" t="s">
        <v>1296</v>
      </c>
      <c r="D912" t="s">
        <v>34</v>
      </c>
      <c r="E912" t="s">
        <v>35</v>
      </c>
      <c r="F912" t="s">
        <v>26</v>
      </c>
      <c r="G912" t="s">
        <v>41</v>
      </c>
      <c r="H912" t="s">
        <v>51</v>
      </c>
      <c r="I912">
        <v>3362</v>
      </c>
      <c r="J912">
        <v>2912</v>
      </c>
      <c r="K912">
        <v>2713</v>
      </c>
      <c r="L912">
        <v>299</v>
      </c>
      <c r="M912">
        <v>187</v>
      </c>
      <c r="N912">
        <v>20</v>
      </c>
      <c r="O912">
        <v>244.37</v>
      </c>
      <c r="P912">
        <v>16870.09</v>
      </c>
      <c r="Q912" s="5">
        <f t="shared" si="112"/>
        <v>0.93166208791208793</v>
      </c>
      <c r="R912" s="5">
        <f t="shared" si="113"/>
        <v>0.11021009952082565</v>
      </c>
      <c r="S912" s="5">
        <f t="shared" si="114"/>
        <v>0.62541806020066892</v>
      </c>
      <c r="T912" s="5">
        <f t="shared" si="115"/>
        <v>0.10695187165775401</v>
      </c>
      <c r="U912" s="5">
        <f t="shared" si="116"/>
        <v>7.3719130114264656E-3</v>
      </c>
      <c r="V912" s="6">
        <f t="shared" si="117"/>
        <v>1.3067914438502675</v>
      </c>
      <c r="W912" s="7">
        <f t="shared" si="118"/>
        <v>0.81729096989966554</v>
      </c>
      <c r="X912" s="5">
        <f t="shared" si="119"/>
        <v>68.035028849695138</v>
      </c>
    </row>
    <row r="913" spans="1:24" x14ac:dyDescent="0.35">
      <c r="A913" s="3">
        <v>46173</v>
      </c>
      <c r="B913" t="s">
        <v>1116</v>
      </c>
      <c r="C913" t="s">
        <v>1297</v>
      </c>
      <c r="D913" t="s">
        <v>40</v>
      </c>
      <c r="E913" t="s">
        <v>25</v>
      </c>
      <c r="F913" t="s">
        <v>20</v>
      </c>
      <c r="G913" t="s">
        <v>36</v>
      </c>
      <c r="H913" t="s">
        <v>22</v>
      </c>
      <c r="I913">
        <v>1102</v>
      </c>
      <c r="J913">
        <v>826</v>
      </c>
      <c r="K913">
        <v>781</v>
      </c>
      <c r="L913">
        <v>30</v>
      </c>
      <c r="M913">
        <v>12</v>
      </c>
      <c r="N913">
        <v>0</v>
      </c>
      <c r="O913">
        <v>129.51</v>
      </c>
      <c r="P913">
        <v>0</v>
      </c>
      <c r="Q913" s="5">
        <f t="shared" si="112"/>
        <v>0.94552058111380144</v>
      </c>
      <c r="R913" s="5">
        <f t="shared" si="113"/>
        <v>3.8412291933418691E-2</v>
      </c>
      <c r="S913" s="5">
        <f t="shared" si="114"/>
        <v>0.4</v>
      </c>
      <c r="T913" s="5">
        <f t="shared" si="115"/>
        <v>0</v>
      </c>
      <c r="U913" s="5">
        <f t="shared" si="116"/>
        <v>0</v>
      </c>
      <c r="V913" s="6">
        <f t="shared" si="117"/>
        <v>10.792499999999999</v>
      </c>
      <c r="W913" s="7">
        <f t="shared" si="118"/>
        <v>4.3169999999999993</v>
      </c>
      <c r="X913" s="5">
        <f t="shared" si="119"/>
        <v>-1</v>
      </c>
    </row>
    <row r="914" spans="1:24" x14ac:dyDescent="0.35">
      <c r="A914" s="3">
        <v>46174</v>
      </c>
      <c r="B914" t="s">
        <v>1298</v>
      </c>
      <c r="C914" t="s">
        <v>1299</v>
      </c>
      <c r="D914" t="s">
        <v>34</v>
      </c>
      <c r="E914" t="s">
        <v>35</v>
      </c>
      <c r="F914" t="s">
        <v>20</v>
      </c>
      <c r="G914" t="s">
        <v>21</v>
      </c>
      <c r="H914" t="s">
        <v>51</v>
      </c>
      <c r="I914">
        <v>4968</v>
      </c>
      <c r="J914">
        <v>3982</v>
      </c>
      <c r="K914">
        <v>3712</v>
      </c>
      <c r="L914">
        <v>256</v>
      </c>
      <c r="M914">
        <v>96</v>
      </c>
      <c r="N914">
        <v>6</v>
      </c>
      <c r="O914">
        <v>335.23</v>
      </c>
      <c r="P914">
        <v>7178.6</v>
      </c>
      <c r="Q914" s="5">
        <f t="shared" si="112"/>
        <v>0.93219487694625813</v>
      </c>
      <c r="R914" s="5">
        <f t="shared" si="113"/>
        <v>6.8965517241379309E-2</v>
      </c>
      <c r="S914" s="5">
        <f t="shared" si="114"/>
        <v>0.375</v>
      </c>
      <c r="T914" s="5">
        <f t="shared" si="115"/>
        <v>6.25E-2</v>
      </c>
      <c r="U914" s="5">
        <f t="shared" si="116"/>
        <v>1.6163793103448276E-3</v>
      </c>
      <c r="V914" s="6">
        <f t="shared" si="117"/>
        <v>3.4919791666666669</v>
      </c>
      <c r="W914" s="7">
        <f t="shared" si="118"/>
        <v>1.3094921875000001</v>
      </c>
      <c r="X914" s="5">
        <f t="shared" si="119"/>
        <v>20.413954598335472</v>
      </c>
    </row>
    <row r="915" spans="1:24" x14ac:dyDescent="0.35">
      <c r="A915" s="3">
        <v>46174</v>
      </c>
      <c r="B915" t="s">
        <v>1300</v>
      </c>
      <c r="C915" t="s">
        <v>1301</v>
      </c>
      <c r="D915" t="s">
        <v>40</v>
      </c>
      <c r="E915" t="s">
        <v>56</v>
      </c>
      <c r="F915" t="s">
        <v>20</v>
      </c>
      <c r="G915" t="s">
        <v>27</v>
      </c>
      <c r="H915" t="s">
        <v>48</v>
      </c>
      <c r="I915">
        <v>4982</v>
      </c>
      <c r="J915">
        <v>4085</v>
      </c>
      <c r="K915">
        <v>3729</v>
      </c>
      <c r="L915">
        <v>214</v>
      </c>
      <c r="M915">
        <v>103</v>
      </c>
      <c r="N915">
        <v>7</v>
      </c>
      <c r="O915">
        <v>564.6</v>
      </c>
      <c r="P915">
        <v>6184.7</v>
      </c>
      <c r="Q915" s="5">
        <f t="shared" si="112"/>
        <v>0.91285189718482251</v>
      </c>
      <c r="R915" s="5">
        <f t="shared" si="113"/>
        <v>5.7388039688924641E-2</v>
      </c>
      <c r="S915" s="5">
        <f t="shared" si="114"/>
        <v>0.48130841121495327</v>
      </c>
      <c r="T915" s="5">
        <f t="shared" si="115"/>
        <v>6.7961165048543687E-2</v>
      </c>
      <c r="U915" s="5">
        <f t="shared" si="116"/>
        <v>1.8771788683293108E-3</v>
      </c>
      <c r="V915" s="6">
        <f t="shared" si="117"/>
        <v>5.4815533980582529</v>
      </c>
      <c r="W915" s="7">
        <f t="shared" si="118"/>
        <v>2.6383177570093461</v>
      </c>
      <c r="X915" s="5">
        <f t="shared" si="119"/>
        <v>9.9541268154445603</v>
      </c>
    </row>
    <row r="916" spans="1:24" x14ac:dyDescent="0.35">
      <c r="A916" s="3">
        <v>46174</v>
      </c>
      <c r="B916" t="s">
        <v>1302</v>
      </c>
      <c r="C916" t="s">
        <v>1303</v>
      </c>
      <c r="D916" t="s">
        <v>34</v>
      </c>
      <c r="E916" t="s">
        <v>19</v>
      </c>
      <c r="F916" t="s">
        <v>20</v>
      </c>
      <c r="G916" t="s">
        <v>21</v>
      </c>
      <c r="H916" t="s">
        <v>28</v>
      </c>
      <c r="I916">
        <v>2302</v>
      </c>
      <c r="J916">
        <v>2212</v>
      </c>
      <c r="K916">
        <v>2069</v>
      </c>
      <c r="L916">
        <v>28</v>
      </c>
      <c r="M916">
        <v>15</v>
      </c>
      <c r="N916">
        <v>0</v>
      </c>
      <c r="O916">
        <v>163.98</v>
      </c>
      <c r="P916">
        <v>0</v>
      </c>
      <c r="Q916" s="5">
        <f t="shared" si="112"/>
        <v>0.93535262206148284</v>
      </c>
      <c r="R916" s="5">
        <f t="shared" si="113"/>
        <v>1.3533107781536975E-2</v>
      </c>
      <c r="S916" s="5">
        <f t="shared" si="114"/>
        <v>0.5357142857142857</v>
      </c>
      <c r="T916" s="5">
        <f t="shared" si="115"/>
        <v>0</v>
      </c>
      <c r="U916" s="5">
        <f t="shared" si="116"/>
        <v>0</v>
      </c>
      <c r="V916" s="6">
        <f t="shared" si="117"/>
        <v>10.931999999999999</v>
      </c>
      <c r="W916" s="7">
        <f t="shared" si="118"/>
        <v>5.8564285714285713</v>
      </c>
      <c r="X916" s="5">
        <f t="shared" si="119"/>
        <v>-1</v>
      </c>
    </row>
    <row r="917" spans="1:24" x14ac:dyDescent="0.35">
      <c r="A917" s="3">
        <v>46174</v>
      </c>
      <c r="B917" t="s">
        <v>1304</v>
      </c>
      <c r="C917" t="s">
        <v>1305</v>
      </c>
      <c r="D917" t="s">
        <v>18</v>
      </c>
      <c r="E917" t="s">
        <v>25</v>
      </c>
      <c r="F917" t="s">
        <v>20</v>
      </c>
      <c r="G917" t="s">
        <v>27</v>
      </c>
      <c r="H917" t="s">
        <v>51</v>
      </c>
      <c r="I917">
        <v>734</v>
      </c>
      <c r="J917">
        <v>711</v>
      </c>
      <c r="K917">
        <v>646</v>
      </c>
      <c r="L917">
        <v>25</v>
      </c>
      <c r="M917">
        <v>11</v>
      </c>
      <c r="N917">
        <v>0</v>
      </c>
      <c r="O917">
        <v>91.17</v>
      </c>
      <c r="P917">
        <v>0</v>
      </c>
      <c r="Q917" s="5">
        <f t="shared" si="112"/>
        <v>0.90857946554149083</v>
      </c>
      <c r="R917" s="5">
        <f t="shared" si="113"/>
        <v>3.8699690402476783E-2</v>
      </c>
      <c r="S917" s="5">
        <f t="shared" si="114"/>
        <v>0.44</v>
      </c>
      <c r="T917" s="5">
        <f t="shared" si="115"/>
        <v>0</v>
      </c>
      <c r="U917" s="5">
        <f t="shared" si="116"/>
        <v>0</v>
      </c>
      <c r="V917" s="6">
        <f t="shared" si="117"/>
        <v>8.288181818181819</v>
      </c>
      <c r="W917" s="7">
        <f t="shared" si="118"/>
        <v>3.6468000000000003</v>
      </c>
      <c r="X917" s="5">
        <f t="shared" si="119"/>
        <v>-1</v>
      </c>
    </row>
    <row r="918" spans="1:24" x14ac:dyDescent="0.35">
      <c r="A918" s="3">
        <v>46174</v>
      </c>
      <c r="B918" t="s">
        <v>1306</v>
      </c>
      <c r="C918" t="s">
        <v>1307</v>
      </c>
      <c r="D918" t="s">
        <v>31</v>
      </c>
      <c r="E918" t="s">
        <v>35</v>
      </c>
      <c r="F918" t="s">
        <v>20</v>
      </c>
      <c r="G918" t="s">
        <v>59</v>
      </c>
      <c r="H918" t="s">
        <v>51</v>
      </c>
      <c r="I918">
        <v>3060</v>
      </c>
      <c r="J918">
        <v>2668</v>
      </c>
      <c r="K918">
        <v>2571</v>
      </c>
      <c r="L918">
        <v>135</v>
      </c>
      <c r="M918">
        <v>60</v>
      </c>
      <c r="N918">
        <v>4</v>
      </c>
      <c r="O918">
        <v>430.16</v>
      </c>
      <c r="P918">
        <v>5745.19</v>
      </c>
      <c r="Q918" s="5">
        <f t="shared" si="112"/>
        <v>0.96364317841079461</v>
      </c>
      <c r="R918" s="5">
        <f t="shared" si="113"/>
        <v>5.2508751458576426E-2</v>
      </c>
      <c r="S918" s="5">
        <f t="shared" si="114"/>
        <v>0.44444444444444442</v>
      </c>
      <c r="T918" s="5">
        <f t="shared" si="115"/>
        <v>6.6666666666666666E-2</v>
      </c>
      <c r="U918" s="5">
        <f t="shared" si="116"/>
        <v>1.5558148580318942E-3</v>
      </c>
      <c r="V918" s="6">
        <f t="shared" si="117"/>
        <v>7.1693333333333333</v>
      </c>
      <c r="W918" s="7">
        <f t="shared" si="118"/>
        <v>3.1863703703703705</v>
      </c>
      <c r="X918" s="5">
        <f t="shared" si="119"/>
        <v>12.35593732564627</v>
      </c>
    </row>
    <row r="919" spans="1:24" x14ac:dyDescent="0.35">
      <c r="A919" s="3">
        <v>46174</v>
      </c>
      <c r="B919" t="s">
        <v>1308</v>
      </c>
      <c r="C919" t="s">
        <v>1309</v>
      </c>
      <c r="D919" t="s">
        <v>34</v>
      </c>
      <c r="E919" t="s">
        <v>19</v>
      </c>
      <c r="F919" t="s">
        <v>20</v>
      </c>
      <c r="G919" t="s">
        <v>27</v>
      </c>
      <c r="H919" t="s">
        <v>37</v>
      </c>
      <c r="I919">
        <v>4268</v>
      </c>
      <c r="J919">
        <v>3341</v>
      </c>
      <c r="K919">
        <v>3101</v>
      </c>
      <c r="L919">
        <v>52</v>
      </c>
      <c r="M919">
        <v>22</v>
      </c>
      <c r="N919">
        <v>0</v>
      </c>
      <c r="O919">
        <v>307.60000000000002</v>
      </c>
      <c r="P919">
        <v>0</v>
      </c>
      <c r="Q919" s="5">
        <f t="shared" si="112"/>
        <v>0.9281652199940138</v>
      </c>
      <c r="R919" s="5">
        <f t="shared" si="113"/>
        <v>1.6768784263140921E-2</v>
      </c>
      <c r="S919" s="5">
        <f t="shared" si="114"/>
        <v>0.42307692307692307</v>
      </c>
      <c r="T919" s="5">
        <f t="shared" si="115"/>
        <v>0</v>
      </c>
      <c r="U919" s="5">
        <f t="shared" si="116"/>
        <v>0</v>
      </c>
      <c r="V919" s="6">
        <f t="shared" si="117"/>
        <v>13.981818181818182</v>
      </c>
      <c r="W919" s="7">
        <f t="shared" si="118"/>
        <v>5.9153846153846157</v>
      </c>
      <c r="X919" s="5">
        <f t="shared" si="119"/>
        <v>-1</v>
      </c>
    </row>
    <row r="920" spans="1:24" x14ac:dyDescent="0.35">
      <c r="A920" s="3">
        <v>46174</v>
      </c>
      <c r="B920" t="s">
        <v>1310</v>
      </c>
      <c r="C920" t="s">
        <v>1311</v>
      </c>
      <c r="D920" t="s">
        <v>40</v>
      </c>
      <c r="E920" t="s">
        <v>19</v>
      </c>
      <c r="F920" t="s">
        <v>26</v>
      </c>
      <c r="G920" t="s">
        <v>27</v>
      </c>
      <c r="H920" t="s">
        <v>51</v>
      </c>
      <c r="I920">
        <v>2687</v>
      </c>
      <c r="J920">
        <v>2266</v>
      </c>
      <c r="K920">
        <v>2086</v>
      </c>
      <c r="L920">
        <v>44</v>
      </c>
      <c r="M920">
        <v>28</v>
      </c>
      <c r="N920">
        <v>0</v>
      </c>
      <c r="O920">
        <v>334.25</v>
      </c>
      <c r="P920">
        <v>0</v>
      </c>
      <c r="Q920" s="5">
        <f t="shared" si="112"/>
        <v>0.92056487202118276</v>
      </c>
      <c r="R920" s="5">
        <f t="shared" si="113"/>
        <v>2.109300095877277E-2</v>
      </c>
      <c r="S920" s="5">
        <f t="shared" si="114"/>
        <v>0.63636363636363635</v>
      </c>
      <c r="T920" s="5">
        <f t="shared" si="115"/>
        <v>0</v>
      </c>
      <c r="U920" s="5">
        <f t="shared" si="116"/>
        <v>0</v>
      </c>
      <c r="V920" s="6">
        <f t="shared" si="117"/>
        <v>11.9375</v>
      </c>
      <c r="W920" s="7">
        <f t="shared" si="118"/>
        <v>7.5965909090909092</v>
      </c>
      <c r="X920" s="5">
        <f t="shared" si="119"/>
        <v>-1</v>
      </c>
    </row>
    <row r="921" spans="1:24" x14ac:dyDescent="0.35">
      <c r="A921" s="3">
        <v>46174</v>
      </c>
      <c r="B921" t="s">
        <v>1312</v>
      </c>
      <c r="C921" t="s">
        <v>1313</v>
      </c>
      <c r="D921" t="s">
        <v>31</v>
      </c>
      <c r="E921" t="s">
        <v>25</v>
      </c>
      <c r="F921" t="s">
        <v>26</v>
      </c>
      <c r="G921" t="s">
        <v>41</v>
      </c>
      <c r="H921" t="s">
        <v>37</v>
      </c>
      <c r="I921">
        <v>4207</v>
      </c>
      <c r="J921">
        <v>3046</v>
      </c>
      <c r="K921">
        <v>2915</v>
      </c>
      <c r="L921">
        <v>118</v>
      </c>
      <c r="M921">
        <v>61</v>
      </c>
      <c r="N921">
        <v>2</v>
      </c>
      <c r="O921">
        <v>608.28</v>
      </c>
      <c r="P921">
        <v>1630.13</v>
      </c>
      <c r="Q921" s="5">
        <f t="shared" si="112"/>
        <v>0.95699277741300071</v>
      </c>
      <c r="R921" s="5">
        <f t="shared" si="113"/>
        <v>4.0480274442538593E-2</v>
      </c>
      <c r="S921" s="5">
        <f t="shared" si="114"/>
        <v>0.51694915254237284</v>
      </c>
      <c r="T921" s="5">
        <f t="shared" si="115"/>
        <v>3.2786885245901641E-2</v>
      </c>
      <c r="U921" s="5">
        <f t="shared" si="116"/>
        <v>6.8610634648370492E-4</v>
      </c>
      <c r="V921" s="6">
        <f t="shared" si="117"/>
        <v>9.9718032786885242</v>
      </c>
      <c r="W921" s="7">
        <f t="shared" si="118"/>
        <v>5.154915254237288</v>
      </c>
      <c r="X921" s="5">
        <f t="shared" si="119"/>
        <v>1.6799007036233318</v>
      </c>
    </row>
    <row r="922" spans="1:24" x14ac:dyDescent="0.35">
      <c r="A922" s="3">
        <v>46174</v>
      </c>
      <c r="B922" t="s">
        <v>1314</v>
      </c>
      <c r="C922" t="s">
        <v>1315</v>
      </c>
      <c r="D922" t="s">
        <v>31</v>
      </c>
      <c r="E922" t="s">
        <v>19</v>
      </c>
      <c r="F922" t="s">
        <v>20</v>
      </c>
      <c r="G922" t="s">
        <v>21</v>
      </c>
      <c r="H922" t="s">
        <v>51</v>
      </c>
      <c r="I922">
        <v>2512</v>
      </c>
      <c r="J922">
        <v>2441</v>
      </c>
      <c r="K922">
        <v>2295</v>
      </c>
      <c r="L922">
        <v>35</v>
      </c>
      <c r="M922">
        <v>13</v>
      </c>
      <c r="N922">
        <v>0</v>
      </c>
      <c r="O922">
        <v>392.24</v>
      </c>
      <c r="P922">
        <v>0</v>
      </c>
      <c r="Q922" s="5">
        <f t="shared" si="112"/>
        <v>0.94018844735764029</v>
      </c>
      <c r="R922" s="5">
        <f t="shared" si="113"/>
        <v>1.5250544662309368E-2</v>
      </c>
      <c r="S922" s="5">
        <f t="shared" si="114"/>
        <v>0.37142857142857144</v>
      </c>
      <c r="T922" s="5">
        <f t="shared" si="115"/>
        <v>0</v>
      </c>
      <c r="U922" s="5">
        <f t="shared" si="116"/>
        <v>0</v>
      </c>
      <c r="V922" s="6">
        <f t="shared" si="117"/>
        <v>30.172307692307694</v>
      </c>
      <c r="W922" s="7">
        <f t="shared" si="118"/>
        <v>11.206857142857142</v>
      </c>
      <c r="X922" s="5">
        <f t="shared" si="119"/>
        <v>-1</v>
      </c>
    </row>
    <row r="923" spans="1:24" x14ac:dyDescent="0.35">
      <c r="A923" s="3">
        <v>46175</v>
      </c>
      <c r="B923" t="s">
        <v>1316</v>
      </c>
      <c r="C923" t="s">
        <v>1317</v>
      </c>
      <c r="D923" t="s">
        <v>31</v>
      </c>
      <c r="E923" t="s">
        <v>25</v>
      </c>
      <c r="F923" t="s">
        <v>20</v>
      </c>
      <c r="G923" t="s">
        <v>21</v>
      </c>
      <c r="H923" t="s">
        <v>51</v>
      </c>
      <c r="I923">
        <v>4254</v>
      </c>
      <c r="J923">
        <v>3680</v>
      </c>
      <c r="K923">
        <v>3544</v>
      </c>
      <c r="L923">
        <v>113</v>
      </c>
      <c r="M923">
        <v>44</v>
      </c>
      <c r="N923">
        <v>2</v>
      </c>
      <c r="O923">
        <v>680.34</v>
      </c>
      <c r="P923">
        <v>1655.76</v>
      </c>
      <c r="Q923" s="5">
        <f t="shared" si="112"/>
        <v>0.96304347826086956</v>
      </c>
      <c r="R923" s="5">
        <f t="shared" si="113"/>
        <v>3.1884875846501126E-2</v>
      </c>
      <c r="S923" s="5">
        <f t="shared" si="114"/>
        <v>0.38938053097345132</v>
      </c>
      <c r="T923" s="5">
        <f t="shared" si="115"/>
        <v>4.5454545454545456E-2</v>
      </c>
      <c r="U923" s="5">
        <f t="shared" si="116"/>
        <v>5.6433408577878099E-4</v>
      </c>
      <c r="V923" s="6">
        <f t="shared" si="117"/>
        <v>15.462272727272728</v>
      </c>
      <c r="W923" s="7">
        <f t="shared" si="118"/>
        <v>6.0207079646017698</v>
      </c>
      <c r="X923" s="5">
        <f t="shared" si="119"/>
        <v>1.4337243143134315</v>
      </c>
    </row>
    <row r="924" spans="1:24" x14ac:dyDescent="0.35">
      <c r="A924" s="3">
        <v>46175</v>
      </c>
      <c r="B924" t="s">
        <v>1304</v>
      </c>
      <c r="C924" t="s">
        <v>1318</v>
      </c>
      <c r="D924" t="s">
        <v>40</v>
      </c>
      <c r="E924" t="s">
        <v>19</v>
      </c>
      <c r="F924" t="s">
        <v>20</v>
      </c>
      <c r="G924" t="s">
        <v>27</v>
      </c>
      <c r="H924" t="s">
        <v>22</v>
      </c>
      <c r="I924">
        <v>1668</v>
      </c>
      <c r="J924">
        <v>1251</v>
      </c>
      <c r="K924">
        <v>1165</v>
      </c>
      <c r="L924">
        <v>25</v>
      </c>
      <c r="M924">
        <v>11</v>
      </c>
      <c r="N924">
        <v>0</v>
      </c>
      <c r="O924">
        <v>212.06</v>
      </c>
      <c r="P924">
        <v>0</v>
      </c>
      <c r="Q924" s="5">
        <f t="shared" si="112"/>
        <v>0.93125499600319739</v>
      </c>
      <c r="R924" s="5">
        <f t="shared" si="113"/>
        <v>2.1459227467811159E-2</v>
      </c>
      <c r="S924" s="5">
        <f t="shared" si="114"/>
        <v>0.44</v>
      </c>
      <c r="T924" s="5">
        <f t="shared" si="115"/>
        <v>0</v>
      </c>
      <c r="U924" s="5">
        <f t="shared" si="116"/>
        <v>0</v>
      </c>
      <c r="V924" s="6">
        <f t="shared" si="117"/>
        <v>19.278181818181817</v>
      </c>
      <c r="W924" s="7">
        <f t="shared" si="118"/>
        <v>8.4824000000000002</v>
      </c>
      <c r="X924" s="5">
        <f t="shared" si="119"/>
        <v>-1</v>
      </c>
    </row>
    <row r="925" spans="1:24" x14ac:dyDescent="0.35">
      <c r="A925" s="3">
        <v>46175</v>
      </c>
      <c r="B925" t="s">
        <v>1319</v>
      </c>
      <c r="C925" t="s">
        <v>1320</v>
      </c>
      <c r="D925" t="s">
        <v>34</v>
      </c>
      <c r="E925" t="s">
        <v>35</v>
      </c>
      <c r="F925" t="s">
        <v>20</v>
      </c>
      <c r="G925" t="s">
        <v>41</v>
      </c>
      <c r="H925" t="s">
        <v>37</v>
      </c>
      <c r="I925">
        <v>4857</v>
      </c>
      <c r="J925">
        <v>4818</v>
      </c>
      <c r="K925">
        <v>4513</v>
      </c>
      <c r="L925">
        <v>230</v>
      </c>
      <c r="M925">
        <v>109</v>
      </c>
      <c r="N925">
        <v>6</v>
      </c>
      <c r="O925">
        <v>365.49</v>
      </c>
      <c r="P925">
        <v>5480.79</v>
      </c>
      <c r="Q925" s="5">
        <f t="shared" si="112"/>
        <v>0.93669572436695725</v>
      </c>
      <c r="R925" s="5">
        <f t="shared" si="113"/>
        <v>5.0963882118324838E-2</v>
      </c>
      <c r="S925" s="5">
        <f t="shared" si="114"/>
        <v>0.47391304347826085</v>
      </c>
      <c r="T925" s="5">
        <f t="shared" si="115"/>
        <v>5.5045871559633031E-2</v>
      </c>
      <c r="U925" s="5">
        <f t="shared" si="116"/>
        <v>1.3294925769997785E-3</v>
      </c>
      <c r="V925" s="6">
        <f t="shared" si="117"/>
        <v>3.353119266055046</v>
      </c>
      <c r="W925" s="7">
        <f t="shared" si="118"/>
        <v>1.5890869565217391</v>
      </c>
      <c r="X925" s="5">
        <f t="shared" si="119"/>
        <v>13.995731757366823</v>
      </c>
    </row>
    <row r="926" spans="1:24" x14ac:dyDescent="0.35">
      <c r="A926" s="3">
        <v>46175</v>
      </c>
      <c r="B926" t="s">
        <v>1321</v>
      </c>
      <c r="C926" t="s">
        <v>1322</v>
      </c>
      <c r="D926" t="s">
        <v>31</v>
      </c>
      <c r="E926" t="s">
        <v>19</v>
      </c>
      <c r="F926" t="s">
        <v>20</v>
      </c>
      <c r="G926" t="s">
        <v>21</v>
      </c>
      <c r="H926" t="s">
        <v>51</v>
      </c>
      <c r="I926">
        <v>2641</v>
      </c>
      <c r="J926">
        <v>2198</v>
      </c>
      <c r="K926">
        <v>2061</v>
      </c>
      <c r="L926">
        <v>30</v>
      </c>
      <c r="M926">
        <v>10</v>
      </c>
      <c r="N926">
        <v>0</v>
      </c>
      <c r="O926">
        <v>400.1</v>
      </c>
      <c r="P926">
        <v>0</v>
      </c>
      <c r="Q926" s="5">
        <f t="shared" si="112"/>
        <v>0.93767060964513194</v>
      </c>
      <c r="R926" s="5">
        <f t="shared" si="113"/>
        <v>1.4556040756914119E-2</v>
      </c>
      <c r="S926" s="5">
        <f t="shared" si="114"/>
        <v>0.33333333333333331</v>
      </c>
      <c r="T926" s="5">
        <f t="shared" si="115"/>
        <v>0</v>
      </c>
      <c r="U926" s="5">
        <f t="shared" si="116"/>
        <v>0</v>
      </c>
      <c r="V926" s="6">
        <f t="shared" si="117"/>
        <v>40.010000000000005</v>
      </c>
      <c r="W926" s="7">
        <f t="shared" si="118"/>
        <v>13.336666666666668</v>
      </c>
      <c r="X926" s="5">
        <f t="shared" si="119"/>
        <v>-1</v>
      </c>
    </row>
    <row r="927" spans="1:24" x14ac:dyDescent="0.35">
      <c r="A927" s="3">
        <v>46175</v>
      </c>
      <c r="B927" t="s">
        <v>1312</v>
      </c>
      <c r="C927" t="s">
        <v>1323</v>
      </c>
      <c r="D927" t="s">
        <v>31</v>
      </c>
      <c r="E927" t="s">
        <v>19</v>
      </c>
      <c r="F927" t="s">
        <v>26</v>
      </c>
      <c r="G927" t="s">
        <v>21</v>
      </c>
      <c r="H927" t="s">
        <v>51</v>
      </c>
      <c r="I927">
        <v>4922</v>
      </c>
      <c r="J927">
        <v>4281</v>
      </c>
      <c r="K927">
        <v>4224</v>
      </c>
      <c r="L927">
        <v>87</v>
      </c>
      <c r="M927">
        <v>40</v>
      </c>
      <c r="N927">
        <v>1</v>
      </c>
      <c r="O927">
        <v>822.87</v>
      </c>
      <c r="P927">
        <v>864.61</v>
      </c>
      <c r="Q927" s="5">
        <f t="shared" si="112"/>
        <v>0.98668535388927825</v>
      </c>
      <c r="R927" s="5">
        <f t="shared" si="113"/>
        <v>2.0596590909090908E-2</v>
      </c>
      <c r="S927" s="5">
        <f t="shared" si="114"/>
        <v>0.45977011494252873</v>
      </c>
      <c r="T927" s="5">
        <f t="shared" si="115"/>
        <v>2.5000000000000001E-2</v>
      </c>
      <c r="U927" s="5">
        <f t="shared" si="116"/>
        <v>2.3674242424242425E-4</v>
      </c>
      <c r="V927" s="6">
        <f t="shared" si="117"/>
        <v>20.571750000000002</v>
      </c>
      <c r="W927" s="7">
        <f t="shared" si="118"/>
        <v>9.458275862068966</v>
      </c>
      <c r="X927" s="5">
        <f t="shared" si="119"/>
        <v>5.0724901867852772E-2</v>
      </c>
    </row>
    <row r="928" spans="1:24" x14ac:dyDescent="0.35">
      <c r="A928" s="3">
        <v>46175</v>
      </c>
      <c r="B928" t="s">
        <v>1324</v>
      </c>
      <c r="C928" t="s">
        <v>1325</v>
      </c>
      <c r="D928" t="s">
        <v>34</v>
      </c>
      <c r="E928" t="s">
        <v>25</v>
      </c>
      <c r="F928" t="s">
        <v>26</v>
      </c>
      <c r="G928" t="s">
        <v>59</v>
      </c>
      <c r="H928" t="s">
        <v>48</v>
      </c>
      <c r="I928">
        <v>1067</v>
      </c>
      <c r="J928">
        <v>974</v>
      </c>
      <c r="K928">
        <v>927</v>
      </c>
      <c r="L928">
        <v>46</v>
      </c>
      <c r="M928">
        <v>27</v>
      </c>
      <c r="N928">
        <v>2</v>
      </c>
      <c r="O928">
        <v>93.28</v>
      </c>
      <c r="P928">
        <v>1863.83</v>
      </c>
      <c r="Q928" s="5">
        <f t="shared" si="112"/>
        <v>0.95174537987679675</v>
      </c>
      <c r="R928" s="5">
        <f t="shared" si="113"/>
        <v>4.9622437971952538E-2</v>
      </c>
      <c r="S928" s="5">
        <f t="shared" si="114"/>
        <v>0.58695652173913049</v>
      </c>
      <c r="T928" s="5">
        <f t="shared" si="115"/>
        <v>7.407407407407407E-2</v>
      </c>
      <c r="U928" s="5">
        <f t="shared" si="116"/>
        <v>2.1574973031283709E-3</v>
      </c>
      <c r="V928" s="6">
        <f t="shared" si="117"/>
        <v>3.454814814814815</v>
      </c>
      <c r="W928" s="7">
        <f t="shared" si="118"/>
        <v>2.0278260869565217</v>
      </c>
      <c r="X928" s="5">
        <f t="shared" si="119"/>
        <v>18.981024871355061</v>
      </c>
    </row>
    <row r="929" spans="1:24" x14ac:dyDescent="0.35">
      <c r="A929" s="3">
        <v>46175</v>
      </c>
      <c r="B929" t="s">
        <v>1326</v>
      </c>
      <c r="C929" t="s">
        <v>1327</v>
      </c>
      <c r="D929" t="s">
        <v>31</v>
      </c>
      <c r="E929" t="s">
        <v>35</v>
      </c>
      <c r="F929" t="s">
        <v>20</v>
      </c>
      <c r="G929" t="s">
        <v>27</v>
      </c>
      <c r="H929" t="s">
        <v>37</v>
      </c>
      <c r="I929">
        <v>3810</v>
      </c>
      <c r="J929">
        <v>3261</v>
      </c>
      <c r="K929">
        <v>3133</v>
      </c>
      <c r="L929">
        <v>155</v>
      </c>
      <c r="M929">
        <v>66</v>
      </c>
      <c r="N929">
        <v>4</v>
      </c>
      <c r="O929">
        <v>549.73</v>
      </c>
      <c r="P929">
        <v>5870.88</v>
      </c>
      <c r="Q929" s="5">
        <f t="shared" si="112"/>
        <v>0.96074823673719723</v>
      </c>
      <c r="R929" s="5">
        <f t="shared" si="113"/>
        <v>4.9473348228534948E-2</v>
      </c>
      <c r="S929" s="5">
        <f t="shared" si="114"/>
        <v>0.4258064516129032</v>
      </c>
      <c r="T929" s="5">
        <f t="shared" si="115"/>
        <v>6.0606060606060608E-2</v>
      </c>
      <c r="U929" s="5">
        <f t="shared" si="116"/>
        <v>1.2767315671879987E-3</v>
      </c>
      <c r="V929" s="6">
        <f t="shared" si="117"/>
        <v>8.329242424242425</v>
      </c>
      <c r="W929" s="7">
        <f t="shared" si="118"/>
        <v>3.5466451612903227</v>
      </c>
      <c r="X929" s="5">
        <f t="shared" si="119"/>
        <v>9.6795699707128939</v>
      </c>
    </row>
    <row r="930" spans="1:24" x14ac:dyDescent="0.35">
      <c r="A930" s="3">
        <v>46175</v>
      </c>
      <c r="B930" t="s">
        <v>1328</v>
      </c>
      <c r="C930" t="s">
        <v>1329</v>
      </c>
      <c r="D930" t="s">
        <v>31</v>
      </c>
      <c r="E930" t="s">
        <v>56</v>
      </c>
      <c r="F930" t="s">
        <v>20</v>
      </c>
      <c r="G930" t="s">
        <v>41</v>
      </c>
      <c r="H930" t="s">
        <v>28</v>
      </c>
      <c r="I930">
        <v>945</v>
      </c>
      <c r="J930">
        <v>686</v>
      </c>
      <c r="K930">
        <v>659</v>
      </c>
      <c r="L930">
        <v>29</v>
      </c>
      <c r="M930">
        <v>10</v>
      </c>
      <c r="N930">
        <v>1</v>
      </c>
      <c r="O930">
        <v>125.7</v>
      </c>
      <c r="P930">
        <v>1152</v>
      </c>
      <c r="Q930" s="5">
        <f t="shared" si="112"/>
        <v>0.96064139941690962</v>
      </c>
      <c r="R930" s="5">
        <f t="shared" si="113"/>
        <v>4.4006069802731411E-2</v>
      </c>
      <c r="S930" s="5">
        <f t="shared" si="114"/>
        <v>0.34482758620689657</v>
      </c>
      <c r="T930" s="5">
        <f t="shared" si="115"/>
        <v>0.1</v>
      </c>
      <c r="U930" s="5">
        <f t="shared" si="116"/>
        <v>1.5174506828528073E-3</v>
      </c>
      <c r="V930" s="6">
        <f t="shared" si="117"/>
        <v>12.57</v>
      </c>
      <c r="W930" s="7">
        <f t="shared" si="118"/>
        <v>4.3344827586206893</v>
      </c>
      <c r="X930" s="5">
        <f t="shared" si="119"/>
        <v>8.1646778042959429</v>
      </c>
    </row>
    <row r="931" spans="1:24" x14ac:dyDescent="0.35">
      <c r="A931" s="3">
        <v>46175</v>
      </c>
      <c r="B931" t="s">
        <v>1330</v>
      </c>
      <c r="C931" t="s">
        <v>1331</v>
      </c>
      <c r="D931" t="s">
        <v>40</v>
      </c>
      <c r="E931" t="s">
        <v>35</v>
      </c>
      <c r="F931" t="s">
        <v>26</v>
      </c>
      <c r="G931" t="s">
        <v>27</v>
      </c>
      <c r="H931" t="s">
        <v>48</v>
      </c>
      <c r="I931">
        <v>4408</v>
      </c>
      <c r="J931">
        <v>4028</v>
      </c>
      <c r="K931">
        <v>3764</v>
      </c>
      <c r="L931">
        <v>365</v>
      </c>
      <c r="M931">
        <v>189</v>
      </c>
      <c r="N931">
        <v>18</v>
      </c>
      <c r="O931">
        <v>530.36</v>
      </c>
      <c r="P931">
        <v>15644.34</v>
      </c>
      <c r="Q931" s="5">
        <f t="shared" si="112"/>
        <v>0.93445878848063557</v>
      </c>
      <c r="R931" s="5">
        <f t="shared" si="113"/>
        <v>9.6971307120085018E-2</v>
      </c>
      <c r="S931" s="5">
        <f t="shared" si="114"/>
        <v>0.51780821917808217</v>
      </c>
      <c r="T931" s="5">
        <f t="shared" si="115"/>
        <v>9.5238095238095233E-2</v>
      </c>
      <c r="U931" s="5">
        <f t="shared" si="116"/>
        <v>4.7821466524973436E-3</v>
      </c>
      <c r="V931" s="6">
        <f t="shared" si="117"/>
        <v>2.8061375661375663</v>
      </c>
      <c r="W931" s="7">
        <f t="shared" si="118"/>
        <v>1.453041095890411</v>
      </c>
      <c r="X931" s="5">
        <f t="shared" si="119"/>
        <v>28.497586544988309</v>
      </c>
    </row>
    <row r="932" spans="1:24" x14ac:dyDescent="0.35">
      <c r="A932" s="3">
        <v>46175</v>
      </c>
      <c r="B932" t="s">
        <v>1332</v>
      </c>
      <c r="C932" t="s">
        <v>1333</v>
      </c>
      <c r="D932" t="s">
        <v>40</v>
      </c>
      <c r="E932" t="s">
        <v>56</v>
      </c>
      <c r="F932" t="s">
        <v>26</v>
      </c>
      <c r="G932" t="s">
        <v>21</v>
      </c>
      <c r="H932" t="s">
        <v>51</v>
      </c>
      <c r="I932">
        <v>4754</v>
      </c>
      <c r="J932">
        <v>3946</v>
      </c>
      <c r="K932">
        <v>3711</v>
      </c>
      <c r="L932">
        <v>253</v>
      </c>
      <c r="M932">
        <v>153</v>
      </c>
      <c r="N932">
        <v>6</v>
      </c>
      <c r="O932">
        <v>578.34</v>
      </c>
      <c r="P932">
        <v>5544.71</v>
      </c>
      <c r="Q932" s="5">
        <f t="shared" si="112"/>
        <v>0.94044602128737964</v>
      </c>
      <c r="R932" s="5">
        <f t="shared" si="113"/>
        <v>6.8175693883050392E-2</v>
      </c>
      <c r="S932" s="5">
        <f t="shared" si="114"/>
        <v>0.60474308300395252</v>
      </c>
      <c r="T932" s="5">
        <f t="shared" si="115"/>
        <v>3.9215686274509803E-2</v>
      </c>
      <c r="U932" s="5">
        <f t="shared" si="116"/>
        <v>1.6168148746968471E-3</v>
      </c>
      <c r="V932" s="6">
        <f t="shared" si="117"/>
        <v>3.7800000000000002</v>
      </c>
      <c r="W932" s="7">
        <f t="shared" si="118"/>
        <v>2.2859288537549407</v>
      </c>
      <c r="X932" s="5">
        <f t="shared" si="119"/>
        <v>8.587284296434623</v>
      </c>
    </row>
    <row r="933" spans="1:24" x14ac:dyDescent="0.35">
      <c r="A933" s="3">
        <v>46175</v>
      </c>
      <c r="B933" t="s">
        <v>1334</v>
      </c>
      <c r="C933" t="s">
        <v>1335</v>
      </c>
      <c r="D933" t="s">
        <v>40</v>
      </c>
      <c r="E933" t="s">
        <v>19</v>
      </c>
      <c r="F933" t="s">
        <v>20</v>
      </c>
      <c r="G933" t="s">
        <v>41</v>
      </c>
      <c r="H933" t="s">
        <v>48</v>
      </c>
      <c r="I933">
        <v>1973</v>
      </c>
      <c r="J933">
        <v>1743</v>
      </c>
      <c r="K933">
        <v>1661</v>
      </c>
      <c r="L933">
        <v>46</v>
      </c>
      <c r="M933">
        <v>19</v>
      </c>
      <c r="N933">
        <v>0</v>
      </c>
      <c r="O933">
        <v>241.45</v>
      </c>
      <c r="P933">
        <v>0</v>
      </c>
      <c r="Q933" s="5">
        <f t="shared" si="112"/>
        <v>0.95295467584624216</v>
      </c>
      <c r="R933" s="5">
        <f t="shared" si="113"/>
        <v>2.7694160144491272E-2</v>
      </c>
      <c r="S933" s="5">
        <f t="shared" si="114"/>
        <v>0.41304347826086957</v>
      </c>
      <c r="T933" s="5">
        <f t="shared" si="115"/>
        <v>0</v>
      </c>
      <c r="U933" s="5">
        <f t="shared" si="116"/>
        <v>0</v>
      </c>
      <c r="V933" s="6">
        <f t="shared" si="117"/>
        <v>12.707894736842105</v>
      </c>
      <c r="W933" s="7">
        <f t="shared" si="118"/>
        <v>5.2489130434782609</v>
      </c>
      <c r="X933" s="5">
        <f t="shared" si="119"/>
        <v>-1</v>
      </c>
    </row>
    <row r="934" spans="1:24" x14ac:dyDescent="0.35">
      <c r="A934" s="3">
        <v>46176</v>
      </c>
      <c r="B934" t="s">
        <v>1336</v>
      </c>
      <c r="C934" t="s">
        <v>1337</v>
      </c>
      <c r="D934" t="s">
        <v>40</v>
      </c>
      <c r="E934" t="s">
        <v>56</v>
      </c>
      <c r="F934" t="s">
        <v>20</v>
      </c>
      <c r="G934" t="s">
        <v>41</v>
      </c>
      <c r="H934" t="s">
        <v>22</v>
      </c>
      <c r="I934">
        <v>3926</v>
      </c>
      <c r="J934">
        <v>3464</v>
      </c>
      <c r="K934">
        <v>3307</v>
      </c>
      <c r="L934">
        <v>187</v>
      </c>
      <c r="M934">
        <v>71</v>
      </c>
      <c r="N934">
        <v>4</v>
      </c>
      <c r="O934">
        <v>472.47</v>
      </c>
      <c r="P934">
        <v>4586.62</v>
      </c>
      <c r="Q934" s="5">
        <f t="shared" si="112"/>
        <v>0.95467667436489612</v>
      </c>
      <c r="R934" s="5">
        <f t="shared" si="113"/>
        <v>5.6546719080737828E-2</v>
      </c>
      <c r="S934" s="5">
        <f t="shared" si="114"/>
        <v>0.37967914438502676</v>
      </c>
      <c r="T934" s="5">
        <f t="shared" si="115"/>
        <v>5.6338028169014086E-2</v>
      </c>
      <c r="U934" s="5">
        <f t="shared" si="116"/>
        <v>1.2095554883580285E-3</v>
      </c>
      <c r="V934" s="6">
        <f t="shared" si="117"/>
        <v>6.6545070422535213</v>
      </c>
      <c r="W934" s="7">
        <f t="shared" si="118"/>
        <v>2.5265775401069521</v>
      </c>
      <c r="X934" s="5">
        <f t="shared" si="119"/>
        <v>8.7077486401252973</v>
      </c>
    </row>
    <row r="935" spans="1:24" x14ac:dyDescent="0.35">
      <c r="A935" s="3">
        <v>46176</v>
      </c>
      <c r="B935" t="s">
        <v>1338</v>
      </c>
      <c r="C935" t="s">
        <v>1339</v>
      </c>
      <c r="D935" t="s">
        <v>40</v>
      </c>
      <c r="E935" t="s">
        <v>25</v>
      </c>
      <c r="F935" t="s">
        <v>20</v>
      </c>
      <c r="G935" t="s">
        <v>59</v>
      </c>
      <c r="H935" t="s">
        <v>51</v>
      </c>
      <c r="I935">
        <v>2968</v>
      </c>
      <c r="J935">
        <v>2779</v>
      </c>
      <c r="K935">
        <v>2609</v>
      </c>
      <c r="L935">
        <v>115</v>
      </c>
      <c r="M935">
        <v>59</v>
      </c>
      <c r="N935">
        <v>3</v>
      </c>
      <c r="O935">
        <v>365.13</v>
      </c>
      <c r="P935">
        <v>2810.32</v>
      </c>
      <c r="Q935" s="5">
        <f t="shared" si="112"/>
        <v>0.93882691615689096</v>
      </c>
      <c r="R935" s="5">
        <f t="shared" si="113"/>
        <v>4.4078190877730933E-2</v>
      </c>
      <c r="S935" s="5">
        <f t="shared" si="114"/>
        <v>0.5130434782608696</v>
      </c>
      <c r="T935" s="5">
        <f t="shared" si="115"/>
        <v>5.0847457627118647E-2</v>
      </c>
      <c r="U935" s="5">
        <f t="shared" si="116"/>
        <v>1.1498658489842851E-3</v>
      </c>
      <c r="V935" s="6">
        <f t="shared" si="117"/>
        <v>6.1886440677966101</v>
      </c>
      <c r="W935" s="7">
        <f t="shared" si="118"/>
        <v>3.1750434782608696</v>
      </c>
      <c r="X935" s="5">
        <f t="shared" si="119"/>
        <v>6.696765535562677</v>
      </c>
    </row>
    <row r="936" spans="1:24" x14ac:dyDescent="0.35">
      <c r="A936" s="3">
        <v>46176</v>
      </c>
      <c r="B936" t="s">
        <v>1340</v>
      </c>
      <c r="C936" t="s">
        <v>1341</v>
      </c>
      <c r="D936" t="s">
        <v>31</v>
      </c>
      <c r="E936" t="s">
        <v>25</v>
      </c>
      <c r="F936" t="s">
        <v>26</v>
      </c>
      <c r="G936" t="s">
        <v>36</v>
      </c>
      <c r="H936" t="s">
        <v>48</v>
      </c>
      <c r="I936">
        <v>1247</v>
      </c>
      <c r="J936">
        <v>1081</v>
      </c>
      <c r="K936">
        <v>1035</v>
      </c>
      <c r="L936">
        <v>34</v>
      </c>
      <c r="M936">
        <v>17</v>
      </c>
      <c r="N936">
        <v>1</v>
      </c>
      <c r="O936">
        <v>183.13</v>
      </c>
      <c r="P936">
        <v>1426.38</v>
      </c>
      <c r="Q936" s="5">
        <f t="shared" si="112"/>
        <v>0.95744680851063835</v>
      </c>
      <c r="R936" s="5">
        <f t="shared" si="113"/>
        <v>3.2850241545893721E-2</v>
      </c>
      <c r="S936" s="5">
        <f t="shared" si="114"/>
        <v>0.5</v>
      </c>
      <c r="T936" s="5">
        <f t="shared" si="115"/>
        <v>5.8823529411764705E-2</v>
      </c>
      <c r="U936" s="5">
        <f t="shared" si="116"/>
        <v>9.6618357487922703E-4</v>
      </c>
      <c r="V936" s="6">
        <f t="shared" si="117"/>
        <v>10.77235294117647</v>
      </c>
      <c r="W936" s="7">
        <f t="shared" si="118"/>
        <v>5.3861764705882349</v>
      </c>
      <c r="X936" s="5">
        <f t="shared" si="119"/>
        <v>6.7888931360235896</v>
      </c>
    </row>
    <row r="937" spans="1:24" x14ac:dyDescent="0.35">
      <c r="A937" s="3">
        <v>46176</v>
      </c>
      <c r="B937" t="s">
        <v>1342</v>
      </c>
      <c r="C937" t="s">
        <v>1343</v>
      </c>
      <c r="D937" t="s">
        <v>40</v>
      </c>
      <c r="E937" t="s">
        <v>19</v>
      </c>
      <c r="F937" t="s">
        <v>20</v>
      </c>
      <c r="G937" t="s">
        <v>41</v>
      </c>
      <c r="H937" t="s">
        <v>51</v>
      </c>
      <c r="I937">
        <v>3568</v>
      </c>
      <c r="J937">
        <v>3125</v>
      </c>
      <c r="K937">
        <v>2923</v>
      </c>
      <c r="L937">
        <v>46</v>
      </c>
      <c r="M937">
        <v>24</v>
      </c>
      <c r="N937">
        <v>1</v>
      </c>
      <c r="O937">
        <v>523.94000000000005</v>
      </c>
      <c r="P937">
        <v>928.62</v>
      </c>
      <c r="Q937" s="5">
        <f t="shared" si="112"/>
        <v>0.93535999999999997</v>
      </c>
      <c r="R937" s="5">
        <f t="shared" si="113"/>
        <v>1.5737256243585358E-2</v>
      </c>
      <c r="S937" s="5">
        <f t="shared" si="114"/>
        <v>0.52173913043478259</v>
      </c>
      <c r="T937" s="5">
        <f t="shared" si="115"/>
        <v>4.1666666666666664E-2</v>
      </c>
      <c r="U937" s="5">
        <f t="shared" si="116"/>
        <v>3.4211426616489907E-4</v>
      </c>
      <c r="V937" s="6">
        <f t="shared" si="117"/>
        <v>21.830833333333334</v>
      </c>
      <c r="W937" s="7">
        <f t="shared" si="118"/>
        <v>11.39</v>
      </c>
      <c r="X937" s="5">
        <f t="shared" si="119"/>
        <v>0.77237851662404078</v>
      </c>
    </row>
    <row r="938" spans="1:24" x14ac:dyDescent="0.35">
      <c r="A938" s="3">
        <v>46176</v>
      </c>
      <c r="B938" t="s">
        <v>1324</v>
      </c>
      <c r="C938" t="s">
        <v>1344</v>
      </c>
      <c r="D938" t="s">
        <v>18</v>
      </c>
      <c r="E938" t="s">
        <v>25</v>
      </c>
      <c r="F938" t="s">
        <v>26</v>
      </c>
      <c r="G938" t="s">
        <v>59</v>
      </c>
      <c r="H938" t="s">
        <v>28</v>
      </c>
      <c r="I938">
        <v>2626</v>
      </c>
      <c r="J938">
        <v>2212</v>
      </c>
      <c r="K938">
        <v>2061</v>
      </c>
      <c r="L938">
        <v>110</v>
      </c>
      <c r="M938">
        <v>80</v>
      </c>
      <c r="N938">
        <v>5</v>
      </c>
      <c r="O938">
        <v>318.36</v>
      </c>
      <c r="P938">
        <v>3833.83</v>
      </c>
      <c r="Q938" s="5">
        <f t="shared" si="112"/>
        <v>0.93173598553345394</v>
      </c>
      <c r="R938" s="5">
        <f t="shared" si="113"/>
        <v>5.3372149442018436E-2</v>
      </c>
      <c r="S938" s="5">
        <f t="shared" si="114"/>
        <v>0.72727272727272729</v>
      </c>
      <c r="T938" s="5">
        <f t="shared" si="115"/>
        <v>6.25E-2</v>
      </c>
      <c r="U938" s="5">
        <f t="shared" si="116"/>
        <v>2.4260067928190197E-3</v>
      </c>
      <c r="V938" s="6">
        <f t="shared" si="117"/>
        <v>3.9795000000000003</v>
      </c>
      <c r="W938" s="7">
        <f t="shared" si="118"/>
        <v>2.8941818181818184</v>
      </c>
      <c r="X938" s="5">
        <f t="shared" si="119"/>
        <v>11.042436235708003</v>
      </c>
    </row>
    <row r="939" spans="1:24" x14ac:dyDescent="0.35">
      <c r="A939" s="3">
        <v>46176</v>
      </c>
      <c r="B939" t="s">
        <v>1345</v>
      </c>
      <c r="C939" t="s">
        <v>1346</v>
      </c>
      <c r="D939" t="s">
        <v>40</v>
      </c>
      <c r="E939" t="s">
        <v>56</v>
      </c>
      <c r="F939" t="s">
        <v>20</v>
      </c>
      <c r="G939" t="s">
        <v>21</v>
      </c>
      <c r="H939" t="s">
        <v>37</v>
      </c>
      <c r="I939">
        <v>3040</v>
      </c>
      <c r="J939">
        <v>2354</v>
      </c>
      <c r="K939">
        <v>2178</v>
      </c>
      <c r="L939">
        <v>122</v>
      </c>
      <c r="M939">
        <v>52</v>
      </c>
      <c r="N939">
        <v>3</v>
      </c>
      <c r="O939">
        <v>417.48</v>
      </c>
      <c r="P939">
        <v>3397.95</v>
      </c>
      <c r="Q939" s="5">
        <f t="shared" si="112"/>
        <v>0.92523364485981308</v>
      </c>
      <c r="R939" s="5">
        <f t="shared" si="113"/>
        <v>5.6014692378328741E-2</v>
      </c>
      <c r="S939" s="5">
        <f t="shared" si="114"/>
        <v>0.42622950819672129</v>
      </c>
      <c r="T939" s="5">
        <f t="shared" si="115"/>
        <v>5.7692307692307696E-2</v>
      </c>
      <c r="U939" s="5">
        <f t="shared" si="116"/>
        <v>1.3774104683195593E-3</v>
      </c>
      <c r="V939" s="6">
        <f t="shared" si="117"/>
        <v>8.0284615384615385</v>
      </c>
      <c r="W939" s="7">
        <f t="shared" si="118"/>
        <v>3.4219672131147543</v>
      </c>
      <c r="X939" s="5">
        <f t="shared" si="119"/>
        <v>7.1391922966369634</v>
      </c>
    </row>
    <row r="940" spans="1:24" x14ac:dyDescent="0.35">
      <c r="A940" s="3">
        <v>46177</v>
      </c>
      <c r="B940" t="s">
        <v>1347</v>
      </c>
      <c r="C940" t="s">
        <v>1348</v>
      </c>
      <c r="D940" t="s">
        <v>18</v>
      </c>
      <c r="E940" t="s">
        <v>25</v>
      </c>
      <c r="F940" t="s">
        <v>26</v>
      </c>
      <c r="G940" t="s">
        <v>21</v>
      </c>
      <c r="H940" t="s">
        <v>28</v>
      </c>
      <c r="I940">
        <v>4748</v>
      </c>
      <c r="J940">
        <v>4041</v>
      </c>
      <c r="K940">
        <v>3723</v>
      </c>
      <c r="L940">
        <v>212</v>
      </c>
      <c r="M940">
        <v>141</v>
      </c>
      <c r="N940">
        <v>7</v>
      </c>
      <c r="O940">
        <v>482.75</v>
      </c>
      <c r="P940">
        <v>8549.35</v>
      </c>
      <c r="Q940" s="5">
        <f t="shared" si="112"/>
        <v>0.9213066072754269</v>
      </c>
      <c r="R940" s="5">
        <f t="shared" si="113"/>
        <v>5.6943325275315607E-2</v>
      </c>
      <c r="S940" s="5">
        <f t="shared" si="114"/>
        <v>0.66509433962264153</v>
      </c>
      <c r="T940" s="5">
        <f t="shared" si="115"/>
        <v>4.9645390070921988E-2</v>
      </c>
      <c r="U940" s="5">
        <f t="shared" si="116"/>
        <v>1.8802041364491002E-3</v>
      </c>
      <c r="V940" s="6">
        <f t="shared" si="117"/>
        <v>3.4237588652482271</v>
      </c>
      <c r="W940" s="7">
        <f t="shared" si="118"/>
        <v>2.2771226415094339</v>
      </c>
      <c r="X940" s="5">
        <f t="shared" si="119"/>
        <v>16.709684101501814</v>
      </c>
    </row>
    <row r="941" spans="1:24" x14ac:dyDescent="0.35">
      <c r="A941" s="3">
        <v>46177</v>
      </c>
      <c r="B941" t="s">
        <v>1349</v>
      </c>
      <c r="C941" t="s">
        <v>1350</v>
      </c>
      <c r="D941" t="s">
        <v>31</v>
      </c>
      <c r="E941" t="s">
        <v>19</v>
      </c>
      <c r="F941" t="s">
        <v>20</v>
      </c>
      <c r="G941" t="s">
        <v>21</v>
      </c>
      <c r="H941" t="s">
        <v>48</v>
      </c>
      <c r="I941">
        <v>2572</v>
      </c>
      <c r="J941">
        <v>1870</v>
      </c>
      <c r="K941">
        <v>1815</v>
      </c>
      <c r="L941">
        <v>5</v>
      </c>
      <c r="M941">
        <v>2</v>
      </c>
      <c r="N941">
        <v>0</v>
      </c>
      <c r="O941">
        <v>303.86</v>
      </c>
      <c r="P941">
        <v>0</v>
      </c>
      <c r="Q941" s="5">
        <f t="shared" si="112"/>
        <v>0.97058823529411764</v>
      </c>
      <c r="R941" s="5">
        <f t="shared" si="113"/>
        <v>2.7548209366391185E-3</v>
      </c>
      <c r="S941" s="5">
        <f t="shared" si="114"/>
        <v>0.4</v>
      </c>
      <c r="T941" s="5">
        <f t="shared" si="115"/>
        <v>0</v>
      </c>
      <c r="U941" s="5">
        <f t="shared" si="116"/>
        <v>0</v>
      </c>
      <c r="V941" s="6">
        <f t="shared" si="117"/>
        <v>151.93</v>
      </c>
      <c r="W941" s="7">
        <f t="shared" si="118"/>
        <v>60.772000000000006</v>
      </c>
      <c r="X941" s="5">
        <f t="shared" si="119"/>
        <v>-1</v>
      </c>
    </row>
    <row r="942" spans="1:24" x14ac:dyDescent="0.35">
      <c r="A942" s="3">
        <v>46177</v>
      </c>
      <c r="B942" t="s">
        <v>1351</v>
      </c>
      <c r="C942" t="s">
        <v>1352</v>
      </c>
      <c r="D942" t="s">
        <v>40</v>
      </c>
      <c r="E942" t="s">
        <v>35</v>
      </c>
      <c r="F942" t="s">
        <v>26</v>
      </c>
      <c r="G942" t="s">
        <v>59</v>
      </c>
      <c r="H942" t="s">
        <v>37</v>
      </c>
      <c r="I942">
        <v>1785</v>
      </c>
      <c r="J942">
        <v>1746</v>
      </c>
      <c r="K942">
        <v>1593</v>
      </c>
      <c r="L942">
        <v>171</v>
      </c>
      <c r="M942">
        <v>96</v>
      </c>
      <c r="N942">
        <v>8</v>
      </c>
      <c r="O942">
        <v>250.5</v>
      </c>
      <c r="P942">
        <v>10272.73</v>
      </c>
      <c r="Q942" s="5">
        <f t="shared" si="112"/>
        <v>0.91237113402061853</v>
      </c>
      <c r="R942" s="5">
        <f t="shared" si="113"/>
        <v>0.10734463276836158</v>
      </c>
      <c r="S942" s="5">
        <f t="shared" si="114"/>
        <v>0.56140350877192979</v>
      </c>
      <c r="T942" s="5">
        <f t="shared" si="115"/>
        <v>8.3333333333333329E-2</v>
      </c>
      <c r="U942" s="5">
        <f t="shared" si="116"/>
        <v>5.0219711236660393E-3</v>
      </c>
      <c r="V942" s="6">
        <f t="shared" si="117"/>
        <v>2.609375</v>
      </c>
      <c r="W942" s="7">
        <f t="shared" si="118"/>
        <v>1.4649122807017543</v>
      </c>
      <c r="X942" s="5">
        <f t="shared" si="119"/>
        <v>40.008902195608783</v>
      </c>
    </row>
    <row r="943" spans="1:24" x14ac:dyDescent="0.35">
      <c r="A943" s="3">
        <v>46177</v>
      </c>
      <c r="B943" t="s">
        <v>1306</v>
      </c>
      <c r="C943" t="s">
        <v>1353</v>
      </c>
      <c r="D943" t="s">
        <v>31</v>
      </c>
      <c r="E943" t="s">
        <v>56</v>
      </c>
      <c r="F943" t="s">
        <v>20</v>
      </c>
      <c r="G943" t="s">
        <v>59</v>
      </c>
      <c r="H943" t="s">
        <v>51</v>
      </c>
      <c r="I943">
        <v>2395</v>
      </c>
      <c r="J943">
        <v>1897</v>
      </c>
      <c r="K943">
        <v>1827</v>
      </c>
      <c r="L943">
        <v>79</v>
      </c>
      <c r="M943">
        <v>28</v>
      </c>
      <c r="N943">
        <v>1</v>
      </c>
      <c r="O943">
        <v>386.22</v>
      </c>
      <c r="P943">
        <v>685.32</v>
      </c>
      <c r="Q943" s="5">
        <f t="shared" si="112"/>
        <v>0.96309963099630991</v>
      </c>
      <c r="R943" s="5">
        <f t="shared" si="113"/>
        <v>4.3240284619594963E-2</v>
      </c>
      <c r="S943" s="5">
        <f t="shared" si="114"/>
        <v>0.35443037974683544</v>
      </c>
      <c r="T943" s="5">
        <f t="shared" si="115"/>
        <v>3.5714285714285712E-2</v>
      </c>
      <c r="U943" s="5">
        <f t="shared" si="116"/>
        <v>5.4734537493158185E-4</v>
      </c>
      <c r="V943" s="6">
        <f t="shared" si="117"/>
        <v>13.793571428571429</v>
      </c>
      <c r="W943" s="7">
        <f t="shared" si="118"/>
        <v>4.8888607594936708</v>
      </c>
      <c r="X943" s="5">
        <f t="shared" si="119"/>
        <v>0.77442908187043658</v>
      </c>
    </row>
    <row r="944" spans="1:24" x14ac:dyDescent="0.35">
      <c r="A944" s="3">
        <v>46177</v>
      </c>
      <c r="B944" t="s">
        <v>1354</v>
      </c>
      <c r="C944" t="s">
        <v>1355</v>
      </c>
      <c r="D944" t="s">
        <v>34</v>
      </c>
      <c r="E944" t="s">
        <v>35</v>
      </c>
      <c r="F944" t="s">
        <v>26</v>
      </c>
      <c r="G944" t="s">
        <v>27</v>
      </c>
      <c r="H944" t="s">
        <v>28</v>
      </c>
      <c r="I944">
        <v>2486</v>
      </c>
      <c r="J944">
        <v>2378</v>
      </c>
      <c r="K944">
        <v>2297</v>
      </c>
      <c r="L944">
        <v>209</v>
      </c>
      <c r="M944">
        <v>118</v>
      </c>
      <c r="N944">
        <v>9</v>
      </c>
      <c r="O944">
        <v>227.17</v>
      </c>
      <c r="P944">
        <v>14117.14</v>
      </c>
      <c r="Q944" s="5">
        <f t="shared" si="112"/>
        <v>0.96593776282590416</v>
      </c>
      <c r="R944" s="5">
        <f t="shared" si="113"/>
        <v>9.0988245537657816E-2</v>
      </c>
      <c r="S944" s="5">
        <f t="shared" si="114"/>
        <v>0.56459330143540665</v>
      </c>
      <c r="T944" s="5">
        <f t="shared" si="115"/>
        <v>7.6271186440677971E-2</v>
      </c>
      <c r="U944" s="5">
        <f t="shared" si="116"/>
        <v>3.91815411406182E-3</v>
      </c>
      <c r="V944" s="6">
        <f t="shared" si="117"/>
        <v>1.9251694915254236</v>
      </c>
      <c r="W944" s="7">
        <f t="shared" si="118"/>
        <v>1.0869377990430622</v>
      </c>
      <c r="X944" s="5">
        <f t="shared" si="119"/>
        <v>61.143504864198619</v>
      </c>
    </row>
    <row r="945" spans="1:24" x14ac:dyDescent="0.35">
      <c r="A945" s="3">
        <v>46177</v>
      </c>
      <c r="B945" t="s">
        <v>1356</v>
      </c>
      <c r="C945" t="s">
        <v>1357</v>
      </c>
      <c r="D945" t="s">
        <v>18</v>
      </c>
      <c r="E945" t="s">
        <v>25</v>
      </c>
      <c r="F945" t="s">
        <v>26</v>
      </c>
      <c r="G945" t="s">
        <v>59</v>
      </c>
      <c r="H945" t="s">
        <v>28</v>
      </c>
      <c r="I945">
        <v>4639</v>
      </c>
      <c r="J945">
        <v>4072</v>
      </c>
      <c r="K945">
        <v>3640</v>
      </c>
      <c r="L945">
        <v>170</v>
      </c>
      <c r="M945">
        <v>120</v>
      </c>
      <c r="N945">
        <v>6</v>
      </c>
      <c r="O945">
        <v>545.54999999999995</v>
      </c>
      <c r="P945">
        <v>5572.72</v>
      </c>
      <c r="Q945" s="5">
        <f t="shared" si="112"/>
        <v>0.89390962671905694</v>
      </c>
      <c r="R945" s="5">
        <f t="shared" si="113"/>
        <v>4.6703296703296704E-2</v>
      </c>
      <c r="S945" s="5">
        <f t="shared" si="114"/>
        <v>0.70588235294117652</v>
      </c>
      <c r="T945" s="5">
        <f t="shared" si="115"/>
        <v>0.05</v>
      </c>
      <c r="U945" s="5">
        <f t="shared" si="116"/>
        <v>1.6483516483516484E-3</v>
      </c>
      <c r="V945" s="6">
        <f t="shared" si="117"/>
        <v>4.5462499999999997</v>
      </c>
      <c r="W945" s="7">
        <f t="shared" si="118"/>
        <v>3.2091176470588234</v>
      </c>
      <c r="X945" s="5">
        <f t="shared" si="119"/>
        <v>9.2148657318302636</v>
      </c>
    </row>
    <row r="946" spans="1:24" x14ac:dyDescent="0.35">
      <c r="A946" s="3">
        <v>46178</v>
      </c>
      <c r="B946" t="s">
        <v>1349</v>
      </c>
      <c r="C946" t="s">
        <v>1358</v>
      </c>
      <c r="D946" t="s">
        <v>34</v>
      </c>
      <c r="E946" t="s">
        <v>35</v>
      </c>
      <c r="F946" t="s">
        <v>20</v>
      </c>
      <c r="G946" t="s">
        <v>59</v>
      </c>
      <c r="H946" t="s">
        <v>22</v>
      </c>
      <c r="I946">
        <v>3102</v>
      </c>
      <c r="J946">
        <v>2852</v>
      </c>
      <c r="K946">
        <v>2731</v>
      </c>
      <c r="L946">
        <v>161</v>
      </c>
      <c r="M946">
        <v>89</v>
      </c>
      <c r="N946">
        <v>6</v>
      </c>
      <c r="O946">
        <v>260.68</v>
      </c>
      <c r="P946">
        <v>5358.42</v>
      </c>
      <c r="Q946" s="5">
        <f t="shared" si="112"/>
        <v>0.95757363253856942</v>
      </c>
      <c r="R946" s="5">
        <f t="shared" si="113"/>
        <v>5.895276455510802E-2</v>
      </c>
      <c r="S946" s="5">
        <f t="shared" si="114"/>
        <v>0.55279503105590067</v>
      </c>
      <c r="T946" s="5">
        <f t="shared" si="115"/>
        <v>6.741573033707865E-2</v>
      </c>
      <c r="U946" s="5">
        <f t="shared" si="116"/>
        <v>2.1969974368363236E-3</v>
      </c>
      <c r="V946" s="6">
        <f t="shared" si="117"/>
        <v>2.9289887640449437</v>
      </c>
      <c r="W946" s="7">
        <f t="shared" si="118"/>
        <v>1.6191304347826088</v>
      </c>
      <c r="X946" s="5">
        <f t="shared" si="119"/>
        <v>19.555547030842412</v>
      </c>
    </row>
    <row r="947" spans="1:24" x14ac:dyDescent="0.35">
      <c r="A947" s="3">
        <v>46178</v>
      </c>
      <c r="B947" t="s">
        <v>1359</v>
      </c>
      <c r="C947" t="s">
        <v>1360</v>
      </c>
      <c r="D947" t="s">
        <v>18</v>
      </c>
      <c r="E947" t="s">
        <v>56</v>
      </c>
      <c r="F947" t="s">
        <v>26</v>
      </c>
      <c r="G947" t="s">
        <v>59</v>
      </c>
      <c r="H947" t="s">
        <v>28</v>
      </c>
      <c r="I947">
        <v>3050</v>
      </c>
      <c r="J947">
        <v>2717</v>
      </c>
      <c r="K947">
        <v>2484</v>
      </c>
      <c r="L947">
        <v>180</v>
      </c>
      <c r="M947">
        <v>116</v>
      </c>
      <c r="N947">
        <v>6</v>
      </c>
      <c r="O947">
        <v>337.51</v>
      </c>
      <c r="P947">
        <v>8754.24</v>
      </c>
      <c r="Q947" s="5">
        <f t="shared" si="112"/>
        <v>0.91424365108575634</v>
      </c>
      <c r="R947" s="5">
        <f t="shared" si="113"/>
        <v>7.2463768115942032E-2</v>
      </c>
      <c r="S947" s="5">
        <f t="shared" si="114"/>
        <v>0.64444444444444449</v>
      </c>
      <c r="T947" s="5">
        <f t="shared" si="115"/>
        <v>5.1724137931034482E-2</v>
      </c>
      <c r="U947" s="5">
        <f t="shared" si="116"/>
        <v>2.4154589371980675E-3</v>
      </c>
      <c r="V947" s="6">
        <f t="shared" si="117"/>
        <v>2.9095689655172414</v>
      </c>
      <c r="W947" s="7">
        <f t="shared" si="118"/>
        <v>1.8750555555555555</v>
      </c>
      <c r="X947" s="5">
        <f t="shared" si="119"/>
        <v>24.93772036384107</v>
      </c>
    </row>
    <row r="948" spans="1:24" x14ac:dyDescent="0.35">
      <c r="A948" s="3">
        <v>46178</v>
      </c>
      <c r="B948" t="s">
        <v>1361</v>
      </c>
      <c r="C948" t="s">
        <v>1362</v>
      </c>
      <c r="D948" t="s">
        <v>18</v>
      </c>
      <c r="E948" t="s">
        <v>35</v>
      </c>
      <c r="F948" t="s">
        <v>20</v>
      </c>
      <c r="G948" t="s">
        <v>36</v>
      </c>
      <c r="H948" t="s">
        <v>22</v>
      </c>
      <c r="I948">
        <v>3958</v>
      </c>
      <c r="J948">
        <v>2953</v>
      </c>
      <c r="K948">
        <v>2621</v>
      </c>
      <c r="L948">
        <v>182</v>
      </c>
      <c r="M948">
        <v>110</v>
      </c>
      <c r="N948">
        <v>8</v>
      </c>
      <c r="O948">
        <v>388.46</v>
      </c>
      <c r="P948">
        <v>6804.26</v>
      </c>
      <c r="Q948" s="5">
        <f t="shared" si="112"/>
        <v>0.887571960717914</v>
      </c>
      <c r="R948" s="5">
        <f t="shared" si="113"/>
        <v>6.943914536436474E-2</v>
      </c>
      <c r="S948" s="5">
        <f t="shared" si="114"/>
        <v>0.60439560439560436</v>
      </c>
      <c r="T948" s="5">
        <f t="shared" si="115"/>
        <v>7.2727272727272724E-2</v>
      </c>
      <c r="U948" s="5">
        <f t="shared" si="116"/>
        <v>3.0522701259061429E-3</v>
      </c>
      <c r="V948" s="6">
        <f t="shared" si="117"/>
        <v>3.5314545454545452</v>
      </c>
      <c r="W948" s="7">
        <f t="shared" si="118"/>
        <v>2.1343956043956043</v>
      </c>
      <c r="X948" s="5">
        <f t="shared" si="119"/>
        <v>16.515986201925553</v>
      </c>
    </row>
    <row r="949" spans="1:24" x14ac:dyDescent="0.35">
      <c r="A949" s="3">
        <v>46178</v>
      </c>
      <c r="B949" t="s">
        <v>1363</v>
      </c>
      <c r="C949" t="s">
        <v>1364</v>
      </c>
      <c r="D949" t="s">
        <v>34</v>
      </c>
      <c r="E949" t="s">
        <v>35</v>
      </c>
      <c r="F949" t="s">
        <v>26</v>
      </c>
      <c r="G949" t="s">
        <v>21</v>
      </c>
      <c r="H949" t="s">
        <v>22</v>
      </c>
      <c r="I949">
        <v>979</v>
      </c>
      <c r="J949">
        <v>861</v>
      </c>
      <c r="K949">
        <v>799</v>
      </c>
      <c r="L949">
        <v>68</v>
      </c>
      <c r="M949">
        <v>40</v>
      </c>
      <c r="N949">
        <v>4</v>
      </c>
      <c r="O949">
        <v>62.06</v>
      </c>
      <c r="P949">
        <v>5956.93</v>
      </c>
      <c r="Q949" s="5">
        <f t="shared" si="112"/>
        <v>0.92799070847851339</v>
      </c>
      <c r="R949" s="5">
        <f t="shared" si="113"/>
        <v>8.5106382978723402E-2</v>
      </c>
      <c r="S949" s="5">
        <f t="shared" si="114"/>
        <v>0.58823529411764708</v>
      </c>
      <c r="T949" s="5">
        <f t="shared" si="115"/>
        <v>0.1</v>
      </c>
      <c r="U949" s="5">
        <f t="shared" si="116"/>
        <v>5.0062578222778474E-3</v>
      </c>
      <c r="V949" s="6">
        <f t="shared" si="117"/>
        <v>1.5515000000000001</v>
      </c>
      <c r="W949" s="7">
        <f t="shared" si="118"/>
        <v>0.91264705882352948</v>
      </c>
      <c r="X949" s="5">
        <f t="shared" si="119"/>
        <v>94.986625845955516</v>
      </c>
    </row>
    <row r="950" spans="1:24" x14ac:dyDescent="0.35">
      <c r="A950" s="3">
        <v>46178</v>
      </c>
      <c r="B950" t="s">
        <v>1365</v>
      </c>
      <c r="C950" t="s">
        <v>1366</v>
      </c>
      <c r="D950" t="s">
        <v>18</v>
      </c>
      <c r="E950" t="s">
        <v>19</v>
      </c>
      <c r="F950" t="s">
        <v>26</v>
      </c>
      <c r="G950" t="s">
        <v>36</v>
      </c>
      <c r="H950" t="s">
        <v>48</v>
      </c>
      <c r="I950">
        <v>1928</v>
      </c>
      <c r="J950">
        <v>1725</v>
      </c>
      <c r="K950">
        <v>1505</v>
      </c>
      <c r="L950">
        <v>33</v>
      </c>
      <c r="M950">
        <v>24</v>
      </c>
      <c r="N950">
        <v>0</v>
      </c>
      <c r="O950">
        <v>195.48</v>
      </c>
      <c r="P950">
        <v>0</v>
      </c>
      <c r="Q950" s="5">
        <f t="shared" si="112"/>
        <v>0.87246376811594206</v>
      </c>
      <c r="R950" s="5">
        <f t="shared" si="113"/>
        <v>2.1926910299003323E-2</v>
      </c>
      <c r="S950" s="5">
        <f t="shared" si="114"/>
        <v>0.72727272727272729</v>
      </c>
      <c r="T950" s="5">
        <f t="shared" si="115"/>
        <v>0</v>
      </c>
      <c r="U950" s="5">
        <f t="shared" si="116"/>
        <v>0</v>
      </c>
      <c r="V950" s="6">
        <f t="shared" si="117"/>
        <v>8.1449999999999996</v>
      </c>
      <c r="W950" s="7">
        <f t="shared" si="118"/>
        <v>5.9236363636363629</v>
      </c>
      <c r="X950" s="5">
        <f t="shared" si="119"/>
        <v>-1</v>
      </c>
    </row>
    <row r="951" spans="1:24" x14ac:dyDescent="0.35">
      <c r="A951" s="3">
        <v>46178</v>
      </c>
      <c r="B951" t="s">
        <v>1367</v>
      </c>
      <c r="C951" t="s">
        <v>1368</v>
      </c>
      <c r="D951" t="s">
        <v>31</v>
      </c>
      <c r="E951" t="s">
        <v>25</v>
      </c>
      <c r="F951" t="s">
        <v>26</v>
      </c>
      <c r="G951" t="s">
        <v>59</v>
      </c>
      <c r="H951" t="s">
        <v>22</v>
      </c>
      <c r="I951">
        <v>1182</v>
      </c>
      <c r="J951">
        <v>955</v>
      </c>
      <c r="K951">
        <v>929</v>
      </c>
      <c r="L951">
        <v>36</v>
      </c>
      <c r="M951">
        <v>19</v>
      </c>
      <c r="N951">
        <v>1</v>
      </c>
      <c r="O951">
        <v>192.24</v>
      </c>
      <c r="P951">
        <v>1014.92</v>
      </c>
      <c r="Q951" s="5">
        <f t="shared" si="112"/>
        <v>0.97277486910994759</v>
      </c>
      <c r="R951" s="5">
        <f t="shared" si="113"/>
        <v>3.8751345532831001E-2</v>
      </c>
      <c r="S951" s="5">
        <f t="shared" si="114"/>
        <v>0.52777777777777779</v>
      </c>
      <c r="T951" s="5">
        <f t="shared" si="115"/>
        <v>5.2631578947368418E-2</v>
      </c>
      <c r="U951" s="5">
        <f t="shared" si="116"/>
        <v>1.076426264800861E-3</v>
      </c>
      <c r="V951" s="6">
        <f t="shared" si="117"/>
        <v>10.117894736842105</v>
      </c>
      <c r="W951" s="7">
        <f t="shared" si="118"/>
        <v>5.34</v>
      </c>
      <c r="X951" s="5">
        <f t="shared" si="119"/>
        <v>4.2794423637120262</v>
      </c>
    </row>
    <row r="952" spans="1:24" x14ac:dyDescent="0.35">
      <c r="A952" s="3">
        <v>46179</v>
      </c>
      <c r="B952" t="s">
        <v>1369</v>
      </c>
      <c r="C952" t="s">
        <v>1370</v>
      </c>
      <c r="D952" t="s">
        <v>31</v>
      </c>
      <c r="E952" t="s">
        <v>25</v>
      </c>
      <c r="F952" t="s">
        <v>20</v>
      </c>
      <c r="G952" t="s">
        <v>21</v>
      </c>
      <c r="H952" t="s">
        <v>48</v>
      </c>
      <c r="I952">
        <v>978</v>
      </c>
      <c r="J952">
        <v>883</v>
      </c>
      <c r="K952">
        <v>849</v>
      </c>
      <c r="L952">
        <v>25</v>
      </c>
      <c r="M952">
        <v>10</v>
      </c>
      <c r="N952">
        <v>1</v>
      </c>
      <c r="O952">
        <v>170.37</v>
      </c>
      <c r="P952">
        <v>706.75</v>
      </c>
      <c r="Q952" s="5">
        <f t="shared" si="112"/>
        <v>0.96149490373725932</v>
      </c>
      <c r="R952" s="5">
        <f t="shared" si="113"/>
        <v>2.9446407538280331E-2</v>
      </c>
      <c r="S952" s="5">
        <f t="shared" si="114"/>
        <v>0.4</v>
      </c>
      <c r="T952" s="5">
        <f t="shared" si="115"/>
        <v>0.1</v>
      </c>
      <c r="U952" s="5">
        <f t="shared" si="116"/>
        <v>1.1778563015312131E-3</v>
      </c>
      <c r="V952" s="6">
        <f t="shared" si="117"/>
        <v>17.036999999999999</v>
      </c>
      <c r="W952" s="7">
        <f t="shared" si="118"/>
        <v>6.8148</v>
      </c>
      <c r="X952" s="5">
        <f t="shared" si="119"/>
        <v>3.1483242354874683</v>
      </c>
    </row>
    <row r="953" spans="1:24" x14ac:dyDescent="0.35">
      <c r="A953" s="3">
        <v>46179</v>
      </c>
      <c r="B953" t="s">
        <v>1371</v>
      </c>
      <c r="C953" t="s">
        <v>1372</v>
      </c>
      <c r="D953" t="s">
        <v>34</v>
      </c>
      <c r="E953" t="s">
        <v>19</v>
      </c>
      <c r="F953" t="s">
        <v>20</v>
      </c>
      <c r="G953" t="s">
        <v>21</v>
      </c>
      <c r="H953" t="s">
        <v>22</v>
      </c>
      <c r="I953">
        <v>4381</v>
      </c>
      <c r="J953">
        <v>3820</v>
      </c>
      <c r="K953">
        <v>3573</v>
      </c>
      <c r="L953">
        <v>31</v>
      </c>
      <c r="M953">
        <v>14</v>
      </c>
      <c r="N953">
        <v>0</v>
      </c>
      <c r="O953">
        <v>307.56</v>
      </c>
      <c r="P953">
        <v>0</v>
      </c>
      <c r="Q953" s="5">
        <f t="shared" si="112"/>
        <v>0.93534031413612562</v>
      </c>
      <c r="R953" s="5">
        <f t="shared" si="113"/>
        <v>8.6761824797089281E-3</v>
      </c>
      <c r="S953" s="5">
        <f t="shared" si="114"/>
        <v>0.45161290322580644</v>
      </c>
      <c r="T953" s="5">
        <f t="shared" si="115"/>
        <v>0</v>
      </c>
      <c r="U953" s="5">
        <f t="shared" si="116"/>
        <v>0</v>
      </c>
      <c r="V953" s="6">
        <f t="shared" si="117"/>
        <v>21.96857142857143</v>
      </c>
      <c r="W953" s="7">
        <f t="shared" si="118"/>
        <v>9.9212903225806457</v>
      </c>
      <c r="X953" s="5">
        <f t="shared" si="119"/>
        <v>-1</v>
      </c>
    </row>
    <row r="954" spans="1:24" x14ac:dyDescent="0.35">
      <c r="A954" s="3">
        <v>46179</v>
      </c>
      <c r="B954" t="s">
        <v>1324</v>
      </c>
      <c r="C954" t="s">
        <v>1373</v>
      </c>
      <c r="D954" t="s">
        <v>18</v>
      </c>
      <c r="E954" t="s">
        <v>35</v>
      </c>
      <c r="F954" t="s">
        <v>20</v>
      </c>
      <c r="G954" t="s">
        <v>59</v>
      </c>
      <c r="H954" t="s">
        <v>51</v>
      </c>
      <c r="I954">
        <v>943</v>
      </c>
      <c r="J954">
        <v>828</v>
      </c>
      <c r="K954">
        <v>745</v>
      </c>
      <c r="L954">
        <v>56</v>
      </c>
      <c r="M954">
        <v>33</v>
      </c>
      <c r="N954">
        <v>2</v>
      </c>
      <c r="O954">
        <v>104.17</v>
      </c>
      <c r="P954">
        <v>1808.01</v>
      </c>
      <c r="Q954" s="5">
        <f t="shared" si="112"/>
        <v>0.89975845410628019</v>
      </c>
      <c r="R954" s="5">
        <f t="shared" si="113"/>
        <v>7.5167785234899323E-2</v>
      </c>
      <c r="S954" s="5">
        <f t="shared" si="114"/>
        <v>0.5892857142857143</v>
      </c>
      <c r="T954" s="5">
        <f t="shared" si="115"/>
        <v>6.0606060606060608E-2</v>
      </c>
      <c r="U954" s="5">
        <f t="shared" si="116"/>
        <v>2.6845637583892616E-3</v>
      </c>
      <c r="V954" s="6">
        <f t="shared" si="117"/>
        <v>3.1566666666666667</v>
      </c>
      <c r="W954" s="7">
        <f t="shared" si="118"/>
        <v>1.8601785714285715</v>
      </c>
      <c r="X954" s="5">
        <f t="shared" si="119"/>
        <v>16.356340597100893</v>
      </c>
    </row>
    <row r="955" spans="1:24" x14ac:dyDescent="0.35">
      <c r="A955" s="3">
        <v>46179</v>
      </c>
      <c r="B955" t="s">
        <v>1374</v>
      </c>
      <c r="C955" t="s">
        <v>1375</v>
      </c>
      <c r="D955" t="s">
        <v>34</v>
      </c>
      <c r="E955" t="s">
        <v>35</v>
      </c>
      <c r="F955" t="s">
        <v>26</v>
      </c>
      <c r="G955" t="s">
        <v>36</v>
      </c>
      <c r="H955" t="s">
        <v>51</v>
      </c>
      <c r="I955">
        <v>615</v>
      </c>
      <c r="J955">
        <v>496</v>
      </c>
      <c r="K955">
        <v>466</v>
      </c>
      <c r="L955">
        <v>43</v>
      </c>
      <c r="M955">
        <v>27</v>
      </c>
      <c r="N955">
        <v>3</v>
      </c>
      <c r="O955">
        <v>36.979999999999997</v>
      </c>
      <c r="P955">
        <v>4534.2</v>
      </c>
      <c r="Q955" s="5">
        <f t="shared" si="112"/>
        <v>0.93951612903225812</v>
      </c>
      <c r="R955" s="5">
        <f t="shared" si="113"/>
        <v>9.2274678111587988E-2</v>
      </c>
      <c r="S955" s="5">
        <f t="shared" si="114"/>
        <v>0.62790697674418605</v>
      </c>
      <c r="T955" s="5">
        <f t="shared" si="115"/>
        <v>0.1111111111111111</v>
      </c>
      <c r="U955" s="5">
        <f t="shared" si="116"/>
        <v>6.4377682403433476E-3</v>
      </c>
      <c r="V955" s="6">
        <f t="shared" si="117"/>
        <v>1.3696296296296295</v>
      </c>
      <c r="W955" s="7">
        <f t="shared" si="118"/>
        <v>0.85999999999999988</v>
      </c>
      <c r="X955" s="5">
        <f t="shared" si="119"/>
        <v>121.61222282314766</v>
      </c>
    </row>
    <row r="956" spans="1:24" x14ac:dyDescent="0.35">
      <c r="A956" s="3">
        <v>46179</v>
      </c>
      <c r="B956" t="s">
        <v>1376</v>
      </c>
      <c r="C956" t="s">
        <v>1377</v>
      </c>
      <c r="D956" t="s">
        <v>34</v>
      </c>
      <c r="E956" t="s">
        <v>56</v>
      </c>
      <c r="F956" t="s">
        <v>26</v>
      </c>
      <c r="G956" t="s">
        <v>27</v>
      </c>
      <c r="H956" t="s">
        <v>51</v>
      </c>
      <c r="I956">
        <v>3582</v>
      </c>
      <c r="J956">
        <v>2755</v>
      </c>
      <c r="K956">
        <v>2572</v>
      </c>
      <c r="L956">
        <v>164</v>
      </c>
      <c r="M956">
        <v>101</v>
      </c>
      <c r="N956">
        <v>8</v>
      </c>
      <c r="O956">
        <v>249.81</v>
      </c>
      <c r="P956">
        <v>11744.29</v>
      </c>
      <c r="Q956" s="5">
        <f t="shared" si="112"/>
        <v>0.93357531760435575</v>
      </c>
      <c r="R956" s="5">
        <f t="shared" si="113"/>
        <v>6.3763608087091764E-2</v>
      </c>
      <c r="S956" s="5">
        <f t="shared" si="114"/>
        <v>0.61585365853658536</v>
      </c>
      <c r="T956" s="5">
        <f t="shared" si="115"/>
        <v>7.9207920792079209E-2</v>
      </c>
      <c r="U956" s="5">
        <f t="shared" si="116"/>
        <v>3.1104199066874028E-3</v>
      </c>
      <c r="V956" s="6">
        <f t="shared" si="117"/>
        <v>2.4733663366336636</v>
      </c>
      <c r="W956" s="7">
        <f t="shared" si="118"/>
        <v>1.5232317073170731</v>
      </c>
      <c r="X956" s="5">
        <f t="shared" si="119"/>
        <v>46.012889796245155</v>
      </c>
    </row>
    <row r="957" spans="1:24" x14ac:dyDescent="0.35">
      <c r="A957" s="3">
        <v>46179</v>
      </c>
      <c r="B957" t="s">
        <v>1378</v>
      </c>
      <c r="C957" t="s">
        <v>1379</v>
      </c>
      <c r="D957" t="s">
        <v>31</v>
      </c>
      <c r="E957" t="s">
        <v>25</v>
      </c>
      <c r="F957" t="s">
        <v>20</v>
      </c>
      <c r="G957" t="s">
        <v>59</v>
      </c>
      <c r="H957" t="s">
        <v>37</v>
      </c>
      <c r="I957">
        <v>1117</v>
      </c>
      <c r="J957">
        <v>833</v>
      </c>
      <c r="K957">
        <v>800</v>
      </c>
      <c r="L957">
        <v>11</v>
      </c>
      <c r="M957">
        <v>4</v>
      </c>
      <c r="N957">
        <v>0</v>
      </c>
      <c r="O957">
        <v>176.53</v>
      </c>
      <c r="P957">
        <v>0</v>
      </c>
      <c r="Q957" s="5">
        <f t="shared" si="112"/>
        <v>0.96038415366146457</v>
      </c>
      <c r="R957" s="5">
        <f t="shared" si="113"/>
        <v>1.375E-2</v>
      </c>
      <c r="S957" s="5">
        <f t="shared" si="114"/>
        <v>0.36363636363636365</v>
      </c>
      <c r="T957" s="5">
        <f t="shared" si="115"/>
        <v>0</v>
      </c>
      <c r="U957" s="5">
        <f t="shared" si="116"/>
        <v>0</v>
      </c>
      <c r="V957" s="6">
        <f t="shared" si="117"/>
        <v>44.1325</v>
      </c>
      <c r="W957" s="7">
        <f t="shared" si="118"/>
        <v>16.048181818181817</v>
      </c>
      <c r="X957" s="5">
        <f t="shared" si="119"/>
        <v>-1</v>
      </c>
    </row>
    <row r="958" spans="1:24" x14ac:dyDescent="0.35">
      <c r="A958" s="3">
        <v>46180</v>
      </c>
      <c r="B958" t="s">
        <v>1380</v>
      </c>
      <c r="C958" t="s">
        <v>1381</v>
      </c>
      <c r="D958" t="s">
        <v>31</v>
      </c>
      <c r="E958" t="s">
        <v>35</v>
      </c>
      <c r="F958" t="s">
        <v>20</v>
      </c>
      <c r="G958" t="s">
        <v>41</v>
      </c>
      <c r="H958" t="s">
        <v>48</v>
      </c>
      <c r="I958">
        <v>726</v>
      </c>
      <c r="J958">
        <v>634</v>
      </c>
      <c r="K958">
        <v>614</v>
      </c>
      <c r="L958">
        <v>29</v>
      </c>
      <c r="M958">
        <v>9</v>
      </c>
      <c r="N958">
        <v>0</v>
      </c>
      <c r="O958">
        <v>123.59</v>
      </c>
      <c r="P958">
        <v>0</v>
      </c>
      <c r="Q958" s="5">
        <f t="shared" si="112"/>
        <v>0.96845425867507884</v>
      </c>
      <c r="R958" s="5">
        <f t="shared" si="113"/>
        <v>4.7231270358306189E-2</v>
      </c>
      <c r="S958" s="5">
        <f t="shared" si="114"/>
        <v>0.31034482758620691</v>
      </c>
      <c r="T958" s="5">
        <f t="shared" si="115"/>
        <v>0</v>
      </c>
      <c r="U958" s="5">
        <f t="shared" si="116"/>
        <v>0</v>
      </c>
      <c r="V958" s="6">
        <f t="shared" si="117"/>
        <v>13.732222222222223</v>
      </c>
      <c r="W958" s="7">
        <f t="shared" si="118"/>
        <v>4.2617241379310347</v>
      </c>
      <c r="X958" s="5">
        <f t="shared" si="119"/>
        <v>-1</v>
      </c>
    </row>
    <row r="959" spans="1:24" x14ac:dyDescent="0.35">
      <c r="A959" s="3">
        <v>46180</v>
      </c>
      <c r="B959" t="s">
        <v>1356</v>
      </c>
      <c r="C959" t="s">
        <v>1382</v>
      </c>
      <c r="D959" t="s">
        <v>34</v>
      </c>
      <c r="E959" t="s">
        <v>35</v>
      </c>
      <c r="F959" t="s">
        <v>20</v>
      </c>
      <c r="G959" t="s">
        <v>41</v>
      </c>
      <c r="H959" t="s">
        <v>28</v>
      </c>
      <c r="I959">
        <v>4060</v>
      </c>
      <c r="J959">
        <v>3117</v>
      </c>
      <c r="K959">
        <v>2973</v>
      </c>
      <c r="L959">
        <v>211</v>
      </c>
      <c r="M959">
        <v>94</v>
      </c>
      <c r="N959">
        <v>4</v>
      </c>
      <c r="O959">
        <v>297.10000000000002</v>
      </c>
      <c r="P959">
        <v>4106.34</v>
      </c>
      <c r="Q959" s="5">
        <f t="shared" si="112"/>
        <v>0.95380173243503363</v>
      </c>
      <c r="R959" s="5">
        <f t="shared" si="113"/>
        <v>7.0972082071981163E-2</v>
      </c>
      <c r="S959" s="5">
        <f t="shared" si="114"/>
        <v>0.44549763033175355</v>
      </c>
      <c r="T959" s="5">
        <f t="shared" si="115"/>
        <v>4.2553191489361701E-2</v>
      </c>
      <c r="U959" s="5">
        <f t="shared" si="116"/>
        <v>1.3454423141607804E-3</v>
      </c>
      <c r="V959" s="6">
        <f t="shared" si="117"/>
        <v>3.1606382978723406</v>
      </c>
      <c r="W959" s="7">
        <f t="shared" si="118"/>
        <v>1.4080568720379147</v>
      </c>
      <c r="X959" s="5">
        <f t="shared" si="119"/>
        <v>12.821406933692359</v>
      </c>
    </row>
    <row r="960" spans="1:24" x14ac:dyDescent="0.35">
      <c r="A960" s="3">
        <v>46180</v>
      </c>
      <c r="B960" t="s">
        <v>1361</v>
      </c>
      <c r="C960" t="s">
        <v>1383</v>
      </c>
      <c r="D960" t="s">
        <v>34</v>
      </c>
      <c r="E960" t="s">
        <v>25</v>
      </c>
      <c r="F960" t="s">
        <v>20</v>
      </c>
      <c r="G960" t="s">
        <v>21</v>
      </c>
      <c r="H960" t="s">
        <v>37</v>
      </c>
      <c r="I960">
        <v>4426</v>
      </c>
      <c r="J960">
        <v>3715</v>
      </c>
      <c r="K960">
        <v>3467</v>
      </c>
      <c r="L960">
        <v>111</v>
      </c>
      <c r="M960">
        <v>59</v>
      </c>
      <c r="N960">
        <v>3</v>
      </c>
      <c r="O960">
        <v>319.5</v>
      </c>
      <c r="P960">
        <v>4016.71</v>
      </c>
      <c r="Q960" s="5">
        <f t="shared" si="112"/>
        <v>0.93324360699865405</v>
      </c>
      <c r="R960" s="5">
        <f t="shared" si="113"/>
        <v>3.2016152293048744E-2</v>
      </c>
      <c r="S960" s="5">
        <f t="shared" si="114"/>
        <v>0.53153153153153154</v>
      </c>
      <c r="T960" s="5">
        <f t="shared" si="115"/>
        <v>5.0847457627118647E-2</v>
      </c>
      <c r="U960" s="5">
        <f t="shared" si="116"/>
        <v>8.6530141332564179E-4</v>
      </c>
      <c r="V960" s="6">
        <f t="shared" si="117"/>
        <v>5.4152542372881358</v>
      </c>
      <c r="W960" s="7">
        <f t="shared" si="118"/>
        <v>2.8783783783783785</v>
      </c>
      <c r="X960" s="5">
        <f t="shared" si="119"/>
        <v>11.571862284820032</v>
      </c>
    </row>
    <row r="961" spans="1:24" x14ac:dyDescent="0.35">
      <c r="A961" s="3">
        <v>46180</v>
      </c>
      <c r="B961" t="s">
        <v>1376</v>
      </c>
      <c r="C961" t="s">
        <v>1384</v>
      </c>
      <c r="D961" t="s">
        <v>18</v>
      </c>
      <c r="E961" t="s">
        <v>19</v>
      </c>
      <c r="F961" t="s">
        <v>20</v>
      </c>
      <c r="G961" t="s">
        <v>59</v>
      </c>
      <c r="H961" t="s">
        <v>28</v>
      </c>
      <c r="I961">
        <v>4872</v>
      </c>
      <c r="J961">
        <v>4187</v>
      </c>
      <c r="K961">
        <v>3868</v>
      </c>
      <c r="L961">
        <v>36</v>
      </c>
      <c r="M961">
        <v>18</v>
      </c>
      <c r="N961">
        <v>0</v>
      </c>
      <c r="O961">
        <v>497.14</v>
      </c>
      <c r="P961">
        <v>0</v>
      </c>
      <c r="Q961" s="5">
        <f t="shared" si="112"/>
        <v>0.92381179842369243</v>
      </c>
      <c r="R961" s="5">
        <f t="shared" si="113"/>
        <v>9.3071354705274046E-3</v>
      </c>
      <c r="S961" s="5">
        <f t="shared" si="114"/>
        <v>0.5</v>
      </c>
      <c r="T961" s="5">
        <f t="shared" si="115"/>
        <v>0</v>
      </c>
      <c r="U961" s="5">
        <f t="shared" si="116"/>
        <v>0</v>
      </c>
      <c r="V961" s="6">
        <f t="shared" si="117"/>
        <v>27.61888888888889</v>
      </c>
      <c r="W961" s="7">
        <f t="shared" si="118"/>
        <v>13.809444444444445</v>
      </c>
      <c r="X961" s="5">
        <f t="shared" si="119"/>
        <v>-1</v>
      </c>
    </row>
    <row r="962" spans="1:24" x14ac:dyDescent="0.35">
      <c r="A962" s="3">
        <v>46181</v>
      </c>
      <c r="B962" t="s">
        <v>1385</v>
      </c>
      <c r="C962" t="s">
        <v>1386</v>
      </c>
      <c r="D962" t="s">
        <v>31</v>
      </c>
      <c r="E962" t="s">
        <v>19</v>
      </c>
      <c r="F962" t="s">
        <v>26</v>
      </c>
      <c r="G962" t="s">
        <v>59</v>
      </c>
      <c r="H962" t="s">
        <v>22</v>
      </c>
      <c r="I962">
        <v>2160</v>
      </c>
      <c r="J962">
        <v>1717</v>
      </c>
      <c r="K962">
        <v>1641</v>
      </c>
      <c r="L962">
        <v>46</v>
      </c>
      <c r="M962">
        <v>24</v>
      </c>
      <c r="N962">
        <v>0</v>
      </c>
      <c r="O962">
        <v>362.18</v>
      </c>
      <c r="P962">
        <v>0</v>
      </c>
      <c r="Q962" s="5">
        <f t="shared" si="112"/>
        <v>0.95573675014560278</v>
      </c>
      <c r="R962" s="5">
        <f t="shared" si="113"/>
        <v>2.8031687995124923E-2</v>
      </c>
      <c r="S962" s="5">
        <f t="shared" si="114"/>
        <v>0.52173913043478259</v>
      </c>
      <c r="T962" s="5">
        <f t="shared" si="115"/>
        <v>0</v>
      </c>
      <c r="U962" s="5">
        <f t="shared" si="116"/>
        <v>0</v>
      </c>
      <c r="V962" s="6">
        <f t="shared" si="117"/>
        <v>15.090833333333334</v>
      </c>
      <c r="W962" s="7">
        <f t="shared" si="118"/>
        <v>7.8734782608695655</v>
      </c>
      <c r="X962" s="5">
        <f t="shared" si="119"/>
        <v>-1</v>
      </c>
    </row>
    <row r="963" spans="1:24" x14ac:dyDescent="0.35">
      <c r="A963" s="3">
        <v>46181</v>
      </c>
      <c r="B963" t="s">
        <v>1387</v>
      </c>
      <c r="C963" t="s">
        <v>1388</v>
      </c>
      <c r="D963" t="s">
        <v>34</v>
      </c>
      <c r="E963" t="s">
        <v>35</v>
      </c>
      <c r="F963" t="s">
        <v>20</v>
      </c>
      <c r="G963" t="s">
        <v>59</v>
      </c>
      <c r="H963" t="s">
        <v>28</v>
      </c>
      <c r="I963">
        <v>4003</v>
      </c>
      <c r="J963">
        <v>3865</v>
      </c>
      <c r="K963">
        <v>3600</v>
      </c>
      <c r="L963">
        <v>269</v>
      </c>
      <c r="M963">
        <v>115</v>
      </c>
      <c r="N963">
        <v>7</v>
      </c>
      <c r="O963">
        <v>313.52999999999997</v>
      </c>
      <c r="P963">
        <v>7760.77</v>
      </c>
      <c r="Q963" s="5">
        <f t="shared" ref="Q963:Q1026" si="120">K963/J963</f>
        <v>0.93143596377749027</v>
      </c>
      <c r="R963" s="5">
        <f t="shared" ref="R963:R1026" si="121">L963/K963</f>
        <v>7.4722222222222218E-2</v>
      </c>
      <c r="S963" s="5">
        <f t="shared" ref="S963:S1026" si="122">M963/L963</f>
        <v>0.42750929368029739</v>
      </c>
      <c r="T963" s="5">
        <f t="shared" ref="T963:T1026" si="123">N963/M963</f>
        <v>6.0869565217391307E-2</v>
      </c>
      <c r="U963" s="5">
        <f t="shared" ref="U963:U1026" si="124">N963/K963</f>
        <v>1.9444444444444444E-3</v>
      </c>
      <c r="V963" s="6">
        <f t="shared" ref="V963:V1026" si="125">O963/M963</f>
        <v>2.7263478260869562</v>
      </c>
      <c r="W963" s="7">
        <f t="shared" ref="W963:W1026" si="126">O963/L963</f>
        <v>1.1655390334572491</v>
      </c>
      <c r="X963" s="5">
        <f t="shared" ref="X963:X1026" si="127">(P963-O963)/O963</f>
        <v>23.752878512423059</v>
      </c>
    </row>
    <row r="964" spans="1:24" x14ac:dyDescent="0.35">
      <c r="A964" s="3">
        <v>46181</v>
      </c>
      <c r="B964" t="s">
        <v>1349</v>
      </c>
      <c r="C964" t="s">
        <v>1389</v>
      </c>
      <c r="D964" t="s">
        <v>31</v>
      </c>
      <c r="E964" t="s">
        <v>19</v>
      </c>
      <c r="F964" t="s">
        <v>26</v>
      </c>
      <c r="G964" t="s">
        <v>59</v>
      </c>
      <c r="H964" t="s">
        <v>51</v>
      </c>
      <c r="I964">
        <v>4292</v>
      </c>
      <c r="J964">
        <v>3183</v>
      </c>
      <c r="K964">
        <v>3036</v>
      </c>
      <c r="L964">
        <v>43</v>
      </c>
      <c r="M964">
        <v>23</v>
      </c>
      <c r="N964">
        <v>0</v>
      </c>
      <c r="O964">
        <v>556.62</v>
      </c>
      <c r="P964">
        <v>0</v>
      </c>
      <c r="Q964" s="5">
        <f t="shared" si="120"/>
        <v>0.95381715362865227</v>
      </c>
      <c r="R964" s="5">
        <f t="shared" si="121"/>
        <v>1.4163372859025032E-2</v>
      </c>
      <c r="S964" s="5">
        <f t="shared" si="122"/>
        <v>0.53488372093023251</v>
      </c>
      <c r="T964" s="5">
        <f t="shared" si="123"/>
        <v>0</v>
      </c>
      <c r="U964" s="5">
        <f t="shared" si="124"/>
        <v>0</v>
      </c>
      <c r="V964" s="6">
        <f t="shared" si="125"/>
        <v>24.200869565217392</v>
      </c>
      <c r="W964" s="7">
        <f t="shared" si="126"/>
        <v>12.944651162790699</v>
      </c>
      <c r="X964" s="5">
        <f t="shared" si="127"/>
        <v>-1</v>
      </c>
    </row>
    <row r="965" spans="1:24" x14ac:dyDescent="0.35">
      <c r="A965" s="3">
        <v>46181</v>
      </c>
      <c r="B965" t="s">
        <v>1390</v>
      </c>
      <c r="C965" t="s">
        <v>1391</v>
      </c>
      <c r="D965" t="s">
        <v>34</v>
      </c>
      <c r="E965" t="s">
        <v>35</v>
      </c>
      <c r="F965" t="s">
        <v>26</v>
      </c>
      <c r="G965" t="s">
        <v>36</v>
      </c>
      <c r="H965" t="s">
        <v>28</v>
      </c>
      <c r="I965">
        <v>2659</v>
      </c>
      <c r="J965">
        <v>2423</v>
      </c>
      <c r="K965">
        <v>2300</v>
      </c>
      <c r="L965">
        <v>224</v>
      </c>
      <c r="M965">
        <v>133</v>
      </c>
      <c r="N965">
        <v>12</v>
      </c>
      <c r="O965">
        <v>202.28</v>
      </c>
      <c r="P965">
        <v>17523.2</v>
      </c>
      <c r="Q965" s="5">
        <f t="shared" si="120"/>
        <v>0.94923648369789515</v>
      </c>
      <c r="R965" s="5">
        <f t="shared" si="121"/>
        <v>9.7391304347826085E-2</v>
      </c>
      <c r="S965" s="5">
        <f t="shared" si="122"/>
        <v>0.59375</v>
      </c>
      <c r="T965" s="5">
        <f t="shared" si="123"/>
        <v>9.0225563909774431E-2</v>
      </c>
      <c r="U965" s="5">
        <f t="shared" si="124"/>
        <v>5.2173913043478265E-3</v>
      </c>
      <c r="V965" s="6">
        <f t="shared" si="125"/>
        <v>1.5209022556390976</v>
      </c>
      <c r="W965" s="7">
        <f t="shared" si="126"/>
        <v>0.90303571428571427</v>
      </c>
      <c r="X965" s="5">
        <f t="shared" si="127"/>
        <v>85.628435831520676</v>
      </c>
    </row>
    <row r="966" spans="1:24" x14ac:dyDescent="0.35">
      <c r="A966" s="3">
        <v>46181</v>
      </c>
      <c r="B966" t="s">
        <v>1380</v>
      </c>
      <c r="C966" t="s">
        <v>1392</v>
      </c>
      <c r="D966" t="s">
        <v>31</v>
      </c>
      <c r="E966" t="s">
        <v>19</v>
      </c>
      <c r="F966" t="s">
        <v>20</v>
      </c>
      <c r="G966" t="s">
        <v>36</v>
      </c>
      <c r="H966" t="s">
        <v>22</v>
      </c>
      <c r="I966">
        <v>4920</v>
      </c>
      <c r="J966">
        <v>4337</v>
      </c>
      <c r="K966">
        <v>4143</v>
      </c>
      <c r="L966">
        <v>37</v>
      </c>
      <c r="M966">
        <v>16</v>
      </c>
      <c r="N966">
        <v>0</v>
      </c>
      <c r="O966">
        <v>886.78</v>
      </c>
      <c r="P966">
        <v>0</v>
      </c>
      <c r="Q966" s="5">
        <f t="shared" si="120"/>
        <v>0.95526861886096381</v>
      </c>
      <c r="R966" s="5">
        <f t="shared" si="121"/>
        <v>8.9307265266714946E-3</v>
      </c>
      <c r="S966" s="5">
        <f t="shared" si="122"/>
        <v>0.43243243243243246</v>
      </c>
      <c r="T966" s="5">
        <f t="shared" si="123"/>
        <v>0</v>
      </c>
      <c r="U966" s="5">
        <f t="shared" si="124"/>
        <v>0</v>
      </c>
      <c r="V966" s="6">
        <f t="shared" si="125"/>
        <v>55.423749999999998</v>
      </c>
      <c r="W966" s="7">
        <f t="shared" si="126"/>
        <v>23.967027027027026</v>
      </c>
      <c r="X966" s="5">
        <f t="shared" si="127"/>
        <v>-1</v>
      </c>
    </row>
    <row r="967" spans="1:24" x14ac:dyDescent="0.35">
      <c r="A967" s="3">
        <v>46181</v>
      </c>
      <c r="B967" t="s">
        <v>1380</v>
      </c>
      <c r="C967" t="s">
        <v>1393</v>
      </c>
      <c r="D967" t="s">
        <v>34</v>
      </c>
      <c r="E967" t="s">
        <v>35</v>
      </c>
      <c r="F967" t="s">
        <v>26</v>
      </c>
      <c r="G967" t="s">
        <v>27</v>
      </c>
      <c r="H967" t="s">
        <v>48</v>
      </c>
      <c r="I967">
        <v>2839</v>
      </c>
      <c r="J967">
        <v>2540</v>
      </c>
      <c r="K967">
        <v>2347</v>
      </c>
      <c r="L967">
        <v>242</v>
      </c>
      <c r="M967">
        <v>142</v>
      </c>
      <c r="N967">
        <v>15</v>
      </c>
      <c r="O967">
        <v>234.52</v>
      </c>
      <c r="P967">
        <v>22872.959999999999</v>
      </c>
      <c r="Q967" s="5">
        <f t="shared" si="120"/>
        <v>0.92401574803149611</v>
      </c>
      <c r="R967" s="5">
        <f t="shared" si="121"/>
        <v>0.10311035364294845</v>
      </c>
      <c r="S967" s="5">
        <f t="shared" si="122"/>
        <v>0.58677685950413228</v>
      </c>
      <c r="T967" s="5">
        <f t="shared" si="123"/>
        <v>0.10563380281690141</v>
      </c>
      <c r="U967" s="5">
        <f t="shared" si="124"/>
        <v>6.3911376224968048E-3</v>
      </c>
      <c r="V967" s="6">
        <f t="shared" si="125"/>
        <v>1.651549295774648</v>
      </c>
      <c r="W967" s="7">
        <f t="shared" si="126"/>
        <v>0.96909090909090911</v>
      </c>
      <c r="X967" s="5">
        <f t="shared" si="127"/>
        <v>96.530956848030016</v>
      </c>
    </row>
    <row r="968" spans="1:24" x14ac:dyDescent="0.35">
      <c r="A968" s="3">
        <v>46181</v>
      </c>
      <c r="B968" t="s">
        <v>1361</v>
      </c>
      <c r="C968" t="s">
        <v>1394</v>
      </c>
      <c r="D968" t="s">
        <v>40</v>
      </c>
      <c r="E968" t="s">
        <v>25</v>
      </c>
      <c r="F968" t="s">
        <v>26</v>
      </c>
      <c r="G968" t="s">
        <v>21</v>
      </c>
      <c r="H968" t="s">
        <v>28</v>
      </c>
      <c r="I968">
        <v>1013</v>
      </c>
      <c r="J968">
        <v>892</v>
      </c>
      <c r="K968">
        <v>836</v>
      </c>
      <c r="L968">
        <v>49</v>
      </c>
      <c r="M968">
        <v>28</v>
      </c>
      <c r="N968">
        <v>1</v>
      </c>
      <c r="O968">
        <v>156.13</v>
      </c>
      <c r="P968">
        <v>733.88</v>
      </c>
      <c r="Q968" s="5">
        <f t="shared" si="120"/>
        <v>0.93721973094170408</v>
      </c>
      <c r="R968" s="5">
        <f t="shared" si="121"/>
        <v>5.861244019138756E-2</v>
      </c>
      <c r="S968" s="5">
        <f t="shared" si="122"/>
        <v>0.5714285714285714</v>
      </c>
      <c r="T968" s="5">
        <f t="shared" si="123"/>
        <v>3.5714285714285712E-2</v>
      </c>
      <c r="U968" s="5">
        <f t="shared" si="124"/>
        <v>1.1961722488038277E-3</v>
      </c>
      <c r="V968" s="6">
        <f t="shared" si="125"/>
        <v>5.5760714285714288</v>
      </c>
      <c r="W968" s="7">
        <f t="shared" si="126"/>
        <v>3.186326530612245</v>
      </c>
      <c r="X968" s="5">
        <f t="shared" si="127"/>
        <v>3.7004419394094668</v>
      </c>
    </row>
    <row r="969" spans="1:24" x14ac:dyDescent="0.35">
      <c r="A969" s="3">
        <v>46181</v>
      </c>
      <c r="B969" t="s">
        <v>1324</v>
      </c>
      <c r="C969" t="s">
        <v>1395</v>
      </c>
      <c r="D969" t="s">
        <v>34</v>
      </c>
      <c r="E969" t="s">
        <v>56</v>
      </c>
      <c r="F969" t="s">
        <v>20</v>
      </c>
      <c r="G969" t="s">
        <v>27</v>
      </c>
      <c r="H969" t="s">
        <v>51</v>
      </c>
      <c r="I969">
        <v>4039</v>
      </c>
      <c r="J969">
        <v>3508</v>
      </c>
      <c r="K969">
        <v>3170</v>
      </c>
      <c r="L969">
        <v>135</v>
      </c>
      <c r="M969">
        <v>64</v>
      </c>
      <c r="N969">
        <v>4</v>
      </c>
      <c r="O969">
        <v>252.04</v>
      </c>
      <c r="P969">
        <v>3485.98</v>
      </c>
      <c r="Q969" s="5">
        <f t="shared" si="120"/>
        <v>0.90364880273660209</v>
      </c>
      <c r="R969" s="5">
        <f t="shared" si="121"/>
        <v>4.2586750788643532E-2</v>
      </c>
      <c r="S969" s="5">
        <f t="shared" si="122"/>
        <v>0.47407407407407409</v>
      </c>
      <c r="T969" s="5">
        <f t="shared" si="123"/>
        <v>6.25E-2</v>
      </c>
      <c r="U969" s="5">
        <f t="shared" si="124"/>
        <v>1.2618296529968455E-3</v>
      </c>
      <c r="V969" s="6">
        <f t="shared" si="125"/>
        <v>3.9381249999999999</v>
      </c>
      <c r="W969" s="7">
        <f t="shared" si="126"/>
        <v>1.8669629629629629</v>
      </c>
      <c r="X969" s="5">
        <f t="shared" si="127"/>
        <v>12.831058562132995</v>
      </c>
    </row>
    <row r="970" spans="1:24" x14ac:dyDescent="0.35">
      <c r="A970" s="3">
        <v>46181</v>
      </c>
      <c r="B970" t="s">
        <v>1345</v>
      </c>
      <c r="C970" t="s">
        <v>1396</v>
      </c>
      <c r="D970" t="s">
        <v>40</v>
      </c>
      <c r="E970" t="s">
        <v>56</v>
      </c>
      <c r="F970" t="s">
        <v>20</v>
      </c>
      <c r="G970" t="s">
        <v>36</v>
      </c>
      <c r="H970" t="s">
        <v>51</v>
      </c>
      <c r="I970">
        <v>1569</v>
      </c>
      <c r="J970">
        <v>1293</v>
      </c>
      <c r="K970">
        <v>1217</v>
      </c>
      <c r="L970">
        <v>74</v>
      </c>
      <c r="M970">
        <v>31</v>
      </c>
      <c r="N970">
        <v>1</v>
      </c>
      <c r="O970">
        <v>208.14</v>
      </c>
      <c r="P970">
        <v>1046.93</v>
      </c>
      <c r="Q970" s="5">
        <f t="shared" si="120"/>
        <v>0.94122196442382056</v>
      </c>
      <c r="R970" s="5">
        <f t="shared" si="121"/>
        <v>6.0805258833196388E-2</v>
      </c>
      <c r="S970" s="5">
        <f t="shared" si="122"/>
        <v>0.41891891891891891</v>
      </c>
      <c r="T970" s="5">
        <f t="shared" si="123"/>
        <v>3.2258064516129031E-2</v>
      </c>
      <c r="U970" s="5">
        <f t="shared" si="124"/>
        <v>8.2169268693508624E-4</v>
      </c>
      <c r="V970" s="6">
        <f t="shared" si="125"/>
        <v>6.7141935483870965</v>
      </c>
      <c r="W970" s="7">
        <f t="shared" si="126"/>
        <v>2.8127027027027025</v>
      </c>
      <c r="X970" s="5">
        <f t="shared" si="127"/>
        <v>4.0299317766887679</v>
      </c>
    </row>
    <row r="971" spans="1:24" x14ac:dyDescent="0.35">
      <c r="A971" s="3">
        <v>46182</v>
      </c>
      <c r="B971" t="s">
        <v>1316</v>
      </c>
      <c r="C971" t="s">
        <v>1397</v>
      </c>
      <c r="D971" t="s">
        <v>18</v>
      </c>
      <c r="E971" t="s">
        <v>35</v>
      </c>
      <c r="F971" t="s">
        <v>20</v>
      </c>
      <c r="G971" t="s">
        <v>36</v>
      </c>
      <c r="H971" t="s">
        <v>28</v>
      </c>
      <c r="I971">
        <v>2751</v>
      </c>
      <c r="J971">
        <v>2053</v>
      </c>
      <c r="K971">
        <v>1893</v>
      </c>
      <c r="L971">
        <v>157</v>
      </c>
      <c r="M971">
        <v>72</v>
      </c>
      <c r="N971">
        <v>5</v>
      </c>
      <c r="O971">
        <v>268.88</v>
      </c>
      <c r="P971">
        <v>3688.04</v>
      </c>
      <c r="Q971" s="5">
        <f t="shared" si="120"/>
        <v>0.92206527033609353</v>
      </c>
      <c r="R971" s="5">
        <f t="shared" si="121"/>
        <v>8.2937136819862659E-2</v>
      </c>
      <c r="S971" s="5">
        <f t="shared" si="122"/>
        <v>0.45859872611464969</v>
      </c>
      <c r="T971" s="5">
        <f t="shared" si="123"/>
        <v>6.9444444444444448E-2</v>
      </c>
      <c r="U971" s="5">
        <f t="shared" si="124"/>
        <v>2.6413100898045432E-3</v>
      </c>
      <c r="V971" s="6">
        <f t="shared" si="125"/>
        <v>3.7344444444444442</v>
      </c>
      <c r="W971" s="7">
        <f t="shared" si="126"/>
        <v>1.7126114649681528</v>
      </c>
      <c r="X971" s="5">
        <f t="shared" si="127"/>
        <v>12.716304671228801</v>
      </c>
    </row>
    <row r="972" spans="1:24" x14ac:dyDescent="0.35">
      <c r="A972" s="3">
        <v>46182</v>
      </c>
      <c r="B972" t="s">
        <v>1380</v>
      </c>
      <c r="C972" t="s">
        <v>1398</v>
      </c>
      <c r="D972" t="s">
        <v>40</v>
      </c>
      <c r="E972" t="s">
        <v>25</v>
      </c>
      <c r="F972" t="s">
        <v>20</v>
      </c>
      <c r="G972" t="s">
        <v>59</v>
      </c>
      <c r="H972" t="s">
        <v>22</v>
      </c>
      <c r="I972">
        <v>1015</v>
      </c>
      <c r="J972">
        <v>980</v>
      </c>
      <c r="K972">
        <v>904</v>
      </c>
      <c r="L972">
        <v>41</v>
      </c>
      <c r="M972">
        <v>21</v>
      </c>
      <c r="N972">
        <v>1</v>
      </c>
      <c r="O972">
        <v>138.93</v>
      </c>
      <c r="P972">
        <v>1243.96</v>
      </c>
      <c r="Q972" s="5">
        <f t="shared" si="120"/>
        <v>0.92244897959183669</v>
      </c>
      <c r="R972" s="5">
        <f t="shared" si="121"/>
        <v>4.5353982300884957E-2</v>
      </c>
      <c r="S972" s="5">
        <f t="shared" si="122"/>
        <v>0.51219512195121952</v>
      </c>
      <c r="T972" s="5">
        <f t="shared" si="123"/>
        <v>4.7619047619047616E-2</v>
      </c>
      <c r="U972" s="5">
        <f t="shared" si="124"/>
        <v>1.1061946902654867E-3</v>
      </c>
      <c r="V972" s="6">
        <f t="shared" si="125"/>
        <v>6.6157142857142857</v>
      </c>
      <c r="W972" s="7">
        <f t="shared" si="126"/>
        <v>3.3885365853658538</v>
      </c>
      <c r="X972" s="5">
        <f t="shared" si="127"/>
        <v>7.9538616569495426</v>
      </c>
    </row>
    <row r="973" spans="1:24" x14ac:dyDescent="0.35">
      <c r="A973" s="3">
        <v>46182</v>
      </c>
      <c r="B973" t="s">
        <v>1399</v>
      </c>
      <c r="C973" t="s">
        <v>1400</v>
      </c>
      <c r="D973" t="s">
        <v>31</v>
      </c>
      <c r="E973" t="s">
        <v>25</v>
      </c>
      <c r="F973" t="s">
        <v>26</v>
      </c>
      <c r="G973" t="s">
        <v>41</v>
      </c>
      <c r="H973" t="s">
        <v>37</v>
      </c>
      <c r="I973">
        <v>3253</v>
      </c>
      <c r="J973">
        <v>3034</v>
      </c>
      <c r="K973">
        <v>2976</v>
      </c>
      <c r="L973">
        <v>87</v>
      </c>
      <c r="M973">
        <v>37</v>
      </c>
      <c r="N973">
        <v>2</v>
      </c>
      <c r="O973">
        <v>570.84</v>
      </c>
      <c r="P973">
        <v>2210.02</v>
      </c>
      <c r="Q973" s="5">
        <f t="shared" si="120"/>
        <v>0.98088332234673703</v>
      </c>
      <c r="R973" s="5">
        <f t="shared" si="121"/>
        <v>2.9233870967741934E-2</v>
      </c>
      <c r="S973" s="5">
        <f t="shared" si="122"/>
        <v>0.42528735632183906</v>
      </c>
      <c r="T973" s="5">
        <f t="shared" si="123"/>
        <v>5.4054054054054057E-2</v>
      </c>
      <c r="U973" s="5">
        <f t="shared" si="124"/>
        <v>6.7204301075268823E-4</v>
      </c>
      <c r="V973" s="6">
        <f t="shared" si="125"/>
        <v>15.428108108108109</v>
      </c>
      <c r="W973" s="7">
        <f t="shared" si="126"/>
        <v>6.5613793103448277</v>
      </c>
      <c r="X973" s="5">
        <f t="shared" si="127"/>
        <v>2.8715226683483985</v>
      </c>
    </row>
    <row r="974" spans="1:24" x14ac:dyDescent="0.35">
      <c r="A974" s="3">
        <v>46182</v>
      </c>
      <c r="B974" t="s">
        <v>1330</v>
      </c>
      <c r="C974" t="s">
        <v>1401</v>
      </c>
      <c r="D974" t="s">
        <v>31</v>
      </c>
      <c r="E974" t="s">
        <v>35</v>
      </c>
      <c r="F974" t="s">
        <v>20</v>
      </c>
      <c r="G974" t="s">
        <v>36</v>
      </c>
      <c r="H974" t="s">
        <v>37</v>
      </c>
      <c r="I974">
        <v>1101</v>
      </c>
      <c r="J974">
        <v>1080</v>
      </c>
      <c r="K974">
        <v>1049</v>
      </c>
      <c r="L974">
        <v>52</v>
      </c>
      <c r="M974">
        <v>17</v>
      </c>
      <c r="N974">
        <v>1</v>
      </c>
      <c r="O974">
        <v>192.5</v>
      </c>
      <c r="P974">
        <v>1360.61</v>
      </c>
      <c r="Q974" s="5">
        <f t="shared" si="120"/>
        <v>0.97129629629629632</v>
      </c>
      <c r="R974" s="5">
        <f t="shared" si="121"/>
        <v>4.9571020019065777E-2</v>
      </c>
      <c r="S974" s="5">
        <f t="shared" si="122"/>
        <v>0.32692307692307693</v>
      </c>
      <c r="T974" s="5">
        <f t="shared" si="123"/>
        <v>5.8823529411764705E-2</v>
      </c>
      <c r="U974" s="5">
        <f t="shared" si="124"/>
        <v>9.5328884652049568E-4</v>
      </c>
      <c r="V974" s="6">
        <f t="shared" si="125"/>
        <v>11.323529411764707</v>
      </c>
      <c r="W974" s="7">
        <f t="shared" si="126"/>
        <v>3.7019230769230771</v>
      </c>
      <c r="X974" s="5">
        <f t="shared" si="127"/>
        <v>6.0681038961038958</v>
      </c>
    </row>
    <row r="975" spans="1:24" x14ac:dyDescent="0.35">
      <c r="A975" s="3">
        <v>46182</v>
      </c>
      <c r="B975" t="s">
        <v>1402</v>
      </c>
      <c r="C975" t="s">
        <v>1403</v>
      </c>
      <c r="D975" t="s">
        <v>34</v>
      </c>
      <c r="E975" t="s">
        <v>56</v>
      </c>
      <c r="F975" t="s">
        <v>26</v>
      </c>
      <c r="G975" t="s">
        <v>41</v>
      </c>
      <c r="H975" t="s">
        <v>22</v>
      </c>
      <c r="I975">
        <v>3607</v>
      </c>
      <c r="J975">
        <v>2830</v>
      </c>
      <c r="K975">
        <v>2641</v>
      </c>
      <c r="L975">
        <v>180</v>
      </c>
      <c r="M975">
        <v>100</v>
      </c>
      <c r="N975">
        <v>6</v>
      </c>
      <c r="O975">
        <v>219.54</v>
      </c>
      <c r="P975">
        <v>8875.4500000000007</v>
      </c>
      <c r="Q975" s="5">
        <f t="shared" si="120"/>
        <v>0.93321554770318016</v>
      </c>
      <c r="R975" s="5">
        <f t="shared" si="121"/>
        <v>6.8156001514577805E-2</v>
      </c>
      <c r="S975" s="5">
        <f t="shared" si="122"/>
        <v>0.55555555555555558</v>
      </c>
      <c r="T975" s="5">
        <f t="shared" si="123"/>
        <v>0.06</v>
      </c>
      <c r="U975" s="5">
        <f t="shared" si="124"/>
        <v>2.2718667171525938E-3</v>
      </c>
      <c r="V975" s="6">
        <f t="shared" si="125"/>
        <v>2.1953999999999998</v>
      </c>
      <c r="W975" s="7">
        <f t="shared" si="126"/>
        <v>1.2196666666666667</v>
      </c>
      <c r="X975" s="5">
        <f t="shared" si="127"/>
        <v>39.427484740821718</v>
      </c>
    </row>
    <row r="976" spans="1:24" x14ac:dyDescent="0.35">
      <c r="A976" s="3">
        <v>46183</v>
      </c>
      <c r="B976" t="s">
        <v>1380</v>
      </c>
      <c r="C976" t="s">
        <v>1404</v>
      </c>
      <c r="D976" t="s">
        <v>40</v>
      </c>
      <c r="E976" t="s">
        <v>25</v>
      </c>
      <c r="F976" t="s">
        <v>20</v>
      </c>
      <c r="G976" t="s">
        <v>59</v>
      </c>
      <c r="H976" t="s">
        <v>22</v>
      </c>
      <c r="I976">
        <v>3901</v>
      </c>
      <c r="J976">
        <v>3750</v>
      </c>
      <c r="K976">
        <v>3568</v>
      </c>
      <c r="L976">
        <v>104</v>
      </c>
      <c r="M976">
        <v>51</v>
      </c>
      <c r="N976">
        <v>2</v>
      </c>
      <c r="O976">
        <v>652.37</v>
      </c>
      <c r="P976">
        <v>1750.77</v>
      </c>
      <c r="Q976" s="5">
        <f t="shared" si="120"/>
        <v>0.95146666666666668</v>
      </c>
      <c r="R976" s="5">
        <f t="shared" si="121"/>
        <v>2.914798206278027E-2</v>
      </c>
      <c r="S976" s="5">
        <f t="shared" si="122"/>
        <v>0.49038461538461536</v>
      </c>
      <c r="T976" s="5">
        <f t="shared" si="123"/>
        <v>3.9215686274509803E-2</v>
      </c>
      <c r="U976" s="5">
        <f t="shared" si="124"/>
        <v>5.6053811659192824E-4</v>
      </c>
      <c r="V976" s="6">
        <f t="shared" si="125"/>
        <v>12.79156862745098</v>
      </c>
      <c r="W976" s="7">
        <f t="shared" si="126"/>
        <v>6.2727884615384619</v>
      </c>
      <c r="X976" s="5">
        <f t="shared" si="127"/>
        <v>1.6837070987323146</v>
      </c>
    </row>
    <row r="977" spans="1:24" x14ac:dyDescent="0.35">
      <c r="A977" s="3">
        <v>46183</v>
      </c>
      <c r="B977" t="s">
        <v>1405</v>
      </c>
      <c r="C977" t="s">
        <v>1406</v>
      </c>
      <c r="D977" t="s">
        <v>34</v>
      </c>
      <c r="E977" t="s">
        <v>25</v>
      </c>
      <c r="F977" t="s">
        <v>20</v>
      </c>
      <c r="G977" t="s">
        <v>36</v>
      </c>
      <c r="H977" t="s">
        <v>48</v>
      </c>
      <c r="I977">
        <v>2801</v>
      </c>
      <c r="J977">
        <v>2328</v>
      </c>
      <c r="K977">
        <v>2228</v>
      </c>
      <c r="L977">
        <v>105</v>
      </c>
      <c r="M977">
        <v>52</v>
      </c>
      <c r="N977">
        <v>3</v>
      </c>
      <c r="O977">
        <v>165.75</v>
      </c>
      <c r="P977">
        <v>2648.59</v>
      </c>
      <c r="Q977" s="5">
        <f t="shared" si="120"/>
        <v>0.95704467353951894</v>
      </c>
      <c r="R977" s="5">
        <f t="shared" si="121"/>
        <v>4.7127468581687613E-2</v>
      </c>
      <c r="S977" s="5">
        <f t="shared" si="122"/>
        <v>0.49523809523809526</v>
      </c>
      <c r="T977" s="5">
        <f t="shared" si="123"/>
        <v>5.7692307692307696E-2</v>
      </c>
      <c r="U977" s="5">
        <f t="shared" si="124"/>
        <v>1.3464991023339318E-3</v>
      </c>
      <c r="V977" s="6">
        <f t="shared" si="125"/>
        <v>3.1875</v>
      </c>
      <c r="W977" s="7">
        <f t="shared" si="126"/>
        <v>1.5785714285714285</v>
      </c>
      <c r="X977" s="5">
        <f t="shared" si="127"/>
        <v>14.979426847662143</v>
      </c>
    </row>
    <row r="978" spans="1:24" x14ac:dyDescent="0.35">
      <c r="A978" s="3">
        <v>46183</v>
      </c>
      <c r="B978" t="s">
        <v>1407</v>
      </c>
      <c r="C978" t="s">
        <v>1408</v>
      </c>
      <c r="D978" t="s">
        <v>40</v>
      </c>
      <c r="E978" t="s">
        <v>35</v>
      </c>
      <c r="F978" t="s">
        <v>20</v>
      </c>
      <c r="G978" t="s">
        <v>21</v>
      </c>
      <c r="H978" t="s">
        <v>48</v>
      </c>
      <c r="I978">
        <v>3995</v>
      </c>
      <c r="J978">
        <v>3093</v>
      </c>
      <c r="K978">
        <v>2919</v>
      </c>
      <c r="L978">
        <v>222</v>
      </c>
      <c r="M978">
        <v>95</v>
      </c>
      <c r="N978">
        <v>5</v>
      </c>
      <c r="O978">
        <v>481.58</v>
      </c>
      <c r="P978">
        <v>4587.8500000000004</v>
      </c>
      <c r="Q978" s="5">
        <f t="shared" si="120"/>
        <v>0.9437439379243453</v>
      </c>
      <c r="R978" s="5">
        <f t="shared" si="121"/>
        <v>7.6053442959917783E-2</v>
      </c>
      <c r="S978" s="5">
        <f t="shared" si="122"/>
        <v>0.42792792792792794</v>
      </c>
      <c r="T978" s="5">
        <f t="shared" si="123"/>
        <v>5.2631578947368418E-2</v>
      </c>
      <c r="U978" s="5">
        <f t="shared" si="124"/>
        <v>1.7129153819801302E-3</v>
      </c>
      <c r="V978" s="6">
        <f t="shared" si="125"/>
        <v>5.0692631578947367</v>
      </c>
      <c r="W978" s="7">
        <f t="shared" si="126"/>
        <v>2.1692792792792792</v>
      </c>
      <c r="X978" s="5">
        <f t="shared" si="127"/>
        <v>8.5266622368038547</v>
      </c>
    </row>
    <row r="979" spans="1:24" x14ac:dyDescent="0.35">
      <c r="A979" s="3">
        <v>46183</v>
      </c>
      <c r="B979" t="s">
        <v>1409</v>
      </c>
      <c r="C979" t="s">
        <v>1410</v>
      </c>
      <c r="D979" t="s">
        <v>18</v>
      </c>
      <c r="E979" t="s">
        <v>56</v>
      </c>
      <c r="F979" t="s">
        <v>20</v>
      </c>
      <c r="G979" t="s">
        <v>27</v>
      </c>
      <c r="H979" t="s">
        <v>51</v>
      </c>
      <c r="I979">
        <v>1663</v>
      </c>
      <c r="J979">
        <v>1393</v>
      </c>
      <c r="K979">
        <v>1289</v>
      </c>
      <c r="L979">
        <v>76</v>
      </c>
      <c r="M979">
        <v>30</v>
      </c>
      <c r="N979">
        <v>1</v>
      </c>
      <c r="O979">
        <v>174.38</v>
      </c>
      <c r="P979">
        <v>1316.58</v>
      </c>
      <c r="Q979" s="5">
        <f t="shared" si="120"/>
        <v>0.92534099066762387</v>
      </c>
      <c r="R979" s="5">
        <f t="shared" si="121"/>
        <v>5.8960434445306437E-2</v>
      </c>
      <c r="S979" s="5">
        <f t="shared" si="122"/>
        <v>0.39473684210526316</v>
      </c>
      <c r="T979" s="5">
        <f t="shared" si="123"/>
        <v>3.3333333333333333E-2</v>
      </c>
      <c r="U979" s="5">
        <f t="shared" si="124"/>
        <v>7.7579519006982156E-4</v>
      </c>
      <c r="V979" s="6">
        <f t="shared" si="125"/>
        <v>5.8126666666666669</v>
      </c>
      <c r="W979" s="7">
        <f t="shared" si="126"/>
        <v>2.2944736842105264</v>
      </c>
      <c r="X979" s="5">
        <f t="shared" si="127"/>
        <v>6.5500630806285116</v>
      </c>
    </row>
    <row r="980" spans="1:24" x14ac:dyDescent="0.35">
      <c r="A980" s="3">
        <v>46183</v>
      </c>
      <c r="B980" t="s">
        <v>1328</v>
      </c>
      <c r="C980" t="s">
        <v>1411</v>
      </c>
      <c r="D980" t="s">
        <v>18</v>
      </c>
      <c r="E980" t="s">
        <v>35</v>
      </c>
      <c r="F980" t="s">
        <v>26</v>
      </c>
      <c r="G980" t="s">
        <v>36</v>
      </c>
      <c r="H980" t="s">
        <v>28</v>
      </c>
      <c r="I980">
        <v>1715</v>
      </c>
      <c r="J980">
        <v>1505</v>
      </c>
      <c r="K980">
        <v>1366</v>
      </c>
      <c r="L980">
        <v>167</v>
      </c>
      <c r="M980">
        <v>98</v>
      </c>
      <c r="N980">
        <v>9</v>
      </c>
      <c r="O980">
        <v>211.33</v>
      </c>
      <c r="P980">
        <v>15164.53</v>
      </c>
      <c r="Q980" s="5">
        <f t="shared" si="120"/>
        <v>0.90764119601328908</v>
      </c>
      <c r="R980" s="5">
        <f t="shared" si="121"/>
        <v>0.12225475841874085</v>
      </c>
      <c r="S980" s="5">
        <f t="shared" si="122"/>
        <v>0.58682634730538918</v>
      </c>
      <c r="T980" s="5">
        <f t="shared" si="123"/>
        <v>9.1836734693877556E-2</v>
      </c>
      <c r="U980" s="5">
        <f t="shared" si="124"/>
        <v>6.5885797950219621E-3</v>
      </c>
      <c r="V980" s="6">
        <f t="shared" si="125"/>
        <v>2.1564285714285716</v>
      </c>
      <c r="W980" s="7">
        <f t="shared" si="126"/>
        <v>1.2654491017964073</v>
      </c>
      <c r="X980" s="5">
        <f t="shared" si="127"/>
        <v>70.757582927175505</v>
      </c>
    </row>
    <row r="981" spans="1:24" x14ac:dyDescent="0.35">
      <c r="A981" s="3">
        <v>46183</v>
      </c>
      <c r="B981" t="s">
        <v>1402</v>
      </c>
      <c r="C981" t="s">
        <v>1412</v>
      </c>
      <c r="D981" t="s">
        <v>34</v>
      </c>
      <c r="E981" t="s">
        <v>56</v>
      </c>
      <c r="F981" t="s">
        <v>20</v>
      </c>
      <c r="G981" t="s">
        <v>27</v>
      </c>
      <c r="H981" t="s">
        <v>51</v>
      </c>
      <c r="I981">
        <v>4408</v>
      </c>
      <c r="J981">
        <v>3376</v>
      </c>
      <c r="K981">
        <v>3123</v>
      </c>
      <c r="L981">
        <v>146</v>
      </c>
      <c r="M981">
        <v>76</v>
      </c>
      <c r="N981">
        <v>4</v>
      </c>
      <c r="O981">
        <v>317.66000000000003</v>
      </c>
      <c r="P981">
        <v>3492.39</v>
      </c>
      <c r="Q981" s="5">
        <f t="shared" si="120"/>
        <v>0.92505924170616116</v>
      </c>
      <c r="R981" s="5">
        <f t="shared" si="121"/>
        <v>4.6749919948767212E-2</v>
      </c>
      <c r="S981" s="5">
        <f t="shared" si="122"/>
        <v>0.52054794520547942</v>
      </c>
      <c r="T981" s="5">
        <f t="shared" si="123"/>
        <v>5.2631578947368418E-2</v>
      </c>
      <c r="U981" s="5">
        <f t="shared" si="124"/>
        <v>1.2808197246237591E-3</v>
      </c>
      <c r="V981" s="6">
        <f t="shared" si="125"/>
        <v>4.1797368421052639</v>
      </c>
      <c r="W981" s="7">
        <f t="shared" si="126"/>
        <v>2.1757534246575343</v>
      </c>
      <c r="X981" s="5">
        <f t="shared" si="127"/>
        <v>9.9941132027954414</v>
      </c>
    </row>
    <row r="982" spans="1:24" x14ac:dyDescent="0.35">
      <c r="A982" s="3">
        <v>46184</v>
      </c>
      <c r="B982" t="s">
        <v>1413</v>
      </c>
      <c r="C982" t="s">
        <v>1414</v>
      </c>
      <c r="D982" t="s">
        <v>34</v>
      </c>
      <c r="E982" t="s">
        <v>25</v>
      </c>
      <c r="F982" t="s">
        <v>20</v>
      </c>
      <c r="G982" t="s">
        <v>21</v>
      </c>
      <c r="H982" t="s">
        <v>22</v>
      </c>
      <c r="I982">
        <v>2133</v>
      </c>
      <c r="J982">
        <v>1626</v>
      </c>
      <c r="K982">
        <v>1518</v>
      </c>
      <c r="L982">
        <v>48</v>
      </c>
      <c r="M982">
        <v>24</v>
      </c>
      <c r="N982">
        <v>1</v>
      </c>
      <c r="O982">
        <v>122.06</v>
      </c>
      <c r="P982">
        <v>949</v>
      </c>
      <c r="Q982" s="5">
        <f t="shared" si="120"/>
        <v>0.93357933579335795</v>
      </c>
      <c r="R982" s="5">
        <f t="shared" si="121"/>
        <v>3.1620553359683792E-2</v>
      </c>
      <c r="S982" s="5">
        <f t="shared" si="122"/>
        <v>0.5</v>
      </c>
      <c r="T982" s="5">
        <f t="shared" si="123"/>
        <v>4.1666666666666664E-2</v>
      </c>
      <c r="U982" s="5">
        <f t="shared" si="124"/>
        <v>6.5876152832674575E-4</v>
      </c>
      <c r="V982" s="6">
        <f t="shared" si="125"/>
        <v>5.0858333333333334</v>
      </c>
      <c r="W982" s="7">
        <f t="shared" si="126"/>
        <v>2.5429166666666667</v>
      </c>
      <c r="X982" s="5">
        <f t="shared" si="127"/>
        <v>6.774864820580043</v>
      </c>
    </row>
    <row r="983" spans="1:24" x14ac:dyDescent="0.35">
      <c r="A983" s="3">
        <v>46184</v>
      </c>
      <c r="B983" t="s">
        <v>1316</v>
      </c>
      <c r="C983" t="s">
        <v>1415</v>
      </c>
      <c r="D983" t="s">
        <v>18</v>
      </c>
      <c r="E983" t="s">
        <v>35</v>
      </c>
      <c r="F983" t="s">
        <v>20</v>
      </c>
      <c r="G983" t="s">
        <v>41</v>
      </c>
      <c r="H983" t="s">
        <v>51</v>
      </c>
      <c r="I983">
        <v>1678</v>
      </c>
      <c r="J983">
        <v>1490</v>
      </c>
      <c r="K983">
        <v>1374</v>
      </c>
      <c r="L983">
        <v>138</v>
      </c>
      <c r="M983">
        <v>76</v>
      </c>
      <c r="N983">
        <v>6</v>
      </c>
      <c r="O983">
        <v>172.19</v>
      </c>
      <c r="P983">
        <v>9147.33</v>
      </c>
      <c r="Q983" s="5">
        <f t="shared" si="120"/>
        <v>0.92214765100671137</v>
      </c>
      <c r="R983" s="5">
        <f t="shared" si="121"/>
        <v>0.10043668122270742</v>
      </c>
      <c r="S983" s="5">
        <f t="shared" si="122"/>
        <v>0.55072463768115942</v>
      </c>
      <c r="T983" s="5">
        <f t="shared" si="123"/>
        <v>7.8947368421052627E-2</v>
      </c>
      <c r="U983" s="5">
        <f t="shared" si="124"/>
        <v>4.3668122270742356E-3</v>
      </c>
      <c r="V983" s="6">
        <f t="shared" si="125"/>
        <v>2.265657894736842</v>
      </c>
      <c r="W983" s="7">
        <f t="shared" si="126"/>
        <v>1.2477536231884059</v>
      </c>
      <c r="X983" s="5">
        <f t="shared" si="127"/>
        <v>52.123468261803822</v>
      </c>
    </row>
    <row r="984" spans="1:24" x14ac:dyDescent="0.35">
      <c r="A984" s="3">
        <v>46184</v>
      </c>
      <c r="B984" t="s">
        <v>1390</v>
      </c>
      <c r="C984" t="s">
        <v>1416</v>
      </c>
      <c r="D984" t="s">
        <v>31</v>
      </c>
      <c r="E984" t="s">
        <v>25</v>
      </c>
      <c r="F984" t="s">
        <v>26</v>
      </c>
      <c r="G984" t="s">
        <v>59</v>
      </c>
      <c r="H984" t="s">
        <v>37</v>
      </c>
      <c r="I984">
        <v>4428</v>
      </c>
      <c r="J984">
        <v>3696</v>
      </c>
      <c r="K984">
        <v>3494</v>
      </c>
      <c r="L984">
        <v>137</v>
      </c>
      <c r="M984">
        <v>69</v>
      </c>
      <c r="N984">
        <v>3</v>
      </c>
      <c r="O984">
        <v>686.19</v>
      </c>
      <c r="P984">
        <v>4079.2</v>
      </c>
      <c r="Q984" s="5">
        <f t="shared" si="120"/>
        <v>0.94534632034632038</v>
      </c>
      <c r="R984" s="5">
        <f t="shared" si="121"/>
        <v>3.9210074413279908E-2</v>
      </c>
      <c r="S984" s="5">
        <f t="shared" si="122"/>
        <v>0.5036496350364964</v>
      </c>
      <c r="T984" s="5">
        <f t="shared" si="123"/>
        <v>4.3478260869565216E-2</v>
      </c>
      <c r="U984" s="5">
        <f t="shared" si="124"/>
        <v>8.5861476817401263E-4</v>
      </c>
      <c r="V984" s="6">
        <f t="shared" si="125"/>
        <v>9.9447826086956521</v>
      </c>
      <c r="W984" s="7">
        <f t="shared" si="126"/>
        <v>5.0086861313868614</v>
      </c>
      <c r="X984" s="5">
        <f t="shared" si="127"/>
        <v>4.9447091913318459</v>
      </c>
    </row>
    <row r="985" spans="1:24" x14ac:dyDescent="0.35">
      <c r="A985" s="3">
        <v>46184</v>
      </c>
      <c r="B985" t="s">
        <v>1417</v>
      </c>
      <c r="C985" t="s">
        <v>1418</v>
      </c>
      <c r="D985" t="s">
        <v>18</v>
      </c>
      <c r="E985" t="s">
        <v>56</v>
      </c>
      <c r="F985" t="s">
        <v>20</v>
      </c>
      <c r="G985" t="s">
        <v>36</v>
      </c>
      <c r="H985" t="s">
        <v>37</v>
      </c>
      <c r="I985">
        <v>944</v>
      </c>
      <c r="J985">
        <v>752</v>
      </c>
      <c r="K985">
        <v>691</v>
      </c>
      <c r="L985">
        <v>38</v>
      </c>
      <c r="M985">
        <v>17</v>
      </c>
      <c r="N985">
        <v>1</v>
      </c>
      <c r="O985">
        <v>97.67</v>
      </c>
      <c r="P985">
        <v>1442.61</v>
      </c>
      <c r="Q985" s="5">
        <f t="shared" si="120"/>
        <v>0.9188829787234043</v>
      </c>
      <c r="R985" s="5">
        <f t="shared" si="121"/>
        <v>5.4992764109985527E-2</v>
      </c>
      <c r="S985" s="5">
        <f t="shared" si="122"/>
        <v>0.44736842105263158</v>
      </c>
      <c r="T985" s="5">
        <f t="shared" si="123"/>
        <v>5.8823529411764705E-2</v>
      </c>
      <c r="U985" s="5">
        <f t="shared" si="124"/>
        <v>1.4471780028943559E-3</v>
      </c>
      <c r="V985" s="6">
        <f t="shared" si="125"/>
        <v>5.7452941176470587</v>
      </c>
      <c r="W985" s="7">
        <f t="shared" si="126"/>
        <v>2.570263157894737</v>
      </c>
      <c r="X985" s="5">
        <f t="shared" si="127"/>
        <v>13.770246749257703</v>
      </c>
    </row>
    <row r="986" spans="1:24" x14ac:dyDescent="0.35">
      <c r="A986" s="3">
        <v>46185</v>
      </c>
      <c r="B986" t="s">
        <v>1405</v>
      </c>
      <c r="C986" t="s">
        <v>1419</v>
      </c>
      <c r="D986" t="s">
        <v>18</v>
      </c>
      <c r="E986" t="s">
        <v>35</v>
      </c>
      <c r="F986" t="s">
        <v>20</v>
      </c>
      <c r="G986" t="s">
        <v>41</v>
      </c>
      <c r="H986" t="s">
        <v>48</v>
      </c>
      <c r="I986">
        <v>1788</v>
      </c>
      <c r="J986">
        <v>1448</v>
      </c>
      <c r="K986">
        <v>1347</v>
      </c>
      <c r="L986">
        <v>104</v>
      </c>
      <c r="M986">
        <v>48</v>
      </c>
      <c r="N986">
        <v>4</v>
      </c>
      <c r="O986">
        <v>156.88</v>
      </c>
      <c r="P986">
        <v>5423.33</v>
      </c>
      <c r="Q986" s="5">
        <f t="shared" si="120"/>
        <v>0.93024861878453036</v>
      </c>
      <c r="R986" s="5">
        <f t="shared" si="121"/>
        <v>7.7208611729769852E-2</v>
      </c>
      <c r="S986" s="5">
        <f t="shared" si="122"/>
        <v>0.46153846153846156</v>
      </c>
      <c r="T986" s="5">
        <f t="shared" si="123"/>
        <v>8.3333333333333329E-2</v>
      </c>
      <c r="U986" s="5">
        <f t="shared" si="124"/>
        <v>2.9695619896065329E-3</v>
      </c>
      <c r="V986" s="6">
        <f t="shared" si="125"/>
        <v>3.2683333333333331</v>
      </c>
      <c r="W986" s="7">
        <f t="shared" si="126"/>
        <v>1.5084615384615385</v>
      </c>
      <c r="X986" s="5">
        <f t="shared" si="127"/>
        <v>33.569926058133603</v>
      </c>
    </row>
    <row r="987" spans="1:24" x14ac:dyDescent="0.35">
      <c r="A987" s="3">
        <v>46185</v>
      </c>
      <c r="B987" t="s">
        <v>1420</v>
      </c>
      <c r="C987" t="s">
        <v>1421</v>
      </c>
      <c r="D987" t="s">
        <v>40</v>
      </c>
      <c r="E987" t="s">
        <v>56</v>
      </c>
      <c r="F987" t="s">
        <v>26</v>
      </c>
      <c r="G987" t="s">
        <v>27</v>
      </c>
      <c r="H987" t="s">
        <v>28</v>
      </c>
      <c r="I987">
        <v>4750</v>
      </c>
      <c r="J987">
        <v>4542</v>
      </c>
      <c r="K987">
        <v>4133</v>
      </c>
      <c r="L987">
        <v>281</v>
      </c>
      <c r="M987">
        <v>163</v>
      </c>
      <c r="N987">
        <v>13</v>
      </c>
      <c r="O987">
        <v>583.12</v>
      </c>
      <c r="P987">
        <v>13509.73</v>
      </c>
      <c r="Q987" s="5">
        <f t="shared" si="120"/>
        <v>0.90995156318802295</v>
      </c>
      <c r="R987" s="5">
        <f t="shared" si="121"/>
        <v>6.7989353980159692E-2</v>
      </c>
      <c r="S987" s="5">
        <f t="shared" si="122"/>
        <v>0.58007117437722422</v>
      </c>
      <c r="T987" s="5">
        <f t="shared" si="123"/>
        <v>7.9754601226993863E-2</v>
      </c>
      <c r="U987" s="5">
        <f t="shared" si="124"/>
        <v>3.1454149528187757E-3</v>
      </c>
      <c r="V987" s="6">
        <f t="shared" si="125"/>
        <v>3.5774233128834356</v>
      </c>
      <c r="W987" s="7">
        <f t="shared" si="126"/>
        <v>2.0751601423487545</v>
      </c>
      <c r="X987" s="5">
        <f t="shared" si="127"/>
        <v>22.16801001509123</v>
      </c>
    </row>
    <row r="988" spans="1:24" x14ac:dyDescent="0.35">
      <c r="A988" s="3">
        <v>46185</v>
      </c>
      <c r="B988" t="s">
        <v>1422</v>
      </c>
      <c r="C988" t="s">
        <v>1423</v>
      </c>
      <c r="D988" t="s">
        <v>18</v>
      </c>
      <c r="E988" t="s">
        <v>19</v>
      </c>
      <c r="F988" t="s">
        <v>26</v>
      </c>
      <c r="G988" t="s">
        <v>59</v>
      </c>
      <c r="H988" t="s">
        <v>22</v>
      </c>
      <c r="I988">
        <v>3035</v>
      </c>
      <c r="J988">
        <v>2507</v>
      </c>
      <c r="K988">
        <v>2288</v>
      </c>
      <c r="L988">
        <v>66</v>
      </c>
      <c r="M988">
        <v>44</v>
      </c>
      <c r="N988">
        <v>1</v>
      </c>
      <c r="O988">
        <v>339.9</v>
      </c>
      <c r="P988">
        <v>1245.1199999999999</v>
      </c>
      <c r="Q988" s="5">
        <f t="shared" si="120"/>
        <v>0.91264459513362584</v>
      </c>
      <c r="R988" s="5">
        <f t="shared" si="121"/>
        <v>2.8846153846153848E-2</v>
      </c>
      <c r="S988" s="5">
        <f t="shared" si="122"/>
        <v>0.66666666666666663</v>
      </c>
      <c r="T988" s="5">
        <f t="shared" si="123"/>
        <v>2.2727272727272728E-2</v>
      </c>
      <c r="U988" s="5">
        <f t="shared" si="124"/>
        <v>4.3706293706293706E-4</v>
      </c>
      <c r="V988" s="6">
        <f t="shared" si="125"/>
        <v>7.7249999999999996</v>
      </c>
      <c r="W988" s="7">
        <f t="shared" si="126"/>
        <v>5.1499999999999995</v>
      </c>
      <c r="X988" s="5">
        <f t="shared" si="127"/>
        <v>2.6631950573698147</v>
      </c>
    </row>
    <row r="989" spans="1:24" x14ac:dyDescent="0.35">
      <c r="A989" s="3">
        <v>46185</v>
      </c>
      <c r="B989" t="s">
        <v>1424</v>
      </c>
      <c r="C989" t="s">
        <v>1425</v>
      </c>
      <c r="D989" t="s">
        <v>40</v>
      </c>
      <c r="E989" t="s">
        <v>19</v>
      </c>
      <c r="F989" t="s">
        <v>20</v>
      </c>
      <c r="G989" t="s">
        <v>27</v>
      </c>
      <c r="H989" t="s">
        <v>22</v>
      </c>
      <c r="I989">
        <v>4477</v>
      </c>
      <c r="J989">
        <v>4322</v>
      </c>
      <c r="K989">
        <v>4105</v>
      </c>
      <c r="L989">
        <v>12</v>
      </c>
      <c r="M989">
        <v>6</v>
      </c>
      <c r="N989">
        <v>0</v>
      </c>
      <c r="O989">
        <v>660.85</v>
      </c>
      <c r="P989">
        <v>0</v>
      </c>
      <c r="Q989" s="5">
        <f t="shared" si="120"/>
        <v>0.94979176307265156</v>
      </c>
      <c r="R989" s="5">
        <f t="shared" si="121"/>
        <v>2.92326431181486E-3</v>
      </c>
      <c r="S989" s="5">
        <f t="shared" si="122"/>
        <v>0.5</v>
      </c>
      <c r="T989" s="5">
        <f t="shared" si="123"/>
        <v>0</v>
      </c>
      <c r="U989" s="5">
        <f t="shared" si="124"/>
        <v>0</v>
      </c>
      <c r="V989" s="6">
        <f t="shared" si="125"/>
        <v>110.14166666666667</v>
      </c>
      <c r="W989" s="7">
        <f t="shared" si="126"/>
        <v>55.070833333333333</v>
      </c>
      <c r="X989" s="5">
        <f t="shared" si="127"/>
        <v>-1</v>
      </c>
    </row>
    <row r="990" spans="1:24" x14ac:dyDescent="0.35">
      <c r="A990" s="3">
        <v>46185</v>
      </c>
      <c r="B990" t="s">
        <v>1312</v>
      </c>
      <c r="C990" t="s">
        <v>1426</v>
      </c>
      <c r="D990" t="s">
        <v>18</v>
      </c>
      <c r="E990" t="s">
        <v>19</v>
      </c>
      <c r="F990" t="s">
        <v>20</v>
      </c>
      <c r="G990" t="s">
        <v>27</v>
      </c>
      <c r="H990" t="s">
        <v>22</v>
      </c>
      <c r="I990">
        <v>2307</v>
      </c>
      <c r="J990">
        <v>1949</v>
      </c>
      <c r="K990">
        <v>1819</v>
      </c>
      <c r="L990">
        <v>50</v>
      </c>
      <c r="M990">
        <v>31</v>
      </c>
      <c r="N990">
        <v>1</v>
      </c>
      <c r="O990">
        <v>200.72</v>
      </c>
      <c r="P990">
        <v>874.45</v>
      </c>
      <c r="Q990" s="5">
        <f t="shared" si="120"/>
        <v>0.93329912775782453</v>
      </c>
      <c r="R990" s="5">
        <f t="shared" si="121"/>
        <v>2.7487630566245189E-2</v>
      </c>
      <c r="S990" s="5">
        <f t="shared" si="122"/>
        <v>0.62</v>
      </c>
      <c r="T990" s="5">
        <f t="shared" si="123"/>
        <v>3.2258064516129031E-2</v>
      </c>
      <c r="U990" s="5">
        <f t="shared" si="124"/>
        <v>5.4975261132490382E-4</v>
      </c>
      <c r="V990" s="6">
        <f t="shared" si="125"/>
        <v>6.4748387096774191</v>
      </c>
      <c r="W990" s="7">
        <f t="shared" si="126"/>
        <v>4.0144000000000002</v>
      </c>
      <c r="X990" s="5">
        <f t="shared" si="127"/>
        <v>3.35656636110004</v>
      </c>
    </row>
    <row r="991" spans="1:24" x14ac:dyDescent="0.35">
      <c r="A991" s="3">
        <v>46185</v>
      </c>
      <c r="B991" t="s">
        <v>1328</v>
      </c>
      <c r="C991" t="s">
        <v>1427</v>
      </c>
      <c r="D991" t="s">
        <v>31</v>
      </c>
      <c r="E991" t="s">
        <v>56</v>
      </c>
      <c r="F991" t="s">
        <v>20</v>
      </c>
      <c r="G991" t="s">
        <v>27</v>
      </c>
      <c r="H991" t="s">
        <v>51</v>
      </c>
      <c r="I991">
        <v>2728</v>
      </c>
      <c r="J991">
        <v>2594</v>
      </c>
      <c r="K991">
        <v>2504</v>
      </c>
      <c r="L991">
        <v>78</v>
      </c>
      <c r="M991">
        <v>28</v>
      </c>
      <c r="N991">
        <v>1</v>
      </c>
      <c r="O991">
        <v>523.78</v>
      </c>
      <c r="P991">
        <v>1408.97</v>
      </c>
      <c r="Q991" s="5">
        <f t="shared" si="120"/>
        <v>0.96530454895913642</v>
      </c>
      <c r="R991" s="5">
        <f t="shared" si="121"/>
        <v>3.1150159744408944E-2</v>
      </c>
      <c r="S991" s="5">
        <f t="shared" si="122"/>
        <v>0.35897435897435898</v>
      </c>
      <c r="T991" s="5">
        <f t="shared" si="123"/>
        <v>3.5714285714285712E-2</v>
      </c>
      <c r="U991" s="5">
        <f t="shared" si="124"/>
        <v>3.9936102236421724E-4</v>
      </c>
      <c r="V991" s="6">
        <f t="shared" si="125"/>
        <v>18.706428571428571</v>
      </c>
      <c r="W991" s="7">
        <f t="shared" si="126"/>
        <v>6.7151282051282051</v>
      </c>
      <c r="X991" s="5">
        <f t="shared" si="127"/>
        <v>1.6900034365573333</v>
      </c>
    </row>
    <row r="992" spans="1:24" x14ac:dyDescent="0.35">
      <c r="A992" s="3">
        <v>46186</v>
      </c>
      <c r="B992" t="s">
        <v>1385</v>
      </c>
      <c r="C992" t="s">
        <v>1428</v>
      </c>
      <c r="D992" t="s">
        <v>31</v>
      </c>
      <c r="E992" t="s">
        <v>35</v>
      </c>
      <c r="F992" t="s">
        <v>20</v>
      </c>
      <c r="G992" t="s">
        <v>27</v>
      </c>
      <c r="H992" t="s">
        <v>28</v>
      </c>
      <c r="I992">
        <v>1072</v>
      </c>
      <c r="J992">
        <v>953</v>
      </c>
      <c r="K992">
        <v>899</v>
      </c>
      <c r="L992">
        <v>45</v>
      </c>
      <c r="M992">
        <v>16</v>
      </c>
      <c r="N992">
        <v>1</v>
      </c>
      <c r="O992">
        <v>158.22999999999999</v>
      </c>
      <c r="P992">
        <v>1598.41</v>
      </c>
      <c r="Q992" s="5">
        <f t="shared" si="120"/>
        <v>0.94333683105981114</v>
      </c>
      <c r="R992" s="5">
        <f t="shared" si="121"/>
        <v>5.0055617352614018E-2</v>
      </c>
      <c r="S992" s="5">
        <f t="shared" si="122"/>
        <v>0.35555555555555557</v>
      </c>
      <c r="T992" s="5">
        <f t="shared" si="123"/>
        <v>6.25E-2</v>
      </c>
      <c r="U992" s="5">
        <f t="shared" si="124"/>
        <v>1.1123470522803114E-3</v>
      </c>
      <c r="V992" s="6">
        <f t="shared" si="125"/>
        <v>9.8893749999999994</v>
      </c>
      <c r="W992" s="7">
        <f t="shared" si="126"/>
        <v>3.5162222222222219</v>
      </c>
      <c r="X992" s="5">
        <f t="shared" si="127"/>
        <v>9.1018138153321129</v>
      </c>
    </row>
    <row r="993" spans="1:24" x14ac:dyDescent="0.35">
      <c r="A993" s="3">
        <v>46186</v>
      </c>
      <c r="B993" t="s">
        <v>1429</v>
      </c>
      <c r="C993" t="s">
        <v>1430</v>
      </c>
      <c r="D993" t="s">
        <v>34</v>
      </c>
      <c r="E993" t="s">
        <v>35</v>
      </c>
      <c r="F993" t="s">
        <v>26</v>
      </c>
      <c r="G993" t="s">
        <v>41</v>
      </c>
      <c r="H993" t="s">
        <v>28</v>
      </c>
      <c r="I993">
        <v>4590</v>
      </c>
      <c r="J993">
        <v>4374</v>
      </c>
      <c r="K993">
        <v>4088</v>
      </c>
      <c r="L993">
        <v>408</v>
      </c>
      <c r="M993">
        <v>233</v>
      </c>
      <c r="N993">
        <v>18</v>
      </c>
      <c r="O993">
        <v>370.71</v>
      </c>
      <c r="P993">
        <v>14691.77</v>
      </c>
      <c r="Q993" s="5">
        <f t="shared" si="120"/>
        <v>0.93461362597165065</v>
      </c>
      <c r="R993" s="5">
        <f t="shared" si="121"/>
        <v>9.9804305283757333E-2</v>
      </c>
      <c r="S993" s="5">
        <f t="shared" si="122"/>
        <v>0.57107843137254899</v>
      </c>
      <c r="T993" s="5">
        <f t="shared" si="123"/>
        <v>7.7253218884120178E-2</v>
      </c>
      <c r="U993" s="5">
        <f t="shared" si="124"/>
        <v>4.4031311154598823E-3</v>
      </c>
      <c r="V993" s="6">
        <f t="shared" si="125"/>
        <v>1.591030042918455</v>
      </c>
      <c r="W993" s="7">
        <f t="shared" si="126"/>
        <v>0.90860294117647056</v>
      </c>
      <c r="X993" s="5">
        <f t="shared" si="127"/>
        <v>38.631436972296413</v>
      </c>
    </row>
    <row r="994" spans="1:24" x14ac:dyDescent="0.35">
      <c r="A994" s="3">
        <v>46186</v>
      </c>
      <c r="B994" t="s">
        <v>1342</v>
      </c>
      <c r="C994" t="s">
        <v>1431</v>
      </c>
      <c r="D994" t="s">
        <v>31</v>
      </c>
      <c r="E994" t="s">
        <v>35</v>
      </c>
      <c r="F994" t="s">
        <v>20</v>
      </c>
      <c r="G994" t="s">
        <v>41</v>
      </c>
      <c r="H994" t="s">
        <v>48</v>
      </c>
      <c r="I994">
        <v>2389</v>
      </c>
      <c r="J994">
        <v>2228</v>
      </c>
      <c r="K994">
        <v>2118</v>
      </c>
      <c r="L994">
        <v>105</v>
      </c>
      <c r="M994">
        <v>38</v>
      </c>
      <c r="N994">
        <v>2</v>
      </c>
      <c r="O994">
        <v>422.15</v>
      </c>
      <c r="P994">
        <v>2535.4299999999998</v>
      </c>
      <c r="Q994" s="5">
        <f t="shared" si="120"/>
        <v>0.95062836624775582</v>
      </c>
      <c r="R994" s="5">
        <f t="shared" si="121"/>
        <v>4.9575070821529746E-2</v>
      </c>
      <c r="S994" s="5">
        <f t="shared" si="122"/>
        <v>0.3619047619047619</v>
      </c>
      <c r="T994" s="5">
        <f t="shared" si="123"/>
        <v>5.2631578947368418E-2</v>
      </c>
      <c r="U994" s="5">
        <f t="shared" si="124"/>
        <v>9.4428706326723328E-4</v>
      </c>
      <c r="V994" s="6">
        <f t="shared" si="125"/>
        <v>11.109210526315788</v>
      </c>
      <c r="W994" s="7">
        <f t="shared" si="126"/>
        <v>4.0204761904761899</v>
      </c>
      <c r="X994" s="5">
        <f t="shared" si="127"/>
        <v>5.0059931304038843</v>
      </c>
    </row>
    <row r="995" spans="1:24" x14ac:dyDescent="0.35">
      <c r="A995" s="3">
        <v>46186</v>
      </c>
      <c r="B995" t="s">
        <v>1334</v>
      </c>
      <c r="C995" t="s">
        <v>1432</v>
      </c>
      <c r="D995" t="s">
        <v>40</v>
      </c>
      <c r="E995" t="s">
        <v>56</v>
      </c>
      <c r="F995" t="s">
        <v>20</v>
      </c>
      <c r="G995" t="s">
        <v>36</v>
      </c>
      <c r="H995" t="s">
        <v>22</v>
      </c>
      <c r="I995">
        <v>4221</v>
      </c>
      <c r="J995">
        <v>3384</v>
      </c>
      <c r="K995">
        <v>3127</v>
      </c>
      <c r="L995">
        <v>204</v>
      </c>
      <c r="M995">
        <v>102</v>
      </c>
      <c r="N995">
        <v>4</v>
      </c>
      <c r="O995">
        <v>490.73</v>
      </c>
      <c r="P995">
        <v>5368.62</v>
      </c>
      <c r="Q995" s="5">
        <f t="shared" si="120"/>
        <v>0.92405437352245867</v>
      </c>
      <c r="R995" s="5">
        <f t="shared" si="121"/>
        <v>6.523824752158619E-2</v>
      </c>
      <c r="S995" s="5">
        <f t="shared" si="122"/>
        <v>0.5</v>
      </c>
      <c r="T995" s="5">
        <f t="shared" si="123"/>
        <v>3.9215686274509803E-2</v>
      </c>
      <c r="U995" s="5">
        <f t="shared" si="124"/>
        <v>1.2791813239526704E-3</v>
      </c>
      <c r="V995" s="6">
        <f t="shared" si="125"/>
        <v>4.8110784313725494</v>
      </c>
      <c r="W995" s="7">
        <f t="shared" si="126"/>
        <v>2.4055392156862747</v>
      </c>
      <c r="X995" s="5">
        <f t="shared" si="127"/>
        <v>9.9400688769791934</v>
      </c>
    </row>
    <row r="996" spans="1:24" x14ac:dyDescent="0.35">
      <c r="A996" s="3">
        <v>46186</v>
      </c>
      <c r="B996" t="s">
        <v>1433</v>
      </c>
      <c r="C996" t="s">
        <v>1434</v>
      </c>
      <c r="D996" t="s">
        <v>34</v>
      </c>
      <c r="E996" t="s">
        <v>25</v>
      </c>
      <c r="F996" t="s">
        <v>20</v>
      </c>
      <c r="G996" t="s">
        <v>36</v>
      </c>
      <c r="H996" t="s">
        <v>28</v>
      </c>
      <c r="I996">
        <v>3034</v>
      </c>
      <c r="J996">
        <v>2827</v>
      </c>
      <c r="K996">
        <v>2653</v>
      </c>
      <c r="L996">
        <v>117</v>
      </c>
      <c r="M996">
        <v>46</v>
      </c>
      <c r="N996">
        <v>2</v>
      </c>
      <c r="O996">
        <v>222.74</v>
      </c>
      <c r="P996">
        <v>2329.38</v>
      </c>
      <c r="Q996" s="5">
        <f t="shared" si="120"/>
        <v>0.9384506544039618</v>
      </c>
      <c r="R996" s="5">
        <f t="shared" si="121"/>
        <v>4.4101017715793445E-2</v>
      </c>
      <c r="S996" s="5">
        <f t="shared" si="122"/>
        <v>0.39316239316239315</v>
      </c>
      <c r="T996" s="5">
        <f t="shared" si="123"/>
        <v>4.3478260869565216E-2</v>
      </c>
      <c r="U996" s="5">
        <f t="shared" si="124"/>
        <v>7.538635506973238E-4</v>
      </c>
      <c r="V996" s="6">
        <f t="shared" si="125"/>
        <v>4.8421739130434789</v>
      </c>
      <c r="W996" s="7">
        <f t="shared" si="126"/>
        <v>1.9037606837606837</v>
      </c>
      <c r="X996" s="5">
        <f t="shared" si="127"/>
        <v>9.457843225285087</v>
      </c>
    </row>
    <row r="997" spans="1:24" x14ac:dyDescent="0.35">
      <c r="A997" s="3">
        <v>46187</v>
      </c>
      <c r="B997" t="s">
        <v>1413</v>
      </c>
      <c r="C997" t="s">
        <v>1435</v>
      </c>
      <c r="D997" t="s">
        <v>34</v>
      </c>
      <c r="E997" t="s">
        <v>19</v>
      </c>
      <c r="F997" t="s">
        <v>20</v>
      </c>
      <c r="G997" t="s">
        <v>41</v>
      </c>
      <c r="H997" t="s">
        <v>48</v>
      </c>
      <c r="I997">
        <v>3871</v>
      </c>
      <c r="J997">
        <v>3049</v>
      </c>
      <c r="K997">
        <v>2856</v>
      </c>
      <c r="L997">
        <v>32</v>
      </c>
      <c r="M997">
        <v>15</v>
      </c>
      <c r="N997">
        <v>1</v>
      </c>
      <c r="O997">
        <v>277.06</v>
      </c>
      <c r="P997">
        <v>1247.55</v>
      </c>
      <c r="Q997" s="5">
        <f t="shared" si="120"/>
        <v>0.93670055755985571</v>
      </c>
      <c r="R997" s="5">
        <f t="shared" si="121"/>
        <v>1.1204481792717087E-2</v>
      </c>
      <c r="S997" s="5">
        <f t="shared" si="122"/>
        <v>0.46875</v>
      </c>
      <c r="T997" s="5">
        <f t="shared" si="123"/>
        <v>6.6666666666666666E-2</v>
      </c>
      <c r="U997" s="5">
        <f t="shared" si="124"/>
        <v>3.5014005602240897E-4</v>
      </c>
      <c r="V997" s="6">
        <f t="shared" si="125"/>
        <v>18.470666666666666</v>
      </c>
      <c r="W997" s="7">
        <f t="shared" si="126"/>
        <v>8.6581250000000001</v>
      </c>
      <c r="X997" s="5">
        <f t="shared" si="127"/>
        <v>3.5028152746697465</v>
      </c>
    </row>
    <row r="998" spans="1:24" x14ac:dyDescent="0.35">
      <c r="A998" s="3">
        <v>46187</v>
      </c>
      <c r="B998" t="s">
        <v>1369</v>
      </c>
      <c r="C998" t="s">
        <v>1436</v>
      </c>
      <c r="D998" t="s">
        <v>31</v>
      </c>
      <c r="E998" t="s">
        <v>25</v>
      </c>
      <c r="F998" t="s">
        <v>20</v>
      </c>
      <c r="G998" t="s">
        <v>36</v>
      </c>
      <c r="H998" t="s">
        <v>48</v>
      </c>
      <c r="I998">
        <v>1465</v>
      </c>
      <c r="J998">
        <v>1216</v>
      </c>
      <c r="K998">
        <v>1163</v>
      </c>
      <c r="L998">
        <v>41</v>
      </c>
      <c r="M998">
        <v>14</v>
      </c>
      <c r="N998">
        <v>0</v>
      </c>
      <c r="O998">
        <v>209.14</v>
      </c>
      <c r="P998">
        <v>0</v>
      </c>
      <c r="Q998" s="5">
        <f t="shared" si="120"/>
        <v>0.95641447368421051</v>
      </c>
      <c r="R998" s="5">
        <f t="shared" si="121"/>
        <v>3.5253654342218402E-2</v>
      </c>
      <c r="S998" s="5">
        <f t="shared" si="122"/>
        <v>0.34146341463414637</v>
      </c>
      <c r="T998" s="5">
        <f t="shared" si="123"/>
        <v>0</v>
      </c>
      <c r="U998" s="5">
        <f t="shared" si="124"/>
        <v>0</v>
      </c>
      <c r="V998" s="6">
        <f t="shared" si="125"/>
        <v>14.938571428571427</v>
      </c>
      <c r="W998" s="7">
        <f t="shared" si="126"/>
        <v>5.1009756097560972</v>
      </c>
      <c r="X998" s="5">
        <f t="shared" si="127"/>
        <v>-1</v>
      </c>
    </row>
    <row r="999" spans="1:24" x14ac:dyDescent="0.35">
      <c r="A999" s="3">
        <v>46187</v>
      </c>
      <c r="B999" t="s">
        <v>1387</v>
      </c>
      <c r="C999" t="s">
        <v>1437</v>
      </c>
      <c r="D999" t="s">
        <v>18</v>
      </c>
      <c r="E999" t="s">
        <v>25</v>
      </c>
      <c r="F999" t="s">
        <v>26</v>
      </c>
      <c r="G999" t="s">
        <v>21</v>
      </c>
      <c r="H999" t="s">
        <v>51</v>
      </c>
      <c r="I999">
        <v>3598</v>
      </c>
      <c r="J999">
        <v>2952</v>
      </c>
      <c r="K999">
        <v>2720</v>
      </c>
      <c r="L999">
        <v>181</v>
      </c>
      <c r="M999">
        <v>113</v>
      </c>
      <c r="N999">
        <v>4</v>
      </c>
      <c r="O999">
        <v>359.11</v>
      </c>
      <c r="P999">
        <v>4257.41</v>
      </c>
      <c r="Q999" s="5">
        <f t="shared" si="120"/>
        <v>0.92140921409214094</v>
      </c>
      <c r="R999" s="5">
        <f t="shared" si="121"/>
        <v>6.6544117647058823E-2</v>
      </c>
      <c r="S999" s="5">
        <f t="shared" si="122"/>
        <v>0.62430939226519333</v>
      </c>
      <c r="T999" s="5">
        <f t="shared" si="123"/>
        <v>3.5398230088495575E-2</v>
      </c>
      <c r="U999" s="5">
        <f t="shared" si="124"/>
        <v>1.4705882352941176E-3</v>
      </c>
      <c r="V999" s="6">
        <f t="shared" si="125"/>
        <v>3.1779646017699115</v>
      </c>
      <c r="W999" s="7">
        <f t="shared" si="126"/>
        <v>1.9840331491712708</v>
      </c>
      <c r="X999" s="5">
        <f t="shared" si="127"/>
        <v>10.855448191361978</v>
      </c>
    </row>
    <row r="1000" spans="1:24" x14ac:dyDescent="0.35">
      <c r="A1000" s="3">
        <v>46187</v>
      </c>
      <c r="B1000" t="s">
        <v>1304</v>
      </c>
      <c r="C1000" t="s">
        <v>1438</v>
      </c>
      <c r="D1000" t="s">
        <v>34</v>
      </c>
      <c r="E1000" t="s">
        <v>25</v>
      </c>
      <c r="F1000" t="s">
        <v>20</v>
      </c>
      <c r="G1000" t="s">
        <v>21</v>
      </c>
      <c r="H1000" t="s">
        <v>51</v>
      </c>
      <c r="I1000">
        <v>2240</v>
      </c>
      <c r="J1000">
        <v>1646</v>
      </c>
      <c r="K1000">
        <v>1563</v>
      </c>
      <c r="L1000">
        <v>42</v>
      </c>
      <c r="M1000">
        <v>16</v>
      </c>
      <c r="N1000">
        <v>1</v>
      </c>
      <c r="O1000">
        <v>125.26</v>
      </c>
      <c r="P1000">
        <v>943.85</v>
      </c>
      <c r="Q1000" s="5">
        <f t="shared" si="120"/>
        <v>0.94957472660996356</v>
      </c>
      <c r="R1000" s="5">
        <f t="shared" si="121"/>
        <v>2.6871401151631478E-2</v>
      </c>
      <c r="S1000" s="5">
        <f t="shared" si="122"/>
        <v>0.38095238095238093</v>
      </c>
      <c r="T1000" s="5">
        <f t="shared" si="123"/>
        <v>6.25E-2</v>
      </c>
      <c r="U1000" s="5">
        <f t="shared" si="124"/>
        <v>6.3979526551503517E-4</v>
      </c>
      <c r="V1000" s="6">
        <f t="shared" si="125"/>
        <v>7.8287500000000003</v>
      </c>
      <c r="W1000" s="7">
        <f t="shared" si="126"/>
        <v>2.9823809523809524</v>
      </c>
      <c r="X1000" s="5">
        <f t="shared" si="127"/>
        <v>6.5351269359731754</v>
      </c>
    </row>
    <row r="1001" spans="1:24" x14ac:dyDescent="0.35">
      <c r="A1001" s="3">
        <v>46187</v>
      </c>
      <c r="B1001" t="s">
        <v>1319</v>
      </c>
      <c r="C1001" t="s">
        <v>1439</v>
      </c>
      <c r="D1001" t="s">
        <v>31</v>
      </c>
      <c r="E1001" t="s">
        <v>19</v>
      </c>
      <c r="F1001" t="s">
        <v>20</v>
      </c>
      <c r="G1001" t="s">
        <v>59</v>
      </c>
      <c r="H1001" t="s">
        <v>51</v>
      </c>
      <c r="I1001">
        <v>2587</v>
      </c>
      <c r="J1001">
        <v>2082</v>
      </c>
      <c r="K1001">
        <v>2031</v>
      </c>
      <c r="L1001">
        <v>26</v>
      </c>
      <c r="M1001">
        <v>12</v>
      </c>
      <c r="N1001">
        <v>0</v>
      </c>
      <c r="O1001">
        <v>329.24</v>
      </c>
      <c r="P1001">
        <v>0</v>
      </c>
      <c r="Q1001" s="5">
        <f t="shared" si="120"/>
        <v>0.97550432276657062</v>
      </c>
      <c r="R1001" s="5">
        <f t="shared" si="121"/>
        <v>1.2801575578532743E-2</v>
      </c>
      <c r="S1001" s="5">
        <f t="shared" si="122"/>
        <v>0.46153846153846156</v>
      </c>
      <c r="T1001" s="5">
        <f t="shared" si="123"/>
        <v>0</v>
      </c>
      <c r="U1001" s="5">
        <f t="shared" si="124"/>
        <v>0</v>
      </c>
      <c r="V1001" s="6">
        <f t="shared" si="125"/>
        <v>27.436666666666667</v>
      </c>
      <c r="W1001" s="7">
        <f t="shared" si="126"/>
        <v>12.663076923076924</v>
      </c>
      <c r="X1001" s="5">
        <f t="shared" si="127"/>
        <v>-1</v>
      </c>
    </row>
    <row r="1002" spans="1:24" x14ac:dyDescent="0.35">
      <c r="A1002" s="3">
        <v>46187</v>
      </c>
      <c r="B1002" t="s">
        <v>1338</v>
      </c>
      <c r="C1002" t="s">
        <v>1440</v>
      </c>
      <c r="D1002" t="s">
        <v>34</v>
      </c>
      <c r="E1002" t="s">
        <v>25</v>
      </c>
      <c r="F1002" t="s">
        <v>20</v>
      </c>
      <c r="G1002" t="s">
        <v>21</v>
      </c>
      <c r="H1002" t="s">
        <v>48</v>
      </c>
      <c r="I1002">
        <v>1215</v>
      </c>
      <c r="J1002">
        <v>983</v>
      </c>
      <c r="K1002">
        <v>918</v>
      </c>
      <c r="L1002">
        <v>35</v>
      </c>
      <c r="M1002">
        <v>16</v>
      </c>
      <c r="N1002">
        <v>0</v>
      </c>
      <c r="O1002">
        <v>81.67</v>
      </c>
      <c r="P1002">
        <v>0</v>
      </c>
      <c r="Q1002" s="5">
        <f t="shared" si="120"/>
        <v>0.93387589013224825</v>
      </c>
      <c r="R1002" s="5">
        <f t="shared" si="121"/>
        <v>3.8126361655773419E-2</v>
      </c>
      <c r="S1002" s="5">
        <f t="shared" si="122"/>
        <v>0.45714285714285713</v>
      </c>
      <c r="T1002" s="5">
        <f t="shared" si="123"/>
        <v>0</v>
      </c>
      <c r="U1002" s="5">
        <f t="shared" si="124"/>
        <v>0</v>
      </c>
      <c r="V1002" s="6">
        <f t="shared" si="125"/>
        <v>5.1043750000000001</v>
      </c>
      <c r="W1002" s="7">
        <f t="shared" si="126"/>
        <v>2.3334285714285716</v>
      </c>
      <c r="X1002" s="5">
        <f t="shared" si="127"/>
        <v>-1</v>
      </c>
    </row>
    <row r="1003" spans="1:24" x14ac:dyDescent="0.35">
      <c r="A1003" s="3">
        <v>46187</v>
      </c>
      <c r="B1003" t="s">
        <v>1312</v>
      </c>
      <c r="C1003" t="s">
        <v>1441</v>
      </c>
      <c r="D1003" t="s">
        <v>18</v>
      </c>
      <c r="E1003" t="s">
        <v>35</v>
      </c>
      <c r="F1003" t="s">
        <v>20</v>
      </c>
      <c r="G1003" t="s">
        <v>21</v>
      </c>
      <c r="H1003" t="s">
        <v>48</v>
      </c>
      <c r="I1003">
        <v>4894</v>
      </c>
      <c r="J1003">
        <v>4657</v>
      </c>
      <c r="K1003">
        <v>4316</v>
      </c>
      <c r="L1003">
        <v>325</v>
      </c>
      <c r="M1003">
        <v>151</v>
      </c>
      <c r="N1003">
        <v>12</v>
      </c>
      <c r="O1003">
        <v>606.82000000000005</v>
      </c>
      <c r="P1003">
        <v>9200.7000000000007</v>
      </c>
      <c r="Q1003" s="5">
        <f t="shared" si="120"/>
        <v>0.92677689499677907</v>
      </c>
      <c r="R1003" s="5">
        <f t="shared" si="121"/>
        <v>7.5301204819277115E-2</v>
      </c>
      <c r="S1003" s="5">
        <f t="shared" si="122"/>
        <v>0.4646153846153846</v>
      </c>
      <c r="T1003" s="5">
        <f t="shared" si="123"/>
        <v>7.9470198675496692E-2</v>
      </c>
      <c r="U1003" s="5">
        <f t="shared" si="124"/>
        <v>2.7803521779425394E-3</v>
      </c>
      <c r="V1003" s="6">
        <f t="shared" si="125"/>
        <v>4.0186754966887417</v>
      </c>
      <c r="W1003" s="7">
        <f t="shared" si="126"/>
        <v>1.8671384615384616</v>
      </c>
      <c r="X1003" s="5">
        <f t="shared" si="127"/>
        <v>14.162156817507663</v>
      </c>
    </row>
    <row r="1004" spans="1:24" x14ac:dyDescent="0.35">
      <c r="A1004" s="3">
        <v>46187</v>
      </c>
      <c r="B1004" t="s">
        <v>1324</v>
      </c>
      <c r="C1004" t="s">
        <v>1442</v>
      </c>
      <c r="D1004" t="s">
        <v>34</v>
      </c>
      <c r="E1004" t="s">
        <v>56</v>
      </c>
      <c r="F1004" t="s">
        <v>26</v>
      </c>
      <c r="G1004" t="s">
        <v>41</v>
      </c>
      <c r="H1004" t="s">
        <v>22</v>
      </c>
      <c r="I1004">
        <v>1519</v>
      </c>
      <c r="J1004">
        <v>1364</v>
      </c>
      <c r="K1004">
        <v>1289</v>
      </c>
      <c r="L1004">
        <v>109</v>
      </c>
      <c r="M1004">
        <v>56</v>
      </c>
      <c r="N1004">
        <v>4</v>
      </c>
      <c r="O1004">
        <v>111.45</v>
      </c>
      <c r="P1004">
        <v>4158.87</v>
      </c>
      <c r="Q1004" s="5">
        <f t="shared" si="120"/>
        <v>0.94501466275659829</v>
      </c>
      <c r="R1004" s="5">
        <f t="shared" si="121"/>
        <v>8.4561675717610557E-2</v>
      </c>
      <c r="S1004" s="5">
        <f t="shared" si="122"/>
        <v>0.51376146788990829</v>
      </c>
      <c r="T1004" s="5">
        <f t="shared" si="123"/>
        <v>7.1428571428571425E-2</v>
      </c>
      <c r="U1004" s="5">
        <f t="shared" si="124"/>
        <v>3.1031807602792862E-3</v>
      </c>
      <c r="V1004" s="6">
        <f t="shared" si="125"/>
        <v>1.9901785714285716</v>
      </c>
      <c r="W1004" s="7">
        <f t="shared" si="126"/>
        <v>1.0224770642201835</v>
      </c>
      <c r="X1004" s="5">
        <f t="shared" si="127"/>
        <v>36.316016150740239</v>
      </c>
    </row>
    <row r="1005" spans="1:24" x14ac:dyDescent="0.35">
      <c r="A1005" s="3">
        <v>46187</v>
      </c>
      <c r="B1005" t="s">
        <v>1326</v>
      </c>
      <c r="C1005" t="s">
        <v>1443</v>
      </c>
      <c r="D1005" t="s">
        <v>18</v>
      </c>
      <c r="E1005" t="s">
        <v>56</v>
      </c>
      <c r="F1005" t="s">
        <v>20</v>
      </c>
      <c r="G1005" t="s">
        <v>21</v>
      </c>
      <c r="H1005" t="s">
        <v>51</v>
      </c>
      <c r="I1005">
        <v>1131</v>
      </c>
      <c r="J1005">
        <v>1122</v>
      </c>
      <c r="K1005">
        <v>1012</v>
      </c>
      <c r="L1005">
        <v>49</v>
      </c>
      <c r="M1005">
        <v>30</v>
      </c>
      <c r="N1005">
        <v>2</v>
      </c>
      <c r="O1005">
        <v>145.25</v>
      </c>
      <c r="P1005">
        <v>1919.28</v>
      </c>
      <c r="Q1005" s="5">
        <f t="shared" si="120"/>
        <v>0.90196078431372551</v>
      </c>
      <c r="R1005" s="5">
        <f t="shared" si="121"/>
        <v>4.8418972332015808E-2</v>
      </c>
      <c r="S1005" s="5">
        <f t="shared" si="122"/>
        <v>0.61224489795918369</v>
      </c>
      <c r="T1005" s="5">
        <f t="shared" si="123"/>
        <v>6.6666666666666666E-2</v>
      </c>
      <c r="U1005" s="5">
        <f t="shared" si="124"/>
        <v>1.976284584980237E-3</v>
      </c>
      <c r="V1005" s="6">
        <f t="shared" si="125"/>
        <v>4.8416666666666668</v>
      </c>
      <c r="W1005" s="7">
        <f t="shared" si="126"/>
        <v>2.9642857142857144</v>
      </c>
      <c r="X1005" s="5">
        <f t="shared" si="127"/>
        <v>12.213631669535284</v>
      </c>
    </row>
    <row r="1006" spans="1:24" x14ac:dyDescent="0.35">
      <c r="A1006" s="3">
        <v>46188</v>
      </c>
      <c r="B1006" t="s">
        <v>1444</v>
      </c>
      <c r="C1006" t="s">
        <v>1445</v>
      </c>
      <c r="D1006" t="s">
        <v>18</v>
      </c>
      <c r="E1006" t="s">
        <v>56</v>
      </c>
      <c r="F1006" t="s">
        <v>20</v>
      </c>
      <c r="G1006" t="s">
        <v>27</v>
      </c>
      <c r="H1006" t="s">
        <v>28</v>
      </c>
      <c r="I1006">
        <v>3302</v>
      </c>
      <c r="J1006">
        <v>3103</v>
      </c>
      <c r="K1006">
        <v>2848</v>
      </c>
      <c r="L1006">
        <v>136</v>
      </c>
      <c r="M1006">
        <v>71</v>
      </c>
      <c r="N1006">
        <v>4</v>
      </c>
      <c r="O1006">
        <v>417.53</v>
      </c>
      <c r="P1006">
        <v>5171.63</v>
      </c>
      <c r="Q1006" s="5">
        <f t="shared" si="120"/>
        <v>0.91782146310022561</v>
      </c>
      <c r="R1006" s="5">
        <f t="shared" si="121"/>
        <v>4.7752808988764044E-2</v>
      </c>
      <c r="S1006" s="5">
        <f t="shared" si="122"/>
        <v>0.5220588235294118</v>
      </c>
      <c r="T1006" s="5">
        <f t="shared" si="123"/>
        <v>5.6338028169014086E-2</v>
      </c>
      <c r="U1006" s="5">
        <f t="shared" si="124"/>
        <v>1.4044943820224719E-3</v>
      </c>
      <c r="V1006" s="6">
        <f t="shared" si="125"/>
        <v>5.8807042253521127</v>
      </c>
      <c r="W1006" s="7">
        <f t="shared" si="126"/>
        <v>3.0700735294117645</v>
      </c>
      <c r="X1006" s="5">
        <f t="shared" si="127"/>
        <v>11.386247694776426</v>
      </c>
    </row>
    <row r="1007" spans="1:24" x14ac:dyDescent="0.35">
      <c r="A1007" s="3">
        <v>46188</v>
      </c>
      <c r="B1007" t="s">
        <v>1446</v>
      </c>
      <c r="C1007" t="s">
        <v>1447</v>
      </c>
      <c r="D1007" t="s">
        <v>31</v>
      </c>
      <c r="E1007" t="s">
        <v>19</v>
      </c>
      <c r="F1007" t="s">
        <v>20</v>
      </c>
      <c r="G1007" t="s">
        <v>27</v>
      </c>
      <c r="H1007" t="s">
        <v>37</v>
      </c>
      <c r="I1007">
        <v>4088</v>
      </c>
      <c r="J1007">
        <v>3147</v>
      </c>
      <c r="K1007">
        <v>2999</v>
      </c>
      <c r="L1007">
        <v>9</v>
      </c>
      <c r="M1007">
        <v>3</v>
      </c>
      <c r="N1007">
        <v>0</v>
      </c>
      <c r="O1007">
        <v>508.25</v>
      </c>
      <c r="P1007">
        <v>0</v>
      </c>
      <c r="Q1007" s="5">
        <f t="shared" si="120"/>
        <v>0.9529710835716555</v>
      </c>
      <c r="R1007" s="5">
        <f t="shared" si="121"/>
        <v>3.0010003334444814E-3</v>
      </c>
      <c r="S1007" s="5">
        <f t="shared" si="122"/>
        <v>0.33333333333333331</v>
      </c>
      <c r="T1007" s="5">
        <f t="shared" si="123"/>
        <v>0</v>
      </c>
      <c r="U1007" s="5">
        <f t="shared" si="124"/>
        <v>0</v>
      </c>
      <c r="V1007" s="6">
        <f t="shared" si="125"/>
        <v>169.41666666666666</v>
      </c>
      <c r="W1007" s="7">
        <f t="shared" si="126"/>
        <v>56.472222222222221</v>
      </c>
      <c r="X1007" s="5">
        <f t="shared" si="127"/>
        <v>-1</v>
      </c>
    </row>
    <row r="1008" spans="1:24" x14ac:dyDescent="0.35">
      <c r="A1008" s="3">
        <v>46188</v>
      </c>
      <c r="B1008" t="s">
        <v>1351</v>
      </c>
      <c r="C1008" t="s">
        <v>1448</v>
      </c>
      <c r="D1008" t="s">
        <v>34</v>
      </c>
      <c r="E1008" t="s">
        <v>56</v>
      </c>
      <c r="F1008" t="s">
        <v>20</v>
      </c>
      <c r="G1008" t="s">
        <v>36</v>
      </c>
      <c r="H1008" t="s">
        <v>28</v>
      </c>
      <c r="I1008">
        <v>1361</v>
      </c>
      <c r="J1008">
        <v>1030</v>
      </c>
      <c r="K1008">
        <v>991</v>
      </c>
      <c r="L1008">
        <v>40</v>
      </c>
      <c r="M1008">
        <v>18</v>
      </c>
      <c r="N1008">
        <v>1</v>
      </c>
      <c r="O1008">
        <v>87.05</v>
      </c>
      <c r="P1008">
        <v>810.49</v>
      </c>
      <c r="Q1008" s="5">
        <f t="shared" si="120"/>
        <v>0.96213592233009704</v>
      </c>
      <c r="R1008" s="5">
        <f t="shared" si="121"/>
        <v>4.0363269424823413E-2</v>
      </c>
      <c r="S1008" s="5">
        <f t="shared" si="122"/>
        <v>0.45</v>
      </c>
      <c r="T1008" s="5">
        <f t="shared" si="123"/>
        <v>5.5555555555555552E-2</v>
      </c>
      <c r="U1008" s="5">
        <f t="shared" si="124"/>
        <v>1.0090817356205853E-3</v>
      </c>
      <c r="V1008" s="6">
        <f t="shared" si="125"/>
        <v>4.8361111111111112</v>
      </c>
      <c r="W1008" s="7">
        <f t="shared" si="126"/>
        <v>2.17625</v>
      </c>
      <c r="X1008" s="5">
        <f t="shared" si="127"/>
        <v>8.310626076967262</v>
      </c>
    </row>
    <row r="1009" spans="1:24" x14ac:dyDescent="0.35">
      <c r="A1009" s="3">
        <v>46188</v>
      </c>
      <c r="B1009" t="s">
        <v>1449</v>
      </c>
      <c r="C1009" t="s">
        <v>1450</v>
      </c>
      <c r="D1009" t="s">
        <v>18</v>
      </c>
      <c r="E1009" t="s">
        <v>56</v>
      </c>
      <c r="F1009" t="s">
        <v>20</v>
      </c>
      <c r="G1009" t="s">
        <v>36</v>
      </c>
      <c r="H1009" t="s">
        <v>48</v>
      </c>
      <c r="I1009">
        <v>2721</v>
      </c>
      <c r="J1009">
        <v>2326</v>
      </c>
      <c r="K1009">
        <v>2115</v>
      </c>
      <c r="L1009">
        <v>111</v>
      </c>
      <c r="M1009">
        <v>64</v>
      </c>
      <c r="N1009">
        <v>3</v>
      </c>
      <c r="O1009">
        <v>271.93</v>
      </c>
      <c r="P1009">
        <v>4308.12</v>
      </c>
      <c r="Q1009" s="5">
        <f t="shared" si="120"/>
        <v>0.90928632846087709</v>
      </c>
      <c r="R1009" s="5">
        <f t="shared" si="121"/>
        <v>5.2482269503546099E-2</v>
      </c>
      <c r="S1009" s="5">
        <f t="shared" si="122"/>
        <v>0.57657657657657657</v>
      </c>
      <c r="T1009" s="5">
        <f t="shared" si="123"/>
        <v>4.6875E-2</v>
      </c>
      <c r="U1009" s="5">
        <f t="shared" si="124"/>
        <v>1.4184397163120568E-3</v>
      </c>
      <c r="V1009" s="6">
        <f t="shared" si="125"/>
        <v>4.2489062500000001</v>
      </c>
      <c r="W1009" s="7">
        <f t="shared" si="126"/>
        <v>2.4498198198198198</v>
      </c>
      <c r="X1009" s="5">
        <f t="shared" si="127"/>
        <v>14.842753649836355</v>
      </c>
    </row>
    <row r="1010" spans="1:24" x14ac:dyDescent="0.35">
      <c r="A1010" s="3">
        <v>46188</v>
      </c>
      <c r="B1010" t="s">
        <v>1451</v>
      </c>
      <c r="C1010" t="s">
        <v>1452</v>
      </c>
      <c r="D1010" t="s">
        <v>34</v>
      </c>
      <c r="E1010" t="s">
        <v>19</v>
      </c>
      <c r="F1010" t="s">
        <v>20</v>
      </c>
      <c r="G1010" t="s">
        <v>27</v>
      </c>
      <c r="H1010" t="s">
        <v>28</v>
      </c>
      <c r="I1010">
        <v>3135</v>
      </c>
      <c r="J1010">
        <v>3134</v>
      </c>
      <c r="K1010">
        <v>2933</v>
      </c>
      <c r="L1010">
        <v>43</v>
      </c>
      <c r="M1010">
        <v>19</v>
      </c>
      <c r="N1010">
        <v>1</v>
      </c>
      <c r="O1010">
        <v>259.11</v>
      </c>
      <c r="P1010">
        <v>1041.52</v>
      </c>
      <c r="Q1010" s="5">
        <f t="shared" si="120"/>
        <v>0.93586470963624757</v>
      </c>
      <c r="R1010" s="5">
        <f t="shared" si="121"/>
        <v>1.4660756904193658E-2</v>
      </c>
      <c r="S1010" s="5">
        <f t="shared" si="122"/>
        <v>0.44186046511627908</v>
      </c>
      <c r="T1010" s="5">
        <f t="shared" si="123"/>
        <v>5.2631578947368418E-2</v>
      </c>
      <c r="U1010" s="5">
        <f t="shared" si="124"/>
        <v>3.4094783498124785E-4</v>
      </c>
      <c r="V1010" s="6">
        <f t="shared" si="125"/>
        <v>13.637368421052633</v>
      </c>
      <c r="W1010" s="7">
        <f t="shared" si="126"/>
        <v>6.0258139534883721</v>
      </c>
      <c r="X1010" s="5">
        <f t="shared" si="127"/>
        <v>3.0196055729226967</v>
      </c>
    </row>
    <row r="1011" spans="1:24" x14ac:dyDescent="0.35">
      <c r="A1011" s="3">
        <v>46188</v>
      </c>
      <c r="B1011" t="s">
        <v>1453</v>
      </c>
      <c r="C1011" t="s">
        <v>1454</v>
      </c>
      <c r="D1011" t="s">
        <v>34</v>
      </c>
      <c r="E1011" t="s">
        <v>25</v>
      </c>
      <c r="F1011" t="s">
        <v>26</v>
      </c>
      <c r="G1011" t="s">
        <v>41</v>
      </c>
      <c r="H1011" t="s">
        <v>37</v>
      </c>
      <c r="I1011">
        <v>2880</v>
      </c>
      <c r="J1011">
        <v>2229</v>
      </c>
      <c r="K1011">
        <v>2128</v>
      </c>
      <c r="L1011">
        <v>116</v>
      </c>
      <c r="M1011">
        <v>63</v>
      </c>
      <c r="N1011">
        <v>4</v>
      </c>
      <c r="O1011">
        <v>199.45</v>
      </c>
      <c r="P1011">
        <v>6189.4</v>
      </c>
      <c r="Q1011" s="5">
        <f t="shared" si="120"/>
        <v>0.9546882009869897</v>
      </c>
      <c r="R1011" s="5">
        <f t="shared" si="121"/>
        <v>5.4511278195488719E-2</v>
      </c>
      <c r="S1011" s="5">
        <f t="shared" si="122"/>
        <v>0.5431034482758621</v>
      </c>
      <c r="T1011" s="5">
        <f t="shared" si="123"/>
        <v>6.3492063492063489E-2</v>
      </c>
      <c r="U1011" s="5">
        <f t="shared" si="124"/>
        <v>1.8796992481203006E-3</v>
      </c>
      <c r="V1011" s="6">
        <f t="shared" si="125"/>
        <v>3.1658730158730157</v>
      </c>
      <c r="W1011" s="7">
        <f t="shared" si="126"/>
        <v>1.7193965517241379</v>
      </c>
      <c r="X1011" s="5">
        <f t="shared" si="127"/>
        <v>30.032338932063176</v>
      </c>
    </row>
    <row r="1012" spans="1:24" x14ac:dyDescent="0.35">
      <c r="A1012" s="3">
        <v>46188</v>
      </c>
      <c r="B1012" t="s">
        <v>1363</v>
      </c>
      <c r="C1012" t="s">
        <v>1455</v>
      </c>
      <c r="D1012" t="s">
        <v>40</v>
      </c>
      <c r="E1012" t="s">
        <v>35</v>
      </c>
      <c r="F1012" t="s">
        <v>20</v>
      </c>
      <c r="G1012" t="s">
        <v>36</v>
      </c>
      <c r="H1012" t="s">
        <v>28</v>
      </c>
      <c r="I1012">
        <v>1316</v>
      </c>
      <c r="J1012">
        <v>1266</v>
      </c>
      <c r="K1012">
        <v>1162</v>
      </c>
      <c r="L1012">
        <v>80</v>
      </c>
      <c r="M1012">
        <v>29</v>
      </c>
      <c r="N1012">
        <v>1</v>
      </c>
      <c r="O1012">
        <v>199.68</v>
      </c>
      <c r="P1012">
        <v>1250.71</v>
      </c>
      <c r="Q1012" s="5">
        <f t="shared" si="120"/>
        <v>0.91785150078988942</v>
      </c>
      <c r="R1012" s="5">
        <f t="shared" si="121"/>
        <v>6.8846815834767636E-2</v>
      </c>
      <c r="S1012" s="5">
        <f t="shared" si="122"/>
        <v>0.36249999999999999</v>
      </c>
      <c r="T1012" s="5">
        <f t="shared" si="123"/>
        <v>3.4482758620689655E-2</v>
      </c>
      <c r="U1012" s="5">
        <f t="shared" si="124"/>
        <v>8.6058519793459555E-4</v>
      </c>
      <c r="V1012" s="6">
        <f t="shared" si="125"/>
        <v>6.8855172413793104</v>
      </c>
      <c r="W1012" s="7">
        <f t="shared" si="126"/>
        <v>2.496</v>
      </c>
      <c r="X1012" s="5">
        <f t="shared" si="127"/>
        <v>5.2635717147435894</v>
      </c>
    </row>
    <row r="1013" spans="1:24" x14ac:dyDescent="0.35">
      <c r="A1013" s="3">
        <v>46189</v>
      </c>
      <c r="B1013" t="s">
        <v>1354</v>
      </c>
      <c r="C1013" t="s">
        <v>1456</v>
      </c>
      <c r="D1013" t="s">
        <v>34</v>
      </c>
      <c r="E1013" t="s">
        <v>25</v>
      </c>
      <c r="F1013" t="s">
        <v>26</v>
      </c>
      <c r="G1013" t="s">
        <v>41</v>
      </c>
      <c r="H1013" t="s">
        <v>51</v>
      </c>
      <c r="I1013">
        <v>1914</v>
      </c>
      <c r="J1013">
        <v>1595</v>
      </c>
      <c r="K1013">
        <v>1520</v>
      </c>
      <c r="L1013">
        <v>76</v>
      </c>
      <c r="M1013">
        <v>44</v>
      </c>
      <c r="N1013">
        <v>3</v>
      </c>
      <c r="O1013">
        <v>127.7</v>
      </c>
      <c r="P1013">
        <v>4579.71</v>
      </c>
      <c r="Q1013" s="5">
        <f t="shared" si="120"/>
        <v>0.95297805642633227</v>
      </c>
      <c r="R1013" s="5">
        <f t="shared" si="121"/>
        <v>0.05</v>
      </c>
      <c r="S1013" s="5">
        <f t="shared" si="122"/>
        <v>0.57894736842105265</v>
      </c>
      <c r="T1013" s="5">
        <f t="shared" si="123"/>
        <v>6.8181818181818177E-2</v>
      </c>
      <c r="U1013" s="5">
        <f t="shared" si="124"/>
        <v>1.9736842105263159E-3</v>
      </c>
      <c r="V1013" s="6">
        <f t="shared" si="125"/>
        <v>2.9022727272727273</v>
      </c>
      <c r="W1013" s="7">
        <f t="shared" si="126"/>
        <v>1.6802631578947369</v>
      </c>
      <c r="X1013" s="5">
        <f t="shared" si="127"/>
        <v>34.863038371182462</v>
      </c>
    </row>
    <row r="1014" spans="1:24" x14ac:dyDescent="0.35">
      <c r="A1014" s="3">
        <v>46189</v>
      </c>
      <c r="B1014" t="s">
        <v>1457</v>
      </c>
      <c r="C1014" t="s">
        <v>1458</v>
      </c>
      <c r="D1014" t="s">
        <v>34</v>
      </c>
      <c r="E1014" t="s">
        <v>56</v>
      </c>
      <c r="F1014" t="s">
        <v>26</v>
      </c>
      <c r="G1014" t="s">
        <v>21</v>
      </c>
      <c r="H1014" t="s">
        <v>28</v>
      </c>
      <c r="I1014">
        <v>3895</v>
      </c>
      <c r="J1014">
        <v>3849</v>
      </c>
      <c r="K1014">
        <v>3609</v>
      </c>
      <c r="L1014">
        <v>241</v>
      </c>
      <c r="M1014">
        <v>139</v>
      </c>
      <c r="N1014">
        <v>9</v>
      </c>
      <c r="O1014">
        <v>353.37</v>
      </c>
      <c r="P1014">
        <v>9693.34</v>
      </c>
      <c r="Q1014" s="5">
        <f t="shared" si="120"/>
        <v>0.93764614185502726</v>
      </c>
      <c r="R1014" s="5">
        <f t="shared" si="121"/>
        <v>6.6777500692712669E-2</v>
      </c>
      <c r="S1014" s="5">
        <f t="shared" si="122"/>
        <v>0.57676348547717837</v>
      </c>
      <c r="T1014" s="5">
        <f t="shared" si="123"/>
        <v>6.4748201438848921E-2</v>
      </c>
      <c r="U1014" s="5">
        <f t="shared" si="124"/>
        <v>2.4937655860349127E-3</v>
      </c>
      <c r="V1014" s="6">
        <f t="shared" si="125"/>
        <v>2.5422302158273382</v>
      </c>
      <c r="W1014" s="7">
        <f t="shared" si="126"/>
        <v>1.4662655601659751</v>
      </c>
      <c r="X1014" s="5">
        <f t="shared" si="127"/>
        <v>26.431134504909867</v>
      </c>
    </row>
    <row r="1015" spans="1:24" x14ac:dyDescent="0.35">
      <c r="A1015" s="3">
        <v>46190</v>
      </c>
      <c r="B1015" t="s">
        <v>1413</v>
      </c>
      <c r="C1015" t="s">
        <v>1459</v>
      </c>
      <c r="D1015" t="s">
        <v>40</v>
      </c>
      <c r="E1015" t="s">
        <v>19</v>
      </c>
      <c r="F1015" t="s">
        <v>20</v>
      </c>
      <c r="G1015" t="s">
        <v>59</v>
      </c>
      <c r="H1015" t="s">
        <v>51</v>
      </c>
      <c r="I1015">
        <v>1137</v>
      </c>
      <c r="J1015">
        <v>1125</v>
      </c>
      <c r="K1015">
        <v>1056</v>
      </c>
      <c r="L1015">
        <v>29</v>
      </c>
      <c r="M1015">
        <v>15</v>
      </c>
      <c r="N1015">
        <v>0</v>
      </c>
      <c r="O1015">
        <v>175.4</v>
      </c>
      <c r="P1015">
        <v>0</v>
      </c>
      <c r="Q1015" s="5">
        <f t="shared" si="120"/>
        <v>0.93866666666666665</v>
      </c>
      <c r="R1015" s="5">
        <f t="shared" si="121"/>
        <v>2.7462121212121212E-2</v>
      </c>
      <c r="S1015" s="5">
        <f t="shared" si="122"/>
        <v>0.51724137931034486</v>
      </c>
      <c r="T1015" s="5">
        <f t="shared" si="123"/>
        <v>0</v>
      </c>
      <c r="U1015" s="5">
        <f t="shared" si="124"/>
        <v>0</v>
      </c>
      <c r="V1015" s="6">
        <f t="shared" si="125"/>
        <v>11.693333333333333</v>
      </c>
      <c r="W1015" s="7">
        <f t="shared" si="126"/>
        <v>6.0482758620689658</v>
      </c>
      <c r="X1015" s="5">
        <f t="shared" si="127"/>
        <v>-1</v>
      </c>
    </row>
    <row r="1016" spans="1:24" x14ac:dyDescent="0.35">
      <c r="A1016" s="3">
        <v>46190</v>
      </c>
      <c r="B1016" t="s">
        <v>1460</v>
      </c>
      <c r="C1016" t="s">
        <v>1461</v>
      </c>
      <c r="D1016" t="s">
        <v>18</v>
      </c>
      <c r="E1016" t="s">
        <v>35</v>
      </c>
      <c r="F1016" t="s">
        <v>20</v>
      </c>
      <c r="G1016" t="s">
        <v>21</v>
      </c>
      <c r="H1016" t="s">
        <v>28</v>
      </c>
      <c r="I1016">
        <v>2161</v>
      </c>
      <c r="J1016">
        <v>1704</v>
      </c>
      <c r="K1016">
        <v>1497</v>
      </c>
      <c r="L1016">
        <v>116</v>
      </c>
      <c r="M1016">
        <v>55</v>
      </c>
      <c r="N1016">
        <v>3</v>
      </c>
      <c r="O1016">
        <v>208.72</v>
      </c>
      <c r="P1016">
        <v>4471</v>
      </c>
      <c r="Q1016" s="5">
        <f t="shared" si="120"/>
        <v>0.87852112676056338</v>
      </c>
      <c r="R1016" s="5">
        <f t="shared" si="121"/>
        <v>7.7488309953239812E-2</v>
      </c>
      <c r="S1016" s="5">
        <f t="shared" si="122"/>
        <v>0.47413793103448276</v>
      </c>
      <c r="T1016" s="5">
        <f t="shared" si="123"/>
        <v>5.4545454545454543E-2</v>
      </c>
      <c r="U1016" s="5">
        <f t="shared" si="124"/>
        <v>2.004008016032064E-3</v>
      </c>
      <c r="V1016" s="6">
        <f t="shared" si="125"/>
        <v>3.794909090909091</v>
      </c>
      <c r="W1016" s="7">
        <f t="shared" si="126"/>
        <v>1.7993103448275862</v>
      </c>
      <c r="X1016" s="5">
        <f t="shared" si="127"/>
        <v>20.421042545036411</v>
      </c>
    </row>
    <row r="1017" spans="1:24" x14ac:dyDescent="0.35">
      <c r="A1017" s="3">
        <v>46190</v>
      </c>
      <c r="B1017" t="s">
        <v>1460</v>
      </c>
      <c r="C1017" t="s">
        <v>1462</v>
      </c>
      <c r="D1017" t="s">
        <v>18</v>
      </c>
      <c r="E1017" t="s">
        <v>35</v>
      </c>
      <c r="F1017" t="s">
        <v>26</v>
      </c>
      <c r="G1017" t="s">
        <v>41</v>
      </c>
      <c r="H1017" t="s">
        <v>22</v>
      </c>
      <c r="I1017">
        <v>3577</v>
      </c>
      <c r="J1017">
        <v>2582</v>
      </c>
      <c r="K1017">
        <v>2408</v>
      </c>
      <c r="L1017">
        <v>246</v>
      </c>
      <c r="M1017">
        <v>175</v>
      </c>
      <c r="N1017">
        <v>13</v>
      </c>
      <c r="O1017">
        <v>350.71</v>
      </c>
      <c r="P1017">
        <v>22131.16</v>
      </c>
      <c r="Q1017" s="5">
        <f t="shared" si="120"/>
        <v>0.93261037955073589</v>
      </c>
      <c r="R1017" s="5">
        <f t="shared" si="121"/>
        <v>0.10215946843853821</v>
      </c>
      <c r="S1017" s="5">
        <f t="shared" si="122"/>
        <v>0.71138211382113825</v>
      </c>
      <c r="T1017" s="5">
        <f t="shared" si="123"/>
        <v>7.4285714285714288E-2</v>
      </c>
      <c r="U1017" s="5">
        <f t="shared" si="124"/>
        <v>5.3986710963455148E-3</v>
      </c>
      <c r="V1017" s="6">
        <f t="shared" si="125"/>
        <v>2.0040571428571425</v>
      </c>
      <c r="W1017" s="7">
        <f t="shared" si="126"/>
        <v>1.4256504065040649</v>
      </c>
      <c r="X1017" s="5">
        <f t="shared" si="127"/>
        <v>62.103874996435806</v>
      </c>
    </row>
    <row r="1018" spans="1:24" x14ac:dyDescent="0.35">
      <c r="A1018" s="3">
        <v>46190</v>
      </c>
      <c r="B1018" t="s">
        <v>1380</v>
      </c>
      <c r="C1018" t="s">
        <v>1463</v>
      </c>
      <c r="D1018" t="s">
        <v>34</v>
      </c>
      <c r="E1018" t="s">
        <v>35</v>
      </c>
      <c r="F1018" t="s">
        <v>26</v>
      </c>
      <c r="G1018" t="s">
        <v>36</v>
      </c>
      <c r="H1018" t="s">
        <v>48</v>
      </c>
      <c r="I1018">
        <v>664</v>
      </c>
      <c r="J1018">
        <v>598</v>
      </c>
      <c r="K1018">
        <v>562</v>
      </c>
      <c r="L1018">
        <v>59</v>
      </c>
      <c r="M1018">
        <v>32</v>
      </c>
      <c r="N1018">
        <v>3</v>
      </c>
      <c r="O1018">
        <v>41.71</v>
      </c>
      <c r="P1018">
        <v>3371.49</v>
      </c>
      <c r="Q1018" s="5">
        <f t="shared" si="120"/>
        <v>0.93979933110367897</v>
      </c>
      <c r="R1018" s="5">
        <f t="shared" si="121"/>
        <v>0.10498220640569395</v>
      </c>
      <c r="S1018" s="5">
        <f t="shared" si="122"/>
        <v>0.5423728813559322</v>
      </c>
      <c r="T1018" s="5">
        <f t="shared" si="123"/>
        <v>9.375E-2</v>
      </c>
      <c r="U1018" s="5">
        <f t="shared" si="124"/>
        <v>5.3380782918149468E-3</v>
      </c>
      <c r="V1018" s="6">
        <f t="shared" si="125"/>
        <v>1.3034375</v>
      </c>
      <c r="W1018" s="7">
        <f t="shared" si="126"/>
        <v>0.70694915254237289</v>
      </c>
      <c r="X1018" s="5">
        <f t="shared" si="127"/>
        <v>79.831695037161339</v>
      </c>
    </row>
    <row r="1019" spans="1:24" x14ac:dyDescent="0.35">
      <c r="A1019" s="3">
        <v>46190</v>
      </c>
      <c r="B1019" t="s">
        <v>1464</v>
      </c>
      <c r="C1019" t="s">
        <v>1465</v>
      </c>
      <c r="D1019" t="s">
        <v>31</v>
      </c>
      <c r="E1019" t="s">
        <v>35</v>
      </c>
      <c r="F1019" t="s">
        <v>26</v>
      </c>
      <c r="G1019" t="s">
        <v>36</v>
      </c>
      <c r="H1019" t="s">
        <v>22</v>
      </c>
      <c r="I1019">
        <v>4331</v>
      </c>
      <c r="J1019">
        <v>3821</v>
      </c>
      <c r="K1019">
        <v>3690</v>
      </c>
      <c r="L1019">
        <v>242</v>
      </c>
      <c r="M1019">
        <v>130</v>
      </c>
      <c r="N1019">
        <v>13</v>
      </c>
      <c r="O1019">
        <v>654.25</v>
      </c>
      <c r="P1019">
        <v>11001.38</v>
      </c>
      <c r="Q1019" s="5">
        <f t="shared" si="120"/>
        <v>0.96571578120910762</v>
      </c>
      <c r="R1019" s="5">
        <f t="shared" si="121"/>
        <v>6.558265582655827E-2</v>
      </c>
      <c r="S1019" s="5">
        <f t="shared" si="122"/>
        <v>0.53719008264462809</v>
      </c>
      <c r="T1019" s="5">
        <f t="shared" si="123"/>
        <v>0.1</v>
      </c>
      <c r="U1019" s="5">
        <f t="shared" si="124"/>
        <v>3.5230352303523035E-3</v>
      </c>
      <c r="V1019" s="6">
        <f t="shared" si="125"/>
        <v>5.032692307692308</v>
      </c>
      <c r="W1019" s="7">
        <f t="shared" si="126"/>
        <v>2.7035123966942147</v>
      </c>
      <c r="X1019" s="5">
        <f t="shared" si="127"/>
        <v>15.815254107756973</v>
      </c>
    </row>
    <row r="1020" spans="1:24" x14ac:dyDescent="0.35">
      <c r="A1020" s="3">
        <v>46190</v>
      </c>
      <c r="B1020" t="s">
        <v>1466</v>
      </c>
      <c r="C1020" t="s">
        <v>1467</v>
      </c>
      <c r="D1020" t="s">
        <v>31</v>
      </c>
      <c r="E1020" t="s">
        <v>56</v>
      </c>
      <c r="F1020" t="s">
        <v>20</v>
      </c>
      <c r="G1020" t="s">
        <v>59</v>
      </c>
      <c r="H1020" t="s">
        <v>28</v>
      </c>
      <c r="I1020">
        <v>4166</v>
      </c>
      <c r="J1020">
        <v>3427</v>
      </c>
      <c r="K1020">
        <v>3330</v>
      </c>
      <c r="L1020">
        <v>124</v>
      </c>
      <c r="M1020">
        <v>50</v>
      </c>
      <c r="N1020">
        <v>3</v>
      </c>
      <c r="O1020">
        <v>540.79</v>
      </c>
      <c r="P1020">
        <v>3516.54</v>
      </c>
      <c r="Q1020" s="5">
        <f t="shared" si="120"/>
        <v>0.97169536037350457</v>
      </c>
      <c r="R1020" s="5">
        <f t="shared" si="121"/>
        <v>3.7237237237237236E-2</v>
      </c>
      <c r="S1020" s="5">
        <f t="shared" si="122"/>
        <v>0.40322580645161288</v>
      </c>
      <c r="T1020" s="5">
        <f t="shared" si="123"/>
        <v>0.06</v>
      </c>
      <c r="U1020" s="5">
        <f t="shared" si="124"/>
        <v>9.0090090090090091E-4</v>
      </c>
      <c r="V1020" s="6">
        <f t="shared" si="125"/>
        <v>10.815799999999999</v>
      </c>
      <c r="W1020" s="7">
        <f t="shared" si="126"/>
        <v>4.3612096774193549</v>
      </c>
      <c r="X1020" s="5">
        <f t="shared" si="127"/>
        <v>5.5025980509994641</v>
      </c>
    </row>
    <row r="1021" spans="1:24" x14ac:dyDescent="0.35">
      <c r="A1021" s="3">
        <v>46190</v>
      </c>
      <c r="B1021" t="s">
        <v>1310</v>
      </c>
      <c r="C1021" t="s">
        <v>1468</v>
      </c>
      <c r="D1021" t="s">
        <v>31</v>
      </c>
      <c r="E1021" t="s">
        <v>19</v>
      </c>
      <c r="F1021" t="s">
        <v>20</v>
      </c>
      <c r="G1021" t="s">
        <v>36</v>
      </c>
      <c r="H1021" t="s">
        <v>22</v>
      </c>
      <c r="I1021">
        <v>3346</v>
      </c>
      <c r="J1021">
        <v>3115</v>
      </c>
      <c r="K1021">
        <v>3032</v>
      </c>
      <c r="L1021">
        <v>23</v>
      </c>
      <c r="M1021">
        <v>10</v>
      </c>
      <c r="N1021">
        <v>0</v>
      </c>
      <c r="O1021">
        <v>498.69</v>
      </c>
      <c r="P1021">
        <v>0</v>
      </c>
      <c r="Q1021" s="5">
        <f t="shared" si="120"/>
        <v>0.97335473515248794</v>
      </c>
      <c r="R1021" s="5">
        <f t="shared" si="121"/>
        <v>7.5857519788918209E-3</v>
      </c>
      <c r="S1021" s="5">
        <f t="shared" si="122"/>
        <v>0.43478260869565216</v>
      </c>
      <c r="T1021" s="5">
        <f t="shared" si="123"/>
        <v>0</v>
      </c>
      <c r="U1021" s="5">
        <f t="shared" si="124"/>
        <v>0</v>
      </c>
      <c r="V1021" s="6">
        <f t="shared" si="125"/>
        <v>49.869</v>
      </c>
      <c r="W1021" s="7">
        <f t="shared" si="126"/>
        <v>21.682173913043478</v>
      </c>
      <c r="X1021" s="5">
        <f t="shared" si="127"/>
        <v>-1</v>
      </c>
    </row>
    <row r="1022" spans="1:24" x14ac:dyDescent="0.35">
      <c r="A1022" s="3">
        <v>46190</v>
      </c>
      <c r="B1022" t="s">
        <v>1422</v>
      </c>
      <c r="C1022" t="s">
        <v>1469</v>
      </c>
      <c r="D1022" t="s">
        <v>34</v>
      </c>
      <c r="E1022" t="s">
        <v>19</v>
      </c>
      <c r="F1022" t="s">
        <v>20</v>
      </c>
      <c r="G1022" t="s">
        <v>36</v>
      </c>
      <c r="H1022" t="s">
        <v>37</v>
      </c>
      <c r="I1022">
        <v>2072</v>
      </c>
      <c r="J1022">
        <v>1562</v>
      </c>
      <c r="K1022">
        <v>1484</v>
      </c>
      <c r="L1022">
        <v>4</v>
      </c>
      <c r="M1022">
        <v>2</v>
      </c>
      <c r="N1022">
        <v>0</v>
      </c>
      <c r="O1022">
        <v>148.72999999999999</v>
      </c>
      <c r="P1022">
        <v>0</v>
      </c>
      <c r="Q1022" s="5">
        <f t="shared" si="120"/>
        <v>0.95006402048655569</v>
      </c>
      <c r="R1022" s="5">
        <f t="shared" si="121"/>
        <v>2.6954177897574125E-3</v>
      </c>
      <c r="S1022" s="5">
        <f t="shared" si="122"/>
        <v>0.5</v>
      </c>
      <c r="T1022" s="5">
        <f t="shared" si="123"/>
        <v>0</v>
      </c>
      <c r="U1022" s="5">
        <f t="shared" si="124"/>
        <v>0</v>
      </c>
      <c r="V1022" s="6">
        <f t="shared" si="125"/>
        <v>74.364999999999995</v>
      </c>
      <c r="W1022" s="7">
        <f t="shared" si="126"/>
        <v>37.182499999999997</v>
      </c>
      <c r="X1022" s="5">
        <f t="shared" si="127"/>
        <v>-1</v>
      </c>
    </row>
    <row r="1023" spans="1:24" x14ac:dyDescent="0.35">
      <c r="A1023" s="3">
        <v>46190</v>
      </c>
      <c r="B1023" t="s">
        <v>1417</v>
      </c>
      <c r="C1023" t="s">
        <v>1470</v>
      </c>
      <c r="D1023" t="s">
        <v>18</v>
      </c>
      <c r="E1023" t="s">
        <v>25</v>
      </c>
      <c r="F1023" t="s">
        <v>20</v>
      </c>
      <c r="G1023" t="s">
        <v>27</v>
      </c>
      <c r="H1023" t="s">
        <v>51</v>
      </c>
      <c r="I1023">
        <v>743</v>
      </c>
      <c r="J1023">
        <v>579</v>
      </c>
      <c r="K1023">
        <v>533</v>
      </c>
      <c r="L1023">
        <v>13</v>
      </c>
      <c r="M1023">
        <v>5</v>
      </c>
      <c r="N1023">
        <v>0</v>
      </c>
      <c r="O1023">
        <v>65.87</v>
      </c>
      <c r="P1023">
        <v>0</v>
      </c>
      <c r="Q1023" s="5">
        <f t="shared" si="120"/>
        <v>0.92055267702936094</v>
      </c>
      <c r="R1023" s="5">
        <f t="shared" si="121"/>
        <v>2.4390243902439025E-2</v>
      </c>
      <c r="S1023" s="5">
        <f t="shared" si="122"/>
        <v>0.38461538461538464</v>
      </c>
      <c r="T1023" s="5">
        <f t="shared" si="123"/>
        <v>0</v>
      </c>
      <c r="U1023" s="5">
        <f t="shared" si="124"/>
        <v>0</v>
      </c>
      <c r="V1023" s="6">
        <f t="shared" si="125"/>
        <v>13.174000000000001</v>
      </c>
      <c r="W1023" s="7">
        <f t="shared" si="126"/>
        <v>5.0669230769230769</v>
      </c>
      <c r="X1023" s="5">
        <f t="shared" si="127"/>
        <v>-1</v>
      </c>
    </row>
    <row r="1024" spans="1:24" x14ac:dyDescent="0.35">
      <c r="A1024" s="3">
        <v>46190</v>
      </c>
      <c r="B1024" t="s">
        <v>1471</v>
      </c>
      <c r="C1024" t="s">
        <v>1472</v>
      </c>
      <c r="D1024" t="s">
        <v>18</v>
      </c>
      <c r="E1024" t="s">
        <v>35</v>
      </c>
      <c r="F1024" t="s">
        <v>20</v>
      </c>
      <c r="G1024" t="s">
        <v>27</v>
      </c>
      <c r="H1024" t="s">
        <v>37</v>
      </c>
      <c r="I1024">
        <v>2593</v>
      </c>
      <c r="J1024">
        <v>2234</v>
      </c>
      <c r="K1024">
        <v>2008</v>
      </c>
      <c r="L1024">
        <v>166</v>
      </c>
      <c r="M1024">
        <v>83</v>
      </c>
      <c r="N1024">
        <v>6</v>
      </c>
      <c r="O1024">
        <v>303.57</v>
      </c>
      <c r="P1024">
        <v>6320.52</v>
      </c>
      <c r="Q1024" s="5">
        <f t="shared" si="120"/>
        <v>0.89883616830796775</v>
      </c>
      <c r="R1024" s="5">
        <f t="shared" si="121"/>
        <v>8.2669322709163343E-2</v>
      </c>
      <c r="S1024" s="5">
        <f t="shared" si="122"/>
        <v>0.5</v>
      </c>
      <c r="T1024" s="5">
        <f t="shared" si="123"/>
        <v>7.2289156626506021E-2</v>
      </c>
      <c r="U1024" s="5">
        <f t="shared" si="124"/>
        <v>2.9880478087649402E-3</v>
      </c>
      <c r="V1024" s="6">
        <f t="shared" si="125"/>
        <v>3.657469879518072</v>
      </c>
      <c r="W1024" s="7">
        <f t="shared" si="126"/>
        <v>1.828734939759036</v>
      </c>
      <c r="X1024" s="5">
        <f t="shared" si="127"/>
        <v>19.820634450044473</v>
      </c>
    </row>
    <row r="1025" spans="1:24" x14ac:dyDescent="0.35">
      <c r="A1025" s="3">
        <v>46191</v>
      </c>
      <c r="B1025" t="s">
        <v>1351</v>
      </c>
      <c r="C1025" t="s">
        <v>1473</v>
      </c>
      <c r="D1025" t="s">
        <v>18</v>
      </c>
      <c r="E1025" t="s">
        <v>35</v>
      </c>
      <c r="F1025" t="s">
        <v>20</v>
      </c>
      <c r="G1025" t="s">
        <v>36</v>
      </c>
      <c r="H1025" t="s">
        <v>28</v>
      </c>
      <c r="I1025">
        <v>3876</v>
      </c>
      <c r="J1025">
        <v>3443</v>
      </c>
      <c r="K1025">
        <v>3192</v>
      </c>
      <c r="L1025">
        <v>300</v>
      </c>
      <c r="M1025">
        <v>155</v>
      </c>
      <c r="N1025">
        <v>12</v>
      </c>
      <c r="O1025">
        <v>409.57</v>
      </c>
      <c r="P1025">
        <v>18008.310000000001</v>
      </c>
      <c r="Q1025" s="5">
        <f t="shared" si="120"/>
        <v>0.92709846064478652</v>
      </c>
      <c r="R1025" s="5">
        <f t="shared" si="121"/>
        <v>9.3984962406015032E-2</v>
      </c>
      <c r="S1025" s="5">
        <f t="shared" si="122"/>
        <v>0.51666666666666672</v>
      </c>
      <c r="T1025" s="5">
        <f t="shared" si="123"/>
        <v>7.7419354838709681E-2</v>
      </c>
      <c r="U1025" s="5">
        <f t="shared" si="124"/>
        <v>3.7593984962406013E-3</v>
      </c>
      <c r="V1025" s="6">
        <f t="shared" si="125"/>
        <v>2.6423870967741934</v>
      </c>
      <c r="W1025" s="7">
        <f t="shared" si="126"/>
        <v>1.3652333333333333</v>
      </c>
      <c r="X1025" s="5">
        <f t="shared" si="127"/>
        <v>42.968820958566305</v>
      </c>
    </row>
    <row r="1026" spans="1:24" x14ac:dyDescent="0.35">
      <c r="A1026" s="3">
        <v>46191</v>
      </c>
      <c r="B1026" t="s">
        <v>1474</v>
      </c>
      <c r="C1026" t="s">
        <v>1475</v>
      </c>
      <c r="D1026" t="s">
        <v>40</v>
      </c>
      <c r="E1026" t="s">
        <v>25</v>
      </c>
      <c r="F1026" t="s">
        <v>20</v>
      </c>
      <c r="G1026" t="s">
        <v>27</v>
      </c>
      <c r="H1026" t="s">
        <v>28</v>
      </c>
      <c r="I1026">
        <v>672</v>
      </c>
      <c r="J1026">
        <v>657</v>
      </c>
      <c r="K1026">
        <v>592</v>
      </c>
      <c r="L1026">
        <v>27</v>
      </c>
      <c r="M1026">
        <v>12</v>
      </c>
      <c r="N1026">
        <v>1</v>
      </c>
      <c r="O1026">
        <v>107.69</v>
      </c>
      <c r="P1026">
        <v>681.77</v>
      </c>
      <c r="Q1026" s="5">
        <f t="shared" si="120"/>
        <v>0.90106544901065444</v>
      </c>
      <c r="R1026" s="5">
        <f t="shared" si="121"/>
        <v>4.5608108108108107E-2</v>
      </c>
      <c r="S1026" s="5">
        <f t="shared" si="122"/>
        <v>0.44444444444444442</v>
      </c>
      <c r="T1026" s="5">
        <f t="shared" si="123"/>
        <v>8.3333333333333329E-2</v>
      </c>
      <c r="U1026" s="5">
        <f t="shared" si="124"/>
        <v>1.6891891891891893E-3</v>
      </c>
      <c r="V1026" s="6">
        <f t="shared" si="125"/>
        <v>8.9741666666666671</v>
      </c>
      <c r="W1026" s="7">
        <f t="shared" si="126"/>
        <v>3.9885185185185184</v>
      </c>
      <c r="X1026" s="5">
        <f t="shared" si="127"/>
        <v>5.3308570897947805</v>
      </c>
    </row>
    <row r="1027" spans="1:24" x14ac:dyDescent="0.35">
      <c r="A1027" s="3">
        <v>46191</v>
      </c>
      <c r="B1027" t="s">
        <v>1338</v>
      </c>
      <c r="C1027" t="s">
        <v>1476</v>
      </c>
      <c r="D1027" t="s">
        <v>31</v>
      </c>
      <c r="E1027" t="s">
        <v>35</v>
      </c>
      <c r="F1027" t="s">
        <v>26</v>
      </c>
      <c r="G1027" t="s">
        <v>21</v>
      </c>
      <c r="H1027" t="s">
        <v>28</v>
      </c>
      <c r="I1027">
        <v>1076</v>
      </c>
      <c r="J1027">
        <v>923</v>
      </c>
      <c r="K1027">
        <v>870</v>
      </c>
      <c r="L1027">
        <v>58</v>
      </c>
      <c r="M1027">
        <v>27</v>
      </c>
      <c r="N1027">
        <v>3</v>
      </c>
      <c r="O1027">
        <v>167.62</v>
      </c>
      <c r="P1027">
        <v>3603.4</v>
      </c>
      <c r="Q1027" s="5">
        <f t="shared" ref="Q1027:Q1090" si="128">K1027/J1027</f>
        <v>0.94257854821235099</v>
      </c>
      <c r="R1027" s="5">
        <f t="shared" ref="R1027:R1090" si="129">L1027/K1027</f>
        <v>6.6666666666666666E-2</v>
      </c>
      <c r="S1027" s="5">
        <f t="shared" ref="S1027:S1090" si="130">M1027/L1027</f>
        <v>0.46551724137931033</v>
      </c>
      <c r="T1027" s="5">
        <f t="shared" ref="T1027:T1090" si="131">N1027/M1027</f>
        <v>0.1111111111111111</v>
      </c>
      <c r="U1027" s="5">
        <f t="shared" ref="U1027:U1090" si="132">N1027/K1027</f>
        <v>3.4482758620689655E-3</v>
      </c>
      <c r="V1027" s="6">
        <f t="shared" ref="V1027:V1090" si="133">O1027/M1027</f>
        <v>6.2081481481481484</v>
      </c>
      <c r="W1027" s="7">
        <f t="shared" ref="W1027:W1090" si="134">O1027/L1027</f>
        <v>2.89</v>
      </c>
      <c r="X1027" s="5">
        <f t="shared" ref="X1027:X1090" si="135">(P1027-O1027)/O1027</f>
        <v>20.497434673666628</v>
      </c>
    </row>
    <row r="1028" spans="1:24" x14ac:dyDescent="0.35">
      <c r="A1028" s="3">
        <v>46191</v>
      </c>
      <c r="B1028" t="s">
        <v>1314</v>
      </c>
      <c r="C1028" t="s">
        <v>1477</v>
      </c>
      <c r="D1028" t="s">
        <v>34</v>
      </c>
      <c r="E1028" t="s">
        <v>56</v>
      </c>
      <c r="F1028" t="s">
        <v>20</v>
      </c>
      <c r="G1028" t="s">
        <v>21</v>
      </c>
      <c r="H1028" t="s">
        <v>37</v>
      </c>
      <c r="I1028">
        <v>2849</v>
      </c>
      <c r="J1028">
        <v>2194</v>
      </c>
      <c r="K1028">
        <v>2056</v>
      </c>
      <c r="L1028">
        <v>101</v>
      </c>
      <c r="M1028">
        <v>43</v>
      </c>
      <c r="N1028">
        <v>2</v>
      </c>
      <c r="O1028">
        <v>154.19999999999999</v>
      </c>
      <c r="P1028">
        <v>2070.54</v>
      </c>
      <c r="Q1028" s="5">
        <f t="shared" si="128"/>
        <v>0.93710118505013673</v>
      </c>
      <c r="R1028" s="5">
        <f t="shared" si="129"/>
        <v>4.9124513618677042E-2</v>
      </c>
      <c r="S1028" s="5">
        <f t="shared" si="130"/>
        <v>0.42574257425742573</v>
      </c>
      <c r="T1028" s="5">
        <f t="shared" si="131"/>
        <v>4.6511627906976744E-2</v>
      </c>
      <c r="U1028" s="5">
        <f t="shared" si="132"/>
        <v>9.727626459143969E-4</v>
      </c>
      <c r="V1028" s="6">
        <f t="shared" si="133"/>
        <v>3.5860465116279068</v>
      </c>
      <c r="W1028" s="7">
        <f t="shared" si="134"/>
        <v>1.5267326732673265</v>
      </c>
      <c r="X1028" s="5">
        <f t="shared" si="135"/>
        <v>12.427626459143969</v>
      </c>
    </row>
    <row r="1029" spans="1:24" x14ac:dyDescent="0.35">
      <c r="A1029" s="3">
        <v>46191</v>
      </c>
      <c r="B1029" t="s">
        <v>1376</v>
      </c>
      <c r="C1029" t="s">
        <v>1478</v>
      </c>
      <c r="D1029" t="s">
        <v>31</v>
      </c>
      <c r="E1029" t="s">
        <v>25</v>
      </c>
      <c r="F1029" t="s">
        <v>20</v>
      </c>
      <c r="G1029" t="s">
        <v>21</v>
      </c>
      <c r="H1029" t="s">
        <v>37</v>
      </c>
      <c r="I1029">
        <v>1331</v>
      </c>
      <c r="J1029">
        <v>1167</v>
      </c>
      <c r="K1029">
        <v>1116</v>
      </c>
      <c r="L1029">
        <v>16</v>
      </c>
      <c r="M1029">
        <v>5</v>
      </c>
      <c r="N1029">
        <v>0</v>
      </c>
      <c r="O1029">
        <v>235.97</v>
      </c>
      <c r="P1029">
        <v>0</v>
      </c>
      <c r="Q1029" s="5">
        <f t="shared" si="128"/>
        <v>0.95629820051413883</v>
      </c>
      <c r="R1029" s="5">
        <f t="shared" si="129"/>
        <v>1.4336917562724014E-2</v>
      </c>
      <c r="S1029" s="5">
        <f t="shared" si="130"/>
        <v>0.3125</v>
      </c>
      <c r="T1029" s="5">
        <f t="shared" si="131"/>
        <v>0</v>
      </c>
      <c r="U1029" s="5">
        <f t="shared" si="132"/>
        <v>0</v>
      </c>
      <c r="V1029" s="6">
        <f t="shared" si="133"/>
        <v>47.194000000000003</v>
      </c>
      <c r="W1029" s="7">
        <f t="shared" si="134"/>
        <v>14.748125</v>
      </c>
      <c r="X1029" s="5">
        <f t="shared" si="135"/>
        <v>-1</v>
      </c>
    </row>
    <row r="1030" spans="1:24" x14ac:dyDescent="0.35">
      <c r="A1030" s="3">
        <v>46191</v>
      </c>
      <c r="B1030" t="s">
        <v>1402</v>
      </c>
      <c r="C1030" t="s">
        <v>1479</v>
      </c>
      <c r="D1030" t="s">
        <v>31</v>
      </c>
      <c r="E1030" t="s">
        <v>56</v>
      </c>
      <c r="F1030" t="s">
        <v>20</v>
      </c>
      <c r="G1030" t="s">
        <v>27</v>
      </c>
      <c r="H1030" t="s">
        <v>51</v>
      </c>
      <c r="I1030">
        <v>3988</v>
      </c>
      <c r="J1030">
        <v>3927</v>
      </c>
      <c r="K1030">
        <v>3796</v>
      </c>
      <c r="L1030">
        <v>163</v>
      </c>
      <c r="M1030">
        <v>44</v>
      </c>
      <c r="N1030">
        <v>2</v>
      </c>
      <c r="O1030">
        <v>761.88</v>
      </c>
      <c r="P1030">
        <v>2172.69</v>
      </c>
      <c r="Q1030" s="5">
        <f t="shared" si="128"/>
        <v>0.96664120193531955</v>
      </c>
      <c r="R1030" s="5">
        <f t="shared" si="129"/>
        <v>4.2939936775553217E-2</v>
      </c>
      <c r="S1030" s="5">
        <f t="shared" si="130"/>
        <v>0.26993865030674846</v>
      </c>
      <c r="T1030" s="5">
        <f t="shared" si="131"/>
        <v>4.5454545454545456E-2</v>
      </c>
      <c r="U1030" s="5">
        <f t="shared" si="132"/>
        <v>5.2687038988408848E-4</v>
      </c>
      <c r="V1030" s="6">
        <f t="shared" si="133"/>
        <v>17.315454545454546</v>
      </c>
      <c r="W1030" s="7">
        <f t="shared" si="134"/>
        <v>4.674110429447853</v>
      </c>
      <c r="X1030" s="5">
        <f t="shared" si="135"/>
        <v>1.8517483068199716</v>
      </c>
    </row>
    <row r="1031" spans="1:24" x14ac:dyDescent="0.35">
      <c r="A1031" s="3">
        <v>46191</v>
      </c>
      <c r="B1031" t="s">
        <v>1433</v>
      </c>
      <c r="C1031" t="s">
        <v>1480</v>
      </c>
      <c r="D1031" t="s">
        <v>18</v>
      </c>
      <c r="E1031" t="s">
        <v>56</v>
      </c>
      <c r="F1031" t="s">
        <v>26</v>
      </c>
      <c r="G1031" t="s">
        <v>59</v>
      </c>
      <c r="H1031" t="s">
        <v>22</v>
      </c>
      <c r="I1031">
        <v>1058</v>
      </c>
      <c r="J1031">
        <v>1015</v>
      </c>
      <c r="K1031">
        <v>922</v>
      </c>
      <c r="L1031">
        <v>80</v>
      </c>
      <c r="M1031">
        <v>51</v>
      </c>
      <c r="N1031">
        <v>3</v>
      </c>
      <c r="O1031">
        <v>137.78</v>
      </c>
      <c r="P1031">
        <v>4443.3999999999996</v>
      </c>
      <c r="Q1031" s="5">
        <f t="shared" si="128"/>
        <v>0.90837438423645323</v>
      </c>
      <c r="R1031" s="5">
        <f t="shared" si="129"/>
        <v>8.6767895878524945E-2</v>
      </c>
      <c r="S1031" s="5">
        <f t="shared" si="130"/>
        <v>0.63749999999999996</v>
      </c>
      <c r="T1031" s="5">
        <f t="shared" si="131"/>
        <v>5.8823529411764705E-2</v>
      </c>
      <c r="U1031" s="5">
        <f t="shared" si="132"/>
        <v>3.2537960954446853E-3</v>
      </c>
      <c r="V1031" s="6">
        <f t="shared" si="133"/>
        <v>2.7015686274509805</v>
      </c>
      <c r="W1031" s="7">
        <f t="shared" si="134"/>
        <v>1.7222500000000001</v>
      </c>
      <c r="X1031" s="5">
        <f t="shared" si="135"/>
        <v>31.249963710262737</v>
      </c>
    </row>
    <row r="1032" spans="1:24" x14ac:dyDescent="0.35">
      <c r="A1032" s="3">
        <v>46192</v>
      </c>
      <c r="B1032" t="s">
        <v>1336</v>
      </c>
      <c r="C1032" t="s">
        <v>1481</v>
      </c>
      <c r="D1032" t="s">
        <v>34</v>
      </c>
      <c r="E1032" t="s">
        <v>56</v>
      </c>
      <c r="F1032" t="s">
        <v>20</v>
      </c>
      <c r="G1032" t="s">
        <v>41</v>
      </c>
      <c r="H1032" t="s">
        <v>48</v>
      </c>
      <c r="I1032">
        <v>3094</v>
      </c>
      <c r="J1032">
        <v>2278</v>
      </c>
      <c r="K1032">
        <v>2064</v>
      </c>
      <c r="L1032">
        <v>113</v>
      </c>
      <c r="M1032">
        <v>52</v>
      </c>
      <c r="N1032">
        <v>4</v>
      </c>
      <c r="O1032">
        <v>155.74</v>
      </c>
      <c r="P1032">
        <v>4955.96</v>
      </c>
      <c r="Q1032" s="5">
        <f t="shared" si="128"/>
        <v>0.90605794556628627</v>
      </c>
      <c r="R1032" s="5">
        <f t="shared" si="129"/>
        <v>5.4748062015503876E-2</v>
      </c>
      <c r="S1032" s="5">
        <f t="shared" si="130"/>
        <v>0.46017699115044247</v>
      </c>
      <c r="T1032" s="5">
        <f t="shared" si="131"/>
        <v>7.6923076923076927E-2</v>
      </c>
      <c r="U1032" s="5">
        <f t="shared" si="132"/>
        <v>1.937984496124031E-3</v>
      </c>
      <c r="V1032" s="6">
        <f t="shared" si="133"/>
        <v>2.9950000000000001</v>
      </c>
      <c r="W1032" s="7">
        <f t="shared" si="134"/>
        <v>1.3782300884955754</v>
      </c>
      <c r="X1032" s="5">
        <f t="shared" si="135"/>
        <v>30.822011044047773</v>
      </c>
    </row>
    <row r="1033" spans="1:24" x14ac:dyDescent="0.35">
      <c r="A1033" s="3">
        <v>46192</v>
      </c>
      <c r="B1033" t="s">
        <v>1482</v>
      </c>
      <c r="C1033" t="s">
        <v>1483</v>
      </c>
      <c r="D1033" t="s">
        <v>31</v>
      </c>
      <c r="E1033" t="s">
        <v>19</v>
      </c>
      <c r="F1033" t="s">
        <v>26</v>
      </c>
      <c r="G1033" t="s">
        <v>59</v>
      </c>
      <c r="H1033" t="s">
        <v>37</v>
      </c>
      <c r="I1033">
        <v>3572</v>
      </c>
      <c r="J1033">
        <v>3131</v>
      </c>
      <c r="K1033">
        <v>3100</v>
      </c>
      <c r="L1033">
        <v>64</v>
      </c>
      <c r="M1033">
        <v>30</v>
      </c>
      <c r="N1033">
        <v>1</v>
      </c>
      <c r="O1033">
        <v>544.83000000000004</v>
      </c>
      <c r="P1033">
        <v>988.66</v>
      </c>
      <c r="Q1033" s="5">
        <f t="shared" si="128"/>
        <v>0.99009900990099009</v>
      </c>
      <c r="R1033" s="5">
        <f t="shared" si="129"/>
        <v>2.0645161290322581E-2</v>
      </c>
      <c r="S1033" s="5">
        <f t="shared" si="130"/>
        <v>0.46875</v>
      </c>
      <c r="T1033" s="5">
        <f t="shared" si="131"/>
        <v>3.3333333333333333E-2</v>
      </c>
      <c r="U1033" s="5">
        <f t="shared" si="132"/>
        <v>3.2258064516129032E-4</v>
      </c>
      <c r="V1033" s="6">
        <f t="shared" si="133"/>
        <v>18.161000000000001</v>
      </c>
      <c r="W1033" s="7">
        <f t="shared" si="134"/>
        <v>8.5129687500000006</v>
      </c>
      <c r="X1033" s="5">
        <f t="shared" si="135"/>
        <v>0.814621074463594</v>
      </c>
    </row>
    <row r="1034" spans="1:24" x14ac:dyDescent="0.35">
      <c r="A1034" s="3">
        <v>46192</v>
      </c>
      <c r="B1034" t="s">
        <v>1338</v>
      </c>
      <c r="C1034" t="s">
        <v>1484</v>
      </c>
      <c r="D1034" t="s">
        <v>18</v>
      </c>
      <c r="E1034" t="s">
        <v>35</v>
      </c>
      <c r="F1034" t="s">
        <v>26</v>
      </c>
      <c r="G1034" t="s">
        <v>59</v>
      </c>
      <c r="H1034" t="s">
        <v>22</v>
      </c>
      <c r="I1034">
        <v>3202</v>
      </c>
      <c r="J1034">
        <v>2535</v>
      </c>
      <c r="K1034">
        <v>2321</v>
      </c>
      <c r="L1034">
        <v>271</v>
      </c>
      <c r="M1034">
        <v>187</v>
      </c>
      <c r="N1034">
        <v>14</v>
      </c>
      <c r="O1034">
        <v>362.98</v>
      </c>
      <c r="P1034">
        <v>11540.58</v>
      </c>
      <c r="Q1034" s="5">
        <f t="shared" si="128"/>
        <v>0.91558185404339254</v>
      </c>
      <c r="R1034" s="5">
        <f t="shared" si="129"/>
        <v>0.11676001723395088</v>
      </c>
      <c r="S1034" s="5">
        <f t="shared" si="130"/>
        <v>0.69003690036900367</v>
      </c>
      <c r="T1034" s="5">
        <f t="shared" si="131"/>
        <v>7.4866310160427801E-2</v>
      </c>
      <c r="U1034" s="5">
        <f t="shared" si="132"/>
        <v>6.0318828091339939E-3</v>
      </c>
      <c r="V1034" s="6">
        <f t="shared" si="133"/>
        <v>1.9410695187165776</v>
      </c>
      <c r="W1034" s="7">
        <f t="shared" si="134"/>
        <v>1.339409594095941</v>
      </c>
      <c r="X1034" s="5">
        <f t="shared" si="135"/>
        <v>30.793983139566919</v>
      </c>
    </row>
    <row r="1035" spans="1:24" x14ac:dyDescent="0.35">
      <c r="A1035" s="3">
        <v>46192</v>
      </c>
      <c r="B1035" t="s">
        <v>1485</v>
      </c>
      <c r="C1035" t="s">
        <v>1486</v>
      </c>
      <c r="D1035" t="s">
        <v>34</v>
      </c>
      <c r="E1035" t="s">
        <v>56</v>
      </c>
      <c r="F1035" t="s">
        <v>20</v>
      </c>
      <c r="G1035" t="s">
        <v>36</v>
      </c>
      <c r="H1035" t="s">
        <v>28</v>
      </c>
      <c r="I1035">
        <v>3933</v>
      </c>
      <c r="J1035">
        <v>3679</v>
      </c>
      <c r="K1035">
        <v>3481</v>
      </c>
      <c r="L1035">
        <v>169</v>
      </c>
      <c r="M1035">
        <v>79</v>
      </c>
      <c r="N1035">
        <v>4</v>
      </c>
      <c r="O1035">
        <v>267.91000000000003</v>
      </c>
      <c r="P1035">
        <v>3467.08</v>
      </c>
      <c r="Q1035" s="5">
        <f t="shared" si="128"/>
        <v>0.94618102745311228</v>
      </c>
      <c r="R1035" s="5">
        <f t="shared" si="129"/>
        <v>4.8549267451881643E-2</v>
      </c>
      <c r="S1035" s="5">
        <f t="shared" si="130"/>
        <v>0.46745562130177515</v>
      </c>
      <c r="T1035" s="5">
        <f t="shared" si="131"/>
        <v>5.0632911392405063E-2</v>
      </c>
      <c r="U1035" s="5">
        <f t="shared" si="132"/>
        <v>1.1490950876185005E-3</v>
      </c>
      <c r="V1035" s="6">
        <f t="shared" si="133"/>
        <v>3.3912658227848103</v>
      </c>
      <c r="W1035" s="7">
        <f t="shared" si="134"/>
        <v>1.5852662721893493</v>
      </c>
      <c r="X1035" s="5">
        <f t="shared" si="135"/>
        <v>11.941211600910753</v>
      </c>
    </row>
    <row r="1036" spans="1:24" x14ac:dyDescent="0.35">
      <c r="A1036" s="3">
        <v>46192</v>
      </c>
      <c r="B1036" t="s">
        <v>1332</v>
      </c>
      <c r="C1036" t="s">
        <v>1487</v>
      </c>
      <c r="D1036" t="s">
        <v>34</v>
      </c>
      <c r="E1036" t="s">
        <v>25</v>
      </c>
      <c r="F1036" t="s">
        <v>20</v>
      </c>
      <c r="G1036" t="s">
        <v>41</v>
      </c>
      <c r="H1036" t="s">
        <v>37</v>
      </c>
      <c r="I1036">
        <v>4818</v>
      </c>
      <c r="J1036">
        <v>3469</v>
      </c>
      <c r="K1036">
        <v>3236</v>
      </c>
      <c r="L1036">
        <v>110</v>
      </c>
      <c r="M1036">
        <v>46</v>
      </c>
      <c r="N1036">
        <v>2</v>
      </c>
      <c r="O1036">
        <v>286.60000000000002</v>
      </c>
      <c r="P1036">
        <v>1907.93</v>
      </c>
      <c r="Q1036" s="5">
        <f t="shared" si="128"/>
        <v>0.93283366964543091</v>
      </c>
      <c r="R1036" s="5">
        <f t="shared" si="129"/>
        <v>3.3992583436341164E-2</v>
      </c>
      <c r="S1036" s="5">
        <f t="shared" si="130"/>
        <v>0.41818181818181815</v>
      </c>
      <c r="T1036" s="5">
        <f t="shared" si="131"/>
        <v>4.3478260869565216E-2</v>
      </c>
      <c r="U1036" s="5">
        <f t="shared" si="132"/>
        <v>6.1804697156983925E-4</v>
      </c>
      <c r="V1036" s="6">
        <f t="shared" si="133"/>
        <v>6.2304347826086959</v>
      </c>
      <c r="W1036" s="7">
        <f t="shared" si="134"/>
        <v>2.6054545454545455</v>
      </c>
      <c r="X1036" s="5">
        <f t="shared" si="135"/>
        <v>5.6571179344033489</v>
      </c>
    </row>
    <row r="1037" spans="1:24" x14ac:dyDescent="0.35">
      <c r="A1037" s="3">
        <v>46193</v>
      </c>
      <c r="B1037" t="s">
        <v>1488</v>
      </c>
      <c r="C1037" t="s">
        <v>1489</v>
      </c>
      <c r="D1037" t="s">
        <v>18</v>
      </c>
      <c r="E1037" t="s">
        <v>19</v>
      </c>
      <c r="F1037" t="s">
        <v>26</v>
      </c>
      <c r="G1037" t="s">
        <v>41</v>
      </c>
      <c r="H1037" t="s">
        <v>22</v>
      </c>
      <c r="I1037">
        <v>2711</v>
      </c>
      <c r="J1037">
        <v>2517</v>
      </c>
      <c r="K1037">
        <v>2306</v>
      </c>
      <c r="L1037">
        <v>44</v>
      </c>
      <c r="M1037">
        <v>28</v>
      </c>
      <c r="N1037">
        <v>0</v>
      </c>
      <c r="O1037">
        <v>258.52</v>
      </c>
      <c r="P1037">
        <v>0</v>
      </c>
      <c r="Q1037" s="5">
        <f t="shared" si="128"/>
        <v>0.91617004370282085</v>
      </c>
      <c r="R1037" s="5">
        <f t="shared" si="129"/>
        <v>1.9080659150043366E-2</v>
      </c>
      <c r="S1037" s="5">
        <f t="shared" si="130"/>
        <v>0.63636363636363635</v>
      </c>
      <c r="T1037" s="5">
        <f t="shared" si="131"/>
        <v>0</v>
      </c>
      <c r="U1037" s="5">
        <f t="shared" si="132"/>
        <v>0</v>
      </c>
      <c r="V1037" s="6">
        <f t="shared" si="133"/>
        <v>9.2328571428571422</v>
      </c>
      <c r="W1037" s="7">
        <f t="shared" si="134"/>
        <v>5.875454545454545</v>
      </c>
      <c r="X1037" s="5">
        <f t="shared" si="135"/>
        <v>-1</v>
      </c>
    </row>
    <row r="1038" spans="1:24" x14ac:dyDescent="0.35">
      <c r="A1038" s="3">
        <v>46193</v>
      </c>
      <c r="B1038" t="s">
        <v>1464</v>
      </c>
      <c r="C1038" t="s">
        <v>1490</v>
      </c>
      <c r="D1038" t="s">
        <v>18</v>
      </c>
      <c r="E1038" t="s">
        <v>19</v>
      </c>
      <c r="F1038" t="s">
        <v>20</v>
      </c>
      <c r="G1038" t="s">
        <v>36</v>
      </c>
      <c r="H1038" t="s">
        <v>28</v>
      </c>
      <c r="I1038">
        <v>4579</v>
      </c>
      <c r="J1038">
        <v>4487</v>
      </c>
      <c r="K1038">
        <v>4197</v>
      </c>
      <c r="L1038">
        <v>67</v>
      </c>
      <c r="M1038">
        <v>33</v>
      </c>
      <c r="N1038">
        <v>1</v>
      </c>
      <c r="O1038">
        <v>476.62</v>
      </c>
      <c r="P1038">
        <v>921.34</v>
      </c>
      <c r="Q1038" s="5">
        <f t="shared" si="128"/>
        <v>0.93536884332516157</v>
      </c>
      <c r="R1038" s="5">
        <f t="shared" si="129"/>
        <v>1.596378365499166E-2</v>
      </c>
      <c r="S1038" s="5">
        <f t="shared" si="130"/>
        <v>0.4925373134328358</v>
      </c>
      <c r="T1038" s="5">
        <f t="shared" si="131"/>
        <v>3.0303030303030304E-2</v>
      </c>
      <c r="U1038" s="5">
        <f t="shared" si="132"/>
        <v>2.3826542768644269E-4</v>
      </c>
      <c r="V1038" s="6">
        <f t="shared" si="133"/>
        <v>14.443030303030303</v>
      </c>
      <c r="W1038" s="7">
        <f t="shared" si="134"/>
        <v>7.1137313432835825</v>
      </c>
      <c r="X1038" s="5">
        <f t="shared" si="135"/>
        <v>0.93307037052578579</v>
      </c>
    </row>
    <row r="1039" spans="1:24" x14ac:dyDescent="0.35">
      <c r="A1039" s="3">
        <v>46193</v>
      </c>
      <c r="B1039" t="s">
        <v>1328</v>
      </c>
      <c r="C1039" t="s">
        <v>1491</v>
      </c>
      <c r="D1039" t="s">
        <v>34</v>
      </c>
      <c r="E1039" t="s">
        <v>56</v>
      </c>
      <c r="F1039" t="s">
        <v>20</v>
      </c>
      <c r="G1039" t="s">
        <v>36</v>
      </c>
      <c r="H1039" t="s">
        <v>37</v>
      </c>
      <c r="I1039">
        <v>802</v>
      </c>
      <c r="J1039">
        <v>616</v>
      </c>
      <c r="K1039">
        <v>562</v>
      </c>
      <c r="L1039">
        <v>29</v>
      </c>
      <c r="M1039">
        <v>12</v>
      </c>
      <c r="N1039">
        <v>1</v>
      </c>
      <c r="O1039">
        <v>53.18</v>
      </c>
      <c r="P1039">
        <v>876.64</v>
      </c>
      <c r="Q1039" s="5">
        <f t="shared" si="128"/>
        <v>0.91233766233766234</v>
      </c>
      <c r="R1039" s="5">
        <f t="shared" si="129"/>
        <v>5.1601423487544484E-2</v>
      </c>
      <c r="S1039" s="5">
        <f t="shared" si="130"/>
        <v>0.41379310344827586</v>
      </c>
      <c r="T1039" s="5">
        <f t="shared" si="131"/>
        <v>8.3333333333333329E-2</v>
      </c>
      <c r="U1039" s="5">
        <f t="shared" si="132"/>
        <v>1.7793594306049821E-3</v>
      </c>
      <c r="V1039" s="6">
        <f t="shared" si="133"/>
        <v>4.4316666666666666</v>
      </c>
      <c r="W1039" s="7">
        <f t="shared" si="134"/>
        <v>1.833793103448276</v>
      </c>
      <c r="X1039" s="5">
        <f t="shared" si="135"/>
        <v>15.484392628807823</v>
      </c>
    </row>
    <row r="1040" spans="1:24" x14ac:dyDescent="0.35">
      <c r="A1040" s="3">
        <v>46193</v>
      </c>
      <c r="B1040" t="s">
        <v>1376</v>
      </c>
      <c r="C1040" t="s">
        <v>1492</v>
      </c>
      <c r="D1040" t="s">
        <v>18</v>
      </c>
      <c r="E1040" t="s">
        <v>56</v>
      </c>
      <c r="F1040" t="s">
        <v>20</v>
      </c>
      <c r="G1040" t="s">
        <v>59</v>
      </c>
      <c r="H1040" t="s">
        <v>37</v>
      </c>
      <c r="I1040">
        <v>525</v>
      </c>
      <c r="J1040">
        <v>384</v>
      </c>
      <c r="K1040">
        <v>358</v>
      </c>
      <c r="L1040">
        <v>19</v>
      </c>
      <c r="M1040">
        <v>10</v>
      </c>
      <c r="N1040">
        <v>0</v>
      </c>
      <c r="O1040">
        <v>39.74</v>
      </c>
      <c r="P1040">
        <v>0</v>
      </c>
      <c r="Q1040" s="5">
        <f t="shared" si="128"/>
        <v>0.93229166666666663</v>
      </c>
      <c r="R1040" s="5">
        <f t="shared" si="129"/>
        <v>5.3072625698324022E-2</v>
      </c>
      <c r="S1040" s="5">
        <f t="shared" si="130"/>
        <v>0.52631578947368418</v>
      </c>
      <c r="T1040" s="5">
        <f t="shared" si="131"/>
        <v>0</v>
      </c>
      <c r="U1040" s="5">
        <f t="shared" si="132"/>
        <v>0</v>
      </c>
      <c r="V1040" s="6">
        <f t="shared" si="133"/>
        <v>3.9740000000000002</v>
      </c>
      <c r="W1040" s="7">
        <f t="shared" si="134"/>
        <v>2.0915789473684212</v>
      </c>
      <c r="X1040" s="5">
        <f t="shared" si="135"/>
        <v>-1</v>
      </c>
    </row>
    <row r="1041" spans="1:24" x14ac:dyDescent="0.35">
      <c r="A1041" s="3">
        <v>46193</v>
      </c>
      <c r="B1041" t="s">
        <v>1433</v>
      </c>
      <c r="C1041" t="s">
        <v>1493</v>
      </c>
      <c r="D1041" t="s">
        <v>40</v>
      </c>
      <c r="E1041" t="s">
        <v>35</v>
      </c>
      <c r="F1041" t="s">
        <v>20</v>
      </c>
      <c r="G1041" t="s">
        <v>21</v>
      </c>
      <c r="H1041" t="s">
        <v>48</v>
      </c>
      <c r="I1041">
        <v>4924</v>
      </c>
      <c r="J1041">
        <v>3880</v>
      </c>
      <c r="K1041">
        <v>3633</v>
      </c>
      <c r="L1041">
        <v>259</v>
      </c>
      <c r="M1041">
        <v>111</v>
      </c>
      <c r="N1041">
        <v>6</v>
      </c>
      <c r="O1041">
        <v>569.94000000000005</v>
      </c>
      <c r="P1041">
        <v>7936.28</v>
      </c>
      <c r="Q1041" s="5">
        <f t="shared" si="128"/>
        <v>0.93634020618556701</v>
      </c>
      <c r="R1041" s="5">
        <f t="shared" si="129"/>
        <v>7.1290944123314062E-2</v>
      </c>
      <c r="S1041" s="5">
        <f t="shared" si="130"/>
        <v>0.42857142857142855</v>
      </c>
      <c r="T1041" s="5">
        <f t="shared" si="131"/>
        <v>5.4054054054054057E-2</v>
      </c>
      <c r="U1041" s="5">
        <f t="shared" si="132"/>
        <v>1.6515276630883566E-3</v>
      </c>
      <c r="V1041" s="6">
        <f t="shared" si="133"/>
        <v>5.1345945945945948</v>
      </c>
      <c r="W1041" s="7">
        <f t="shared" si="134"/>
        <v>2.2005405405405409</v>
      </c>
      <c r="X1041" s="5">
        <f t="shared" si="135"/>
        <v>12.924764010246692</v>
      </c>
    </row>
    <row r="1042" spans="1:24" x14ac:dyDescent="0.35">
      <c r="A1042" s="3">
        <v>46194</v>
      </c>
      <c r="B1042" t="s">
        <v>1424</v>
      </c>
      <c r="C1042" t="s">
        <v>1494</v>
      </c>
      <c r="D1042" t="s">
        <v>18</v>
      </c>
      <c r="E1042" t="s">
        <v>35</v>
      </c>
      <c r="F1042" t="s">
        <v>20</v>
      </c>
      <c r="G1042" t="s">
        <v>27</v>
      </c>
      <c r="H1042" t="s">
        <v>28</v>
      </c>
      <c r="I1042">
        <v>1291</v>
      </c>
      <c r="J1042">
        <v>1173</v>
      </c>
      <c r="K1042">
        <v>1056</v>
      </c>
      <c r="L1042">
        <v>98</v>
      </c>
      <c r="M1042">
        <v>48</v>
      </c>
      <c r="N1042">
        <v>3</v>
      </c>
      <c r="O1042">
        <v>153.77000000000001</v>
      </c>
      <c r="P1042">
        <v>4436.8500000000004</v>
      </c>
      <c r="Q1042" s="5">
        <f t="shared" si="128"/>
        <v>0.90025575447570327</v>
      </c>
      <c r="R1042" s="5">
        <f t="shared" si="129"/>
        <v>9.2803030303030304E-2</v>
      </c>
      <c r="S1042" s="5">
        <f t="shared" si="130"/>
        <v>0.48979591836734693</v>
      </c>
      <c r="T1042" s="5">
        <f t="shared" si="131"/>
        <v>6.25E-2</v>
      </c>
      <c r="U1042" s="5">
        <f t="shared" si="132"/>
        <v>2.840909090909091E-3</v>
      </c>
      <c r="V1042" s="6">
        <f t="shared" si="133"/>
        <v>3.2035416666666667</v>
      </c>
      <c r="W1042" s="7">
        <f t="shared" si="134"/>
        <v>1.5690816326530612</v>
      </c>
      <c r="X1042" s="5">
        <f t="shared" si="135"/>
        <v>27.853807634779212</v>
      </c>
    </row>
    <row r="1043" spans="1:24" x14ac:dyDescent="0.35">
      <c r="A1043" s="3">
        <v>46194</v>
      </c>
      <c r="B1043" t="s">
        <v>1407</v>
      </c>
      <c r="C1043" t="s">
        <v>1495</v>
      </c>
      <c r="D1043" t="s">
        <v>18</v>
      </c>
      <c r="E1043" t="s">
        <v>56</v>
      </c>
      <c r="F1043" t="s">
        <v>20</v>
      </c>
      <c r="G1043" t="s">
        <v>27</v>
      </c>
      <c r="H1043" t="s">
        <v>37</v>
      </c>
      <c r="I1043">
        <v>1065</v>
      </c>
      <c r="J1043">
        <v>1045</v>
      </c>
      <c r="K1043">
        <v>981</v>
      </c>
      <c r="L1043">
        <v>57</v>
      </c>
      <c r="M1043">
        <v>28</v>
      </c>
      <c r="N1043">
        <v>2</v>
      </c>
      <c r="O1043">
        <v>143.24</v>
      </c>
      <c r="P1043">
        <v>1584.19</v>
      </c>
      <c r="Q1043" s="5">
        <f t="shared" si="128"/>
        <v>0.93875598086124401</v>
      </c>
      <c r="R1043" s="5">
        <f t="shared" si="129"/>
        <v>5.8103975535168197E-2</v>
      </c>
      <c r="S1043" s="5">
        <f t="shared" si="130"/>
        <v>0.49122807017543857</v>
      </c>
      <c r="T1043" s="5">
        <f t="shared" si="131"/>
        <v>7.1428571428571425E-2</v>
      </c>
      <c r="U1043" s="5">
        <f t="shared" si="132"/>
        <v>2.0387359836901123E-3</v>
      </c>
      <c r="V1043" s="6">
        <f t="shared" si="133"/>
        <v>5.1157142857142857</v>
      </c>
      <c r="W1043" s="7">
        <f t="shared" si="134"/>
        <v>2.5129824561403509</v>
      </c>
      <c r="X1043" s="5">
        <f t="shared" si="135"/>
        <v>10.059690030717677</v>
      </c>
    </row>
    <row r="1044" spans="1:24" x14ac:dyDescent="0.35">
      <c r="A1044" s="3">
        <v>46194</v>
      </c>
      <c r="B1044" t="s">
        <v>1328</v>
      </c>
      <c r="C1044" t="s">
        <v>1496</v>
      </c>
      <c r="D1044" t="s">
        <v>34</v>
      </c>
      <c r="E1044" t="s">
        <v>56</v>
      </c>
      <c r="F1044" t="s">
        <v>26</v>
      </c>
      <c r="G1044" t="s">
        <v>27</v>
      </c>
      <c r="H1044" t="s">
        <v>28</v>
      </c>
      <c r="I1044">
        <v>3635</v>
      </c>
      <c r="J1044">
        <v>3143</v>
      </c>
      <c r="K1044">
        <v>2961</v>
      </c>
      <c r="L1044">
        <v>160</v>
      </c>
      <c r="M1044">
        <v>96</v>
      </c>
      <c r="N1044">
        <v>7</v>
      </c>
      <c r="O1044">
        <v>239.25</v>
      </c>
      <c r="P1044">
        <v>6132.45</v>
      </c>
      <c r="Q1044" s="5">
        <f t="shared" si="128"/>
        <v>0.94209354120267264</v>
      </c>
      <c r="R1044" s="5">
        <f t="shared" si="129"/>
        <v>5.4035798716649777E-2</v>
      </c>
      <c r="S1044" s="5">
        <f t="shared" si="130"/>
        <v>0.6</v>
      </c>
      <c r="T1044" s="5">
        <f t="shared" si="131"/>
        <v>7.2916666666666671E-2</v>
      </c>
      <c r="U1044" s="5">
        <f t="shared" si="132"/>
        <v>2.3640661938534278E-3</v>
      </c>
      <c r="V1044" s="6">
        <f t="shared" si="133"/>
        <v>2.4921875</v>
      </c>
      <c r="W1044" s="7">
        <f t="shared" si="134"/>
        <v>1.4953125</v>
      </c>
      <c r="X1044" s="5">
        <f t="shared" si="135"/>
        <v>24.631974921630093</v>
      </c>
    </row>
    <row r="1045" spans="1:24" x14ac:dyDescent="0.35">
      <c r="A1045" s="3">
        <v>46194</v>
      </c>
      <c r="B1045" t="s">
        <v>1334</v>
      </c>
      <c r="C1045" t="s">
        <v>1497</v>
      </c>
      <c r="D1045" t="s">
        <v>31</v>
      </c>
      <c r="E1045" t="s">
        <v>35</v>
      </c>
      <c r="F1045" t="s">
        <v>20</v>
      </c>
      <c r="G1045" t="s">
        <v>27</v>
      </c>
      <c r="H1045" t="s">
        <v>28</v>
      </c>
      <c r="I1045">
        <v>4380</v>
      </c>
      <c r="J1045">
        <v>3163</v>
      </c>
      <c r="K1045">
        <v>2986</v>
      </c>
      <c r="L1045">
        <v>140</v>
      </c>
      <c r="M1045">
        <v>59</v>
      </c>
      <c r="N1045">
        <v>3</v>
      </c>
      <c r="O1045">
        <v>645.13</v>
      </c>
      <c r="P1045">
        <v>3400.41</v>
      </c>
      <c r="Q1045" s="5">
        <f t="shared" si="128"/>
        <v>0.94404046791021179</v>
      </c>
      <c r="R1045" s="5">
        <f t="shared" si="129"/>
        <v>4.6885465505693238E-2</v>
      </c>
      <c r="S1045" s="5">
        <f t="shared" si="130"/>
        <v>0.42142857142857143</v>
      </c>
      <c r="T1045" s="5">
        <f t="shared" si="131"/>
        <v>5.0847457627118647E-2</v>
      </c>
      <c r="U1045" s="5">
        <f t="shared" si="132"/>
        <v>1.0046885465505692E-3</v>
      </c>
      <c r="V1045" s="6">
        <f t="shared" si="133"/>
        <v>10.934406779661018</v>
      </c>
      <c r="W1045" s="7">
        <f t="shared" si="134"/>
        <v>4.6080714285714288</v>
      </c>
      <c r="X1045" s="5">
        <f t="shared" si="135"/>
        <v>4.2708911382202031</v>
      </c>
    </row>
    <row r="1046" spans="1:24" x14ac:dyDescent="0.35">
      <c r="A1046" s="3">
        <v>46195</v>
      </c>
      <c r="B1046" t="s">
        <v>1413</v>
      </c>
      <c r="C1046" t="s">
        <v>1498</v>
      </c>
      <c r="D1046" t="s">
        <v>31</v>
      </c>
      <c r="E1046" t="s">
        <v>56</v>
      </c>
      <c r="F1046" t="s">
        <v>20</v>
      </c>
      <c r="G1046" t="s">
        <v>59</v>
      </c>
      <c r="H1046" t="s">
        <v>28</v>
      </c>
      <c r="I1046">
        <v>968</v>
      </c>
      <c r="J1046">
        <v>821</v>
      </c>
      <c r="K1046">
        <v>784</v>
      </c>
      <c r="L1046">
        <v>21</v>
      </c>
      <c r="M1046">
        <v>9</v>
      </c>
      <c r="N1046">
        <v>0</v>
      </c>
      <c r="O1046">
        <v>175.9</v>
      </c>
      <c r="P1046">
        <v>0</v>
      </c>
      <c r="Q1046" s="5">
        <f t="shared" si="128"/>
        <v>0.95493300852618757</v>
      </c>
      <c r="R1046" s="5">
        <f t="shared" si="129"/>
        <v>2.6785714285714284E-2</v>
      </c>
      <c r="S1046" s="5">
        <f t="shared" si="130"/>
        <v>0.42857142857142855</v>
      </c>
      <c r="T1046" s="5">
        <f t="shared" si="131"/>
        <v>0</v>
      </c>
      <c r="U1046" s="5">
        <f t="shared" si="132"/>
        <v>0</v>
      </c>
      <c r="V1046" s="6">
        <f t="shared" si="133"/>
        <v>19.544444444444444</v>
      </c>
      <c r="W1046" s="7">
        <f t="shared" si="134"/>
        <v>8.3761904761904766</v>
      </c>
      <c r="X1046" s="5">
        <f t="shared" si="135"/>
        <v>-1</v>
      </c>
    </row>
    <row r="1047" spans="1:24" x14ac:dyDescent="0.35">
      <c r="A1047" s="3">
        <v>46195</v>
      </c>
      <c r="B1047" t="s">
        <v>1302</v>
      </c>
      <c r="C1047" t="s">
        <v>1499</v>
      </c>
      <c r="D1047" t="s">
        <v>31</v>
      </c>
      <c r="E1047" t="s">
        <v>25</v>
      </c>
      <c r="F1047" t="s">
        <v>20</v>
      </c>
      <c r="G1047" t="s">
        <v>21</v>
      </c>
      <c r="H1047" t="s">
        <v>37</v>
      </c>
      <c r="I1047">
        <v>4462</v>
      </c>
      <c r="J1047">
        <v>3682</v>
      </c>
      <c r="K1047">
        <v>3451</v>
      </c>
      <c r="L1047">
        <v>100</v>
      </c>
      <c r="M1047">
        <v>36</v>
      </c>
      <c r="N1047">
        <v>1</v>
      </c>
      <c r="O1047">
        <v>673.89</v>
      </c>
      <c r="P1047">
        <v>886.85</v>
      </c>
      <c r="Q1047" s="5">
        <f t="shared" si="128"/>
        <v>0.93726235741444863</v>
      </c>
      <c r="R1047" s="5">
        <f t="shared" si="129"/>
        <v>2.8977108084613155E-2</v>
      </c>
      <c r="S1047" s="5">
        <f t="shared" si="130"/>
        <v>0.36</v>
      </c>
      <c r="T1047" s="5">
        <f t="shared" si="131"/>
        <v>2.7777777777777776E-2</v>
      </c>
      <c r="U1047" s="5">
        <f t="shared" si="132"/>
        <v>2.8977108084613158E-4</v>
      </c>
      <c r="V1047" s="6">
        <f t="shared" si="133"/>
        <v>18.719166666666666</v>
      </c>
      <c r="W1047" s="7">
        <f t="shared" si="134"/>
        <v>6.7389000000000001</v>
      </c>
      <c r="X1047" s="5">
        <f t="shared" si="135"/>
        <v>0.31601596699758128</v>
      </c>
    </row>
    <row r="1048" spans="1:24" x14ac:dyDescent="0.35">
      <c r="A1048" s="3">
        <v>46195</v>
      </c>
      <c r="B1048" t="s">
        <v>1302</v>
      </c>
      <c r="C1048" t="s">
        <v>1500</v>
      </c>
      <c r="D1048" t="s">
        <v>18</v>
      </c>
      <c r="E1048" t="s">
        <v>25</v>
      </c>
      <c r="F1048" t="s">
        <v>20</v>
      </c>
      <c r="G1048" t="s">
        <v>59</v>
      </c>
      <c r="H1048" t="s">
        <v>22</v>
      </c>
      <c r="I1048">
        <v>4585</v>
      </c>
      <c r="J1048">
        <v>4028</v>
      </c>
      <c r="K1048">
        <v>3656</v>
      </c>
      <c r="L1048">
        <v>116</v>
      </c>
      <c r="M1048">
        <v>57</v>
      </c>
      <c r="N1048">
        <v>2</v>
      </c>
      <c r="O1048">
        <v>563.16999999999996</v>
      </c>
      <c r="P1048">
        <v>2219.25</v>
      </c>
      <c r="Q1048" s="5">
        <f t="shared" si="128"/>
        <v>0.90764647467725923</v>
      </c>
      <c r="R1048" s="5">
        <f t="shared" si="129"/>
        <v>3.1728665207877461E-2</v>
      </c>
      <c r="S1048" s="5">
        <f t="shared" si="130"/>
        <v>0.49137931034482757</v>
      </c>
      <c r="T1048" s="5">
        <f t="shared" si="131"/>
        <v>3.5087719298245612E-2</v>
      </c>
      <c r="U1048" s="5">
        <f t="shared" si="132"/>
        <v>5.4704595185995622E-4</v>
      </c>
      <c r="V1048" s="6">
        <f t="shared" si="133"/>
        <v>9.8801754385964902</v>
      </c>
      <c r="W1048" s="7">
        <f t="shared" si="134"/>
        <v>4.8549137931034476</v>
      </c>
      <c r="X1048" s="5">
        <f t="shared" si="135"/>
        <v>2.9406395937283594</v>
      </c>
    </row>
    <row r="1049" spans="1:24" x14ac:dyDescent="0.35">
      <c r="A1049" s="3">
        <v>46195</v>
      </c>
      <c r="B1049" t="s">
        <v>1359</v>
      </c>
      <c r="C1049" t="s">
        <v>1501</v>
      </c>
      <c r="D1049" t="s">
        <v>18</v>
      </c>
      <c r="E1049" t="s">
        <v>19</v>
      </c>
      <c r="F1049" t="s">
        <v>26</v>
      </c>
      <c r="G1049" t="s">
        <v>41</v>
      </c>
      <c r="H1049" t="s">
        <v>22</v>
      </c>
      <c r="I1049">
        <v>1342</v>
      </c>
      <c r="J1049">
        <v>1202</v>
      </c>
      <c r="K1049">
        <v>1129</v>
      </c>
      <c r="L1049">
        <v>27</v>
      </c>
      <c r="M1049">
        <v>19</v>
      </c>
      <c r="N1049">
        <v>1</v>
      </c>
      <c r="O1049">
        <v>129.38999999999999</v>
      </c>
      <c r="P1049">
        <v>845.4</v>
      </c>
      <c r="Q1049" s="5">
        <f t="shared" si="128"/>
        <v>0.93926788685524132</v>
      </c>
      <c r="R1049" s="5">
        <f t="shared" si="129"/>
        <v>2.3914968999114262E-2</v>
      </c>
      <c r="S1049" s="5">
        <f t="shared" si="130"/>
        <v>0.70370370370370372</v>
      </c>
      <c r="T1049" s="5">
        <f t="shared" si="131"/>
        <v>5.2631578947368418E-2</v>
      </c>
      <c r="U1049" s="5">
        <f t="shared" si="132"/>
        <v>8.8573959255978745E-4</v>
      </c>
      <c r="V1049" s="6">
        <f t="shared" si="133"/>
        <v>6.81</v>
      </c>
      <c r="W1049" s="7">
        <f t="shared" si="134"/>
        <v>4.7922222222222217</v>
      </c>
      <c r="X1049" s="5">
        <f t="shared" si="135"/>
        <v>5.533735219105032</v>
      </c>
    </row>
    <row r="1050" spans="1:24" x14ac:dyDescent="0.35">
      <c r="A1050" s="3">
        <v>46195</v>
      </c>
      <c r="B1050" t="s">
        <v>1482</v>
      </c>
      <c r="C1050" t="s">
        <v>1502</v>
      </c>
      <c r="D1050" t="s">
        <v>18</v>
      </c>
      <c r="E1050" t="s">
        <v>56</v>
      </c>
      <c r="F1050" t="s">
        <v>26</v>
      </c>
      <c r="G1050" t="s">
        <v>27</v>
      </c>
      <c r="H1050" t="s">
        <v>37</v>
      </c>
      <c r="I1050">
        <v>2561</v>
      </c>
      <c r="J1050">
        <v>2172</v>
      </c>
      <c r="K1050">
        <v>1967</v>
      </c>
      <c r="L1050">
        <v>171</v>
      </c>
      <c r="M1050">
        <v>106</v>
      </c>
      <c r="N1050">
        <v>6</v>
      </c>
      <c r="O1050">
        <v>266.11</v>
      </c>
      <c r="P1050">
        <v>7848.57</v>
      </c>
      <c r="Q1050" s="5">
        <f t="shared" si="128"/>
        <v>0.90561694290976058</v>
      </c>
      <c r="R1050" s="5">
        <f t="shared" si="129"/>
        <v>8.6934417895271981E-2</v>
      </c>
      <c r="S1050" s="5">
        <f t="shared" si="130"/>
        <v>0.61988304093567248</v>
      </c>
      <c r="T1050" s="5">
        <f t="shared" si="131"/>
        <v>5.6603773584905662E-2</v>
      </c>
      <c r="U1050" s="5">
        <f t="shared" si="132"/>
        <v>3.0503304524656838E-3</v>
      </c>
      <c r="V1050" s="6">
        <f t="shared" si="133"/>
        <v>2.5104716981132076</v>
      </c>
      <c r="W1050" s="7">
        <f t="shared" si="134"/>
        <v>1.5561988304093568</v>
      </c>
      <c r="X1050" s="5">
        <f t="shared" si="135"/>
        <v>28.493705610461838</v>
      </c>
    </row>
    <row r="1051" spans="1:24" x14ac:dyDescent="0.35">
      <c r="A1051" s="3">
        <v>46195</v>
      </c>
      <c r="B1051" t="s">
        <v>1326</v>
      </c>
      <c r="C1051" t="s">
        <v>1503</v>
      </c>
      <c r="D1051" t="s">
        <v>34</v>
      </c>
      <c r="E1051" t="s">
        <v>56</v>
      </c>
      <c r="F1051" t="s">
        <v>26</v>
      </c>
      <c r="G1051" t="s">
        <v>36</v>
      </c>
      <c r="H1051" t="s">
        <v>51</v>
      </c>
      <c r="I1051">
        <v>3388</v>
      </c>
      <c r="J1051">
        <v>3084</v>
      </c>
      <c r="K1051">
        <v>2894</v>
      </c>
      <c r="L1051">
        <v>205</v>
      </c>
      <c r="M1051">
        <v>125</v>
      </c>
      <c r="N1051">
        <v>7</v>
      </c>
      <c r="O1051">
        <v>264.43</v>
      </c>
      <c r="P1051">
        <v>8503.25</v>
      </c>
      <c r="Q1051" s="5">
        <f t="shared" si="128"/>
        <v>0.93839169909208819</v>
      </c>
      <c r="R1051" s="5">
        <f t="shared" si="129"/>
        <v>7.0836212854181069E-2</v>
      </c>
      <c r="S1051" s="5">
        <f t="shared" si="130"/>
        <v>0.6097560975609756</v>
      </c>
      <c r="T1051" s="5">
        <f t="shared" si="131"/>
        <v>5.6000000000000001E-2</v>
      </c>
      <c r="U1051" s="5">
        <f t="shared" si="132"/>
        <v>2.4187975120939877E-3</v>
      </c>
      <c r="V1051" s="6">
        <f t="shared" si="133"/>
        <v>2.11544</v>
      </c>
      <c r="W1051" s="7">
        <f t="shared" si="134"/>
        <v>1.2899024390243903</v>
      </c>
      <c r="X1051" s="5">
        <f t="shared" si="135"/>
        <v>31.156903528343982</v>
      </c>
    </row>
    <row r="1052" spans="1:24" x14ac:dyDescent="0.35">
      <c r="A1052" s="3">
        <v>46195</v>
      </c>
      <c r="B1052" t="s">
        <v>1326</v>
      </c>
      <c r="C1052" t="s">
        <v>1504</v>
      </c>
      <c r="D1052" t="s">
        <v>18</v>
      </c>
      <c r="E1052" t="s">
        <v>25</v>
      </c>
      <c r="F1052" t="s">
        <v>20</v>
      </c>
      <c r="G1052" t="s">
        <v>36</v>
      </c>
      <c r="H1052" t="s">
        <v>37</v>
      </c>
      <c r="I1052">
        <v>1109</v>
      </c>
      <c r="J1052">
        <v>1028</v>
      </c>
      <c r="K1052">
        <v>940</v>
      </c>
      <c r="L1052">
        <v>51</v>
      </c>
      <c r="M1052">
        <v>28</v>
      </c>
      <c r="N1052">
        <v>1</v>
      </c>
      <c r="O1052">
        <v>123.52</v>
      </c>
      <c r="P1052">
        <v>980.21</v>
      </c>
      <c r="Q1052" s="5">
        <f t="shared" si="128"/>
        <v>0.91439688715953304</v>
      </c>
      <c r="R1052" s="5">
        <f t="shared" si="129"/>
        <v>5.4255319148936172E-2</v>
      </c>
      <c r="S1052" s="5">
        <f t="shared" si="130"/>
        <v>0.5490196078431373</v>
      </c>
      <c r="T1052" s="5">
        <f t="shared" si="131"/>
        <v>3.5714285714285712E-2</v>
      </c>
      <c r="U1052" s="5">
        <f t="shared" si="132"/>
        <v>1.0638297872340426E-3</v>
      </c>
      <c r="V1052" s="6">
        <f t="shared" si="133"/>
        <v>4.411428571428571</v>
      </c>
      <c r="W1052" s="7">
        <f t="shared" si="134"/>
        <v>2.4219607843137254</v>
      </c>
      <c r="X1052" s="5">
        <f t="shared" si="135"/>
        <v>6.935637953367876</v>
      </c>
    </row>
    <row r="1053" spans="1:24" x14ac:dyDescent="0.35">
      <c r="A1053" s="3">
        <v>46195</v>
      </c>
      <c r="B1053" t="s">
        <v>1326</v>
      </c>
      <c r="C1053" t="s">
        <v>1505</v>
      </c>
      <c r="D1053" t="s">
        <v>31</v>
      </c>
      <c r="E1053" t="s">
        <v>35</v>
      </c>
      <c r="F1053" t="s">
        <v>20</v>
      </c>
      <c r="G1053" t="s">
        <v>41</v>
      </c>
      <c r="H1053" t="s">
        <v>28</v>
      </c>
      <c r="I1053">
        <v>4694</v>
      </c>
      <c r="J1053">
        <v>4193</v>
      </c>
      <c r="K1053">
        <v>4022</v>
      </c>
      <c r="L1053">
        <v>207</v>
      </c>
      <c r="M1053">
        <v>72</v>
      </c>
      <c r="N1053">
        <v>3</v>
      </c>
      <c r="O1053">
        <v>661.66</v>
      </c>
      <c r="P1053">
        <v>3670.9</v>
      </c>
      <c r="Q1053" s="5">
        <f t="shared" si="128"/>
        <v>0.95921774385881231</v>
      </c>
      <c r="R1053" s="5">
        <f t="shared" si="129"/>
        <v>5.146693187468921E-2</v>
      </c>
      <c r="S1053" s="5">
        <f t="shared" si="130"/>
        <v>0.34782608695652173</v>
      </c>
      <c r="T1053" s="5">
        <f t="shared" si="131"/>
        <v>4.1666666666666664E-2</v>
      </c>
      <c r="U1053" s="5">
        <f t="shared" si="132"/>
        <v>7.4589756340129288E-4</v>
      </c>
      <c r="V1053" s="6">
        <f t="shared" si="133"/>
        <v>9.1897222222222226</v>
      </c>
      <c r="W1053" s="7">
        <f t="shared" si="134"/>
        <v>3.1964251207729468</v>
      </c>
      <c r="X1053" s="5">
        <f t="shared" si="135"/>
        <v>4.5480155971344809</v>
      </c>
    </row>
    <row r="1054" spans="1:24" x14ac:dyDescent="0.35">
      <c r="A1054" s="3">
        <v>46195</v>
      </c>
      <c r="B1054" t="s">
        <v>1506</v>
      </c>
      <c r="C1054" t="s">
        <v>1507</v>
      </c>
      <c r="D1054" t="s">
        <v>34</v>
      </c>
      <c r="E1054" t="s">
        <v>35</v>
      </c>
      <c r="F1054" t="s">
        <v>26</v>
      </c>
      <c r="G1054" t="s">
        <v>27</v>
      </c>
      <c r="H1054" t="s">
        <v>37</v>
      </c>
      <c r="I1054">
        <v>3483</v>
      </c>
      <c r="J1054">
        <v>2676</v>
      </c>
      <c r="K1054">
        <v>2487</v>
      </c>
      <c r="L1054">
        <v>230</v>
      </c>
      <c r="M1054">
        <v>155</v>
      </c>
      <c r="N1054">
        <v>15</v>
      </c>
      <c r="O1054">
        <v>252.49</v>
      </c>
      <c r="P1054">
        <v>22525.21</v>
      </c>
      <c r="Q1054" s="5">
        <f t="shared" si="128"/>
        <v>0.929372197309417</v>
      </c>
      <c r="R1054" s="5">
        <f t="shared" si="129"/>
        <v>9.2480900683554482E-2</v>
      </c>
      <c r="S1054" s="5">
        <f t="shared" si="130"/>
        <v>0.67391304347826086</v>
      </c>
      <c r="T1054" s="5">
        <f t="shared" si="131"/>
        <v>9.6774193548387094E-2</v>
      </c>
      <c r="U1054" s="5">
        <f t="shared" si="132"/>
        <v>6.0313630880579009E-3</v>
      </c>
      <c r="V1054" s="6">
        <f t="shared" si="133"/>
        <v>1.628967741935484</v>
      </c>
      <c r="W1054" s="7">
        <f t="shared" si="134"/>
        <v>1.0977826086956521</v>
      </c>
      <c r="X1054" s="5">
        <f t="shared" si="135"/>
        <v>88.21228563507465</v>
      </c>
    </row>
    <row r="1055" spans="1:24" x14ac:dyDescent="0.35">
      <c r="A1055" s="3">
        <v>46195</v>
      </c>
      <c r="B1055" t="s">
        <v>1506</v>
      </c>
      <c r="C1055" t="s">
        <v>1508</v>
      </c>
      <c r="D1055" t="s">
        <v>40</v>
      </c>
      <c r="E1055" t="s">
        <v>56</v>
      </c>
      <c r="F1055" t="s">
        <v>26</v>
      </c>
      <c r="G1055" t="s">
        <v>27</v>
      </c>
      <c r="H1055" t="s">
        <v>51</v>
      </c>
      <c r="I1055">
        <v>2663</v>
      </c>
      <c r="J1055">
        <v>2098</v>
      </c>
      <c r="K1055">
        <v>1963</v>
      </c>
      <c r="L1055">
        <v>147</v>
      </c>
      <c r="M1055">
        <v>87</v>
      </c>
      <c r="N1055">
        <v>6</v>
      </c>
      <c r="O1055">
        <v>294.60000000000002</v>
      </c>
      <c r="P1055">
        <v>9151.77</v>
      </c>
      <c r="Q1055" s="5">
        <f t="shared" si="128"/>
        <v>0.93565300285986652</v>
      </c>
      <c r="R1055" s="5">
        <f t="shared" si="129"/>
        <v>7.4885379521141104E-2</v>
      </c>
      <c r="S1055" s="5">
        <f t="shared" si="130"/>
        <v>0.59183673469387754</v>
      </c>
      <c r="T1055" s="5">
        <f t="shared" si="131"/>
        <v>6.8965517241379309E-2</v>
      </c>
      <c r="U1055" s="5">
        <f t="shared" si="132"/>
        <v>3.0565461029037188E-3</v>
      </c>
      <c r="V1055" s="6">
        <f t="shared" si="133"/>
        <v>3.3862068965517245</v>
      </c>
      <c r="W1055" s="7">
        <f t="shared" si="134"/>
        <v>2.0040816326530613</v>
      </c>
      <c r="X1055" s="5">
        <f t="shared" si="135"/>
        <v>30.065071283095723</v>
      </c>
    </row>
    <row r="1056" spans="1:24" x14ac:dyDescent="0.35">
      <c r="A1056" s="3">
        <v>46195</v>
      </c>
      <c r="B1056" t="s">
        <v>1409</v>
      </c>
      <c r="C1056" t="s">
        <v>1509</v>
      </c>
      <c r="D1056" t="s">
        <v>34</v>
      </c>
      <c r="E1056" t="s">
        <v>35</v>
      </c>
      <c r="F1056" t="s">
        <v>20</v>
      </c>
      <c r="G1056" t="s">
        <v>21</v>
      </c>
      <c r="H1056" t="s">
        <v>28</v>
      </c>
      <c r="I1056">
        <v>4507</v>
      </c>
      <c r="J1056">
        <v>4189</v>
      </c>
      <c r="K1056">
        <v>3896</v>
      </c>
      <c r="L1056">
        <v>297</v>
      </c>
      <c r="M1056">
        <v>147</v>
      </c>
      <c r="N1056">
        <v>12</v>
      </c>
      <c r="O1056">
        <v>397.35</v>
      </c>
      <c r="P1056">
        <v>18747.080000000002</v>
      </c>
      <c r="Q1056" s="5">
        <f t="shared" si="128"/>
        <v>0.93005490570541893</v>
      </c>
      <c r="R1056" s="5">
        <f t="shared" si="129"/>
        <v>7.6232032854209444E-2</v>
      </c>
      <c r="S1056" s="5">
        <f t="shared" si="130"/>
        <v>0.49494949494949497</v>
      </c>
      <c r="T1056" s="5">
        <f t="shared" si="131"/>
        <v>8.1632653061224483E-2</v>
      </c>
      <c r="U1056" s="5">
        <f t="shared" si="132"/>
        <v>3.0800821355236141E-3</v>
      </c>
      <c r="V1056" s="6">
        <f t="shared" si="133"/>
        <v>2.703061224489796</v>
      </c>
      <c r="W1056" s="7">
        <f t="shared" si="134"/>
        <v>1.3378787878787879</v>
      </c>
      <c r="X1056" s="5">
        <f t="shared" si="135"/>
        <v>46.180269284006549</v>
      </c>
    </row>
    <row r="1057" spans="1:24" x14ac:dyDescent="0.35">
      <c r="A1057" s="3">
        <v>46196</v>
      </c>
      <c r="B1057" t="s">
        <v>1390</v>
      </c>
      <c r="C1057" t="s">
        <v>1510</v>
      </c>
      <c r="D1057" t="s">
        <v>18</v>
      </c>
      <c r="E1057" t="s">
        <v>56</v>
      </c>
      <c r="F1057" t="s">
        <v>26</v>
      </c>
      <c r="G1057" t="s">
        <v>36</v>
      </c>
      <c r="H1057" t="s">
        <v>28</v>
      </c>
      <c r="I1057">
        <v>1329</v>
      </c>
      <c r="J1057">
        <v>1003</v>
      </c>
      <c r="K1057">
        <v>902</v>
      </c>
      <c r="L1057">
        <v>83</v>
      </c>
      <c r="M1057">
        <v>50</v>
      </c>
      <c r="N1057">
        <v>3</v>
      </c>
      <c r="O1057">
        <v>137.69</v>
      </c>
      <c r="P1057">
        <v>2271.48</v>
      </c>
      <c r="Q1057" s="5">
        <f t="shared" si="128"/>
        <v>0.89930209371884351</v>
      </c>
      <c r="R1057" s="5">
        <f t="shared" si="129"/>
        <v>9.2017738359201767E-2</v>
      </c>
      <c r="S1057" s="5">
        <f t="shared" si="130"/>
        <v>0.60240963855421692</v>
      </c>
      <c r="T1057" s="5">
        <f t="shared" si="131"/>
        <v>0.06</v>
      </c>
      <c r="U1057" s="5">
        <f t="shared" si="132"/>
        <v>3.3259423503325942E-3</v>
      </c>
      <c r="V1057" s="6">
        <f t="shared" si="133"/>
        <v>2.7538</v>
      </c>
      <c r="W1057" s="7">
        <f t="shared" si="134"/>
        <v>1.6589156626506023</v>
      </c>
      <c r="X1057" s="5">
        <f t="shared" si="135"/>
        <v>15.497058609920837</v>
      </c>
    </row>
    <row r="1058" spans="1:24" x14ac:dyDescent="0.35">
      <c r="A1058" s="3">
        <v>46196</v>
      </c>
      <c r="B1058" t="s">
        <v>1488</v>
      </c>
      <c r="C1058" t="s">
        <v>1511</v>
      </c>
      <c r="D1058" t="s">
        <v>40</v>
      </c>
      <c r="E1058" t="s">
        <v>19</v>
      </c>
      <c r="F1058" t="s">
        <v>26</v>
      </c>
      <c r="G1058" t="s">
        <v>59</v>
      </c>
      <c r="H1058" t="s">
        <v>51</v>
      </c>
      <c r="I1058">
        <v>2903</v>
      </c>
      <c r="J1058">
        <v>2516</v>
      </c>
      <c r="K1058">
        <v>2402</v>
      </c>
      <c r="L1058">
        <v>67</v>
      </c>
      <c r="M1058">
        <v>42</v>
      </c>
      <c r="N1058">
        <v>1</v>
      </c>
      <c r="O1058">
        <v>395.28</v>
      </c>
      <c r="P1058">
        <v>901.94</v>
      </c>
      <c r="Q1058" s="5">
        <f t="shared" si="128"/>
        <v>0.95468998410174877</v>
      </c>
      <c r="R1058" s="5">
        <f t="shared" si="129"/>
        <v>2.7893422148209824E-2</v>
      </c>
      <c r="S1058" s="5">
        <f t="shared" si="130"/>
        <v>0.62686567164179108</v>
      </c>
      <c r="T1058" s="5">
        <f t="shared" si="131"/>
        <v>2.3809523809523808E-2</v>
      </c>
      <c r="U1058" s="5">
        <f t="shared" si="132"/>
        <v>4.1631973355537054E-4</v>
      </c>
      <c r="V1058" s="6">
        <f t="shared" si="133"/>
        <v>9.411428571428571</v>
      </c>
      <c r="W1058" s="7">
        <f t="shared" si="134"/>
        <v>5.8997014925373135</v>
      </c>
      <c r="X1058" s="5">
        <f t="shared" si="135"/>
        <v>1.2817749443432507</v>
      </c>
    </row>
    <row r="1059" spans="1:24" x14ac:dyDescent="0.35">
      <c r="A1059" s="3">
        <v>46196</v>
      </c>
      <c r="B1059" t="s">
        <v>1338</v>
      </c>
      <c r="C1059" t="s">
        <v>1512</v>
      </c>
      <c r="D1059" t="s">
        <v>34</v>
      </c>
      <c r="E1059" t="s">
        <v>19</v>
      </c>
      <c r="F1059" t="s">
        <v>26</v>
      </c>
      <c r="G1059" t="s">
        <v>36</v>
      </c>
      <c r="H1059" t="s">
        <v>48</v>
      </c>
      <c r="I1059">
        <v>975</v>
      </c>
      <c r="J1059">
        <v>926</v>
      </c>
      <c r="K1059">
        <v>868</v>
      </c>
      <c r="L1059">
        <v>18</v>
      </c>
      <c r="M1059">
        <v>9</v>
      </c>
      <c r="N1059">
        <v>0</v>
      </c>
      <c r="O1059">
        <v>72.010000000000005</v>
      </c>
      <c r="P1059">
        <v>0</v>
      </c>
      <c r="Q1059" s="5">
        <f t="shared" si="128"/>
        <v>0.93736501079913603</v>
      </c>
      <c r="R1059" s="5">
        <f t="shared" si="129"/>
        <v>2.0737327188940093E-2</v>
      </c>
      <c r="S1059" s="5">
        <f t="shared" si="130"/>
        <v>0.5</v>
      </c>
      <c r="T1059" s="5">
        <f t="shared" si="131"/>
        <v>0</v>
      </c>
      <c r="U1059" s="5">
        <f t="shared" si="132"/>
        <v>0</v>
      </c>
      <c r="V1059" s="6">
        <f t="shared" si="133"/>
        <v>8.0011111111111113</v>
      </c>
      <c r="W1059" s="7">
        <f t="shared" si="134"/>
        <v>4.0005555555555556</v>
      </c>
      <c r="X1059" s="5">
        <f t="shared" si="135"/>
        <v>-1</v>
      </c>
    </row>
    <row r="1060" spans="1:24" x14ac:dyDescent="0.35">
      <c r="A1060" s="3">
        <v>46196</v>
      </c>
      <c r="B1060" t="s">
        <v>1340</v>
      </c>
      <c r="C1060" t="s">
        <v>1513</v>
      </c>
      <c r="D1060" t="s">
        <v>18</v>
      </c>
      <c r="E1060" t="s">
        <v>35</v>
      </c>
      <c r="F1060" t="s">
        <v>20</v>
      </c>
      <c r="G1060" t="s">
        <v>41</v>
      </c>
      <c r="H1060" t="s">
        <v>37</v>
      </c>
      <c r="I1060">
        <v>684</v>
      </c>
      <c r="J1060">
        <v>521</v>
      </c>
      <c r="K1060">
        <v>468</v>
      </c>
      <c r="L1060">
        <v>31</v>
      </c>
      <c r="M1060">
        <v>18</v>
      </c>
      <c r="N1060">
        <v>1</v>
      </c>
      <c r="O1060">
        <v>54.38</v>
      </c>
      <c r="P1060">
        <v>759.07</v>
      </c>
      <c r="Q1060" s="5">
        <f t="shared" si="128"/>
        <v>0.89827255278310936</v>
      </c>
      <c r="R1060" s="5">
        <f t="shared" si="129"/>
        <v>6.623931623931624E-2</v>
      </c>
      <c r="S1060" s="5">
        <f t="shared" si="130"/>
        <v>0.58064516129032262</v>
      </c>
      <c r="T1060" s="5">
        <f t="shared" si="131"/>
        <v>5.5555555555555552E-2</v>
      </c>
      <c r="U1060" s="5">
        <f t="shared" si="132"/>
        <v>2.136752136752137E-3</v>
      </c>
      <c r="V1060" s="6">
        <f t="shared" si="133"/>
        <v>3.0211111111111113</v>
      </c>
      <c r="W1060" s="7">
        <f t="shared" si="134"/>
        <v>1.754193548387097</v>
      </c>
      <c r="X1060" s="5">
        <f t="shared" si="135"/>
        <v>12.958624494299375</v>
      </c>
    </row>
    <row r="1061" spans="1:24" x14ac:dyDescent="0.35">
      <c r="A1061" s="3">
        <v>46196</v>
      </c>
      <c r="B1061" t="s">
        <v>1514</v>
      </c>
      <c r="C1061" t="s">
        <v>1515</v>
      </c>
      <c r="D1061" t="s">
        <v>34</v>
      </c>
      <c r="E1061" t="s">
        <v>19</v>
      </c>
      <c r="F1061" t="s">
        <v>26</v>
      </c>
      <c r="G1061" t="s">
        <v>27</v>
      </c>
      <c r="H1061" t="s">
        <v>51</v>
      </c>
      <c r="I1061">
        <v>4714</v>
      </c>
      <c r="J1061">
        <v>4081</v>
      </c>
      <c r="K1061">
        <v>3827</v>
      </c>
      <c r="L1061">
        <v>97</v>
      </c>
      <c r="M1061">
        <v>60</v>
      </c>
      <c r="N1061">
        <v>1</v>
      </c>
      <c r="O1061">
        <v>294.63</v>
      </c>
      <c r="P1061">
        <v>1336.97</v>
      </c>
      <c r="Q1061" s="5">
        <f t="shared" si="128"/>
        <v>0.9377603528546925</v>
      </c>
      <c r="R1061" s="5">
        <f t="shared" si="129"/>
        <v>2.5346224196498564E-2</v>
      </c>
      <c r="S1061" s="5">
        <f t="shared" si="130"/>
        <v>0.61855670103092786</v>
      </c>
      <c r="T1061" s="5">
        <f t="shared" si="131"/>
        <v>1.6666666666666666E-2</v>
      </c>
      <c r="U1061" s="5">
        <f t="shared" si="132"/>
        <v>2.6130128037627382E-4</v>
      </c>
      <c r="V1061" s="6">
        <f t="shared" si="133"/>
        <v>4.9104999999999999</v>
      </c>
      <c r="W1061" s="7">
        <f t="shared" si="134"/>
        <v>3.0374226804123712</v>
      </c>
      <c r="X1061" s="5">
        <f t="shared" si="135"/>
        <v>3.5377931643077765</v>
      </c>
    </row>
    <row r="1062" spans="1:24" x14ac:dyDescent="0.35">
      <c r="A1062" s="3">
        <v>46196</v>
      </c>
      <c r="B1062" t="s">
        <v>1376</v>
      </c>
      <c r="C1062" t="s">
        <v>1516</v>
      </c>
      <c r="D1062" t="s">
        <v>31</v>
      </c>
      <c r="E1062" t="s">
        <v>35</v>
      </c>
      <c r="F1062" t="s">
        <v>26</v>
      </c>
      <c r="G1062" t="s">
        <v>41</v>
      </c>
      <c r="H1062" t="s">
        <v>51</v>
      </c>
      <c r="I1062">
        <v>2027</v>
      </c>
      <c r="J1062">
        <v>1790</v>
      </c>
      <c r="K1062">
        <v>1704</v>
      </c>
      <c r="L1062">
        <v>123</v>
      </c>
      <c r="M1062">
        <v>65</v>
      </c>
      <c r="N1062">
        <v>7</v>
      </c>
      <c r="O1062">
        <v>307.76</v>
      </c>
      <c r="P1062">
        <v>7710.73</v>
      </c>
      <c r="Q1062" s="5">
        <f t="shared" si="128"/>
        <v>0.95195530726256983</v>
      </c>
      <c r="R1062" s="5">
        <f t="shared" si="129"/>
        <v>7.2183098591549297E-2</v>
      </c>
      <c r="S1062" s="5">
        <f t="shared" si="130"/>
        <v>0.52845528455284552</v>
      </c>
      <c r="T1062" s="5">
        <f t="shared" si="131"/>
        <v>0.1076923076923077</v>
      </c>
      <c r="U1062" s="5">
        <f t="shared" si="132"/>
        <v>4.1079812206572773E-3</v>
      </c>
      <c r="V1062" s="6">
        <f t="shared" si="133"/>
        <v>4.7347692307692304</v>
      </c>
      <c r="W1062" s="7">
        <f t="shared" si="134"/>
        <v>2.5021138211382112</v>
      </c>
      <c r="X1062" s="5">
        <f t="shared" si="135"/>
        <v>24.054360540681049</v>
      </c>
    </row>
    <row r="1063" spans="1:24" x14ac:dyDescent="0.35">
      <c r="A1063" s="3">
        <v>46197</v>
      </c>
      <c r="B1063" t="s">
        <v>1387</v>
      </c>
      <c r="C1063" t="s">
        <v>1517</v>
      </c>
      <c r="D1063" t="s">
        <v>40</v>
      </c>
      <c r="E1063" t="s">
        <v>35</v>
      </c>
      <c r="F1063" t="s">
        <v>20</v>
      </c>
      <c r="G1063" t="s">
        <v>59</v>
      </c>
      <c r="H1063" t="s">
        <v>28</v>
      </c>
      <c r="I1063">
        <v>1524</v>
      </c>
      <c r="J1063">
        <v>1310</v>
      </c>
      <c r="K1063">
        <v>1238</v>
      </c>
      <c r="L1063">
        <v>87</v>
      </c>
      <c r="M1063">
        <v>36</v>
      </c>
      <c r="N1063">
        <v>2</v>
      </c>
      <c r="O1063">
        <v>210.66</v>
      </c>
      <c r="P1063">
        <v>2837.24</v>
      </c>
      <c r="Q1063" s="5">
        <f t="shared" si="128"/>
        <v>0.94503816793893125</v>
      </c>
      <c r="R1063" s="5">
        <f t="shared" si="129"/>
        <v>7.027463651050081E-2</v>
      </c>
      <c r="S1063" s="5">
        <f t="shared" si="130"/>
        <v>0.41379310344827586</v>
      </c>
      <c r="T1063" s="5">
        <f t="shared" si="131"/>
        <v>5.5555555555555552E-2</v>
      </c>
      <c r="U1063" s="5">
        <f t="shared" si="132"/>
        <v>1.6155088852988692E-3</v>
      </c>
      <c r="V1063" s="6">
        <f t="shared" si="133"/>
        <v>5.8516666666666666</v>
      </c>
      <c r="W1063" s="7">
        <f t="shared" si="134"/>
        <v>2.4213793103448276</v>
      </c>
      <c r="X1063" s="5">
        <f t="shared" si="135"/>
        <v>12.46833760562043</v>
      </c>
    </row>
    <row r="1064" spans="1:24" x14ac:dyDescent="0.35">
      <c r="A1064" s="3">
        <v>46197</v>
      </c>
      <c r="B1064" t="s">
        <v>1446</v>
      </c>
      <c r="C1064" t="s">
        <v>1518</v>
      </c>
      <c r="D1064" t="s">
        <v>34</v>
      </c>
      <c r="E1064" t="s">
        <v>35</v>
      </c>
      <c r="F1064" t="s">
        <v>20</v>
      </c>
      <c r="G1064" t="s">
        <v>21</v>
      </c>
      <c r="H1064" t="s">
        <v>37</v>
      </c>
      <c r="I1064">
        <v>4076</v>
      </c>
      <c r="J1064">
        <v>3707</v>
      </c>
      <c r="K1064">
        <v>3568</v>
      </c>
      <c r="L1064">
        <v>244</v>
      </c>
      <c r="M1064">
        <v>106</v>
      </c>
      <c r="N1064">
        <v>6</v>
      </c>
      <c r="O1064">
        <v>302.94</v>
      </c>
      <c r="P1064">
        <v>4961.5600000000004</v>
      </c>
      <c r="Q1064" s="5">
        <f t="shared" si="128"/>
        <v>0.962503371998921</v>
      </c>
      <c r="R1064" s="5">
        <f t="shared" si="129"/>
        <v>6.838565022421525E-2</v>
      </c>
      <c r="S1064" s="5">
        <f t="shared" si="130"/>
        <v>0.4344262295081967</v>
      </c>
      <c r="T1064" s="5">
        <f t="shared" si="131"/>
        <v>5.6603773584905662E-2</v>
      </c>
      <c r="U1064" s="5">
        <f t="shared" si="132"/>
        <v>1.6816143497757848E-3</v>
      </c>
      <c r="V1064" s="6">
        <f t="shared" si="133"/>
        <v>2.8579245283018868</v>
      </c>
      <c r="W1064" s="7">
        <f t="shared" si="134"/>
        <v>1.2415573770491803</v>
      </c>
      <c r="X1064" s="5">
        <f t="shared" si="135"/>
        <v>15.378028652538459</v>
      </c>
    </row>
    <row r="1065" spans="1:24" x14ac:dyDescent="0.35">
      <c r="A1065" s="3">
        <v>46197</v>
      </c>
      <c r="B1065" t="s">
        <v>1519</v>
      </c>
      <c r="C1065" t="s">
        <v>1520</v>
      </c>
      <c r="D1065" t="s">
        <v>18</v>
      </c>
      <c r="E1065" t="s">
        <v>35</v>
      </c>
      <c r="F1065" t="s">
        <v>26</v>
      </c>
      <c r="G1065" t="s">
        <v>41</v>
      </c>
      <c r="H1065" t="s">
        <v>51</v>
      </c>
      <c r="I1065">
        <v>640</v>
      </c>
      <c r="J1065">
        <v>485</v>
      </c>
      <c r="K1065">
        <v>432</v>
      </c>
      <c r="L1065">
        <v>47</v>
      </c>
      <c r="M1065">
        <v>29</v>
      </c>
      <c r="N1065">
        <v>3</v>
      </c>
      <c r="O1065">
        <v>54.03</v>
      </c>
      <c r="P1065">
        <v>3413.32</v>
      </c>
      <c r="Q1065" s="5">
        <f t="shared" si="128"/>
        <v>0.89072164948453614</v>
      </c>
      <c r="R1065" s="5">
        <f t="shared" si="129"/>
        <v>0.10879629629629629</v>
      </c>
      <c r="S1065" s="5">
        <f t="shared" si="130"/>
        <v>0.61702127659574468</v>
      </c>
      <c r="T1065" s="5">
        <f t="shared" si="131"/>
        <v>0.10344827586206896</v>
      </c>
      <c r="U1065" s="5">
        <f t="shared" si="132"/>
        <v>6.9444444444444441E-3</v>
      </c>
      <c r="V1065" s="6">
        <f t="shared" si="133"/>
        <v>1.8631034482758622</v>
      </c>
      <c r="W1065" s="7">
        <f t="shared" si="134"/>
        <v>1.1495744680851063</v>
      </c>
      <c r="X1065" s="5">
        <f t="shared" si="135"/>
        <v>62.174532667036829</v>
      </c>
    </row>
    <row r="1066" spans="1:24" x14ac:dyDescent="0.35">
      <c r="A1066" s="3">
        <v>46197</v>
      </c>
      <c r="B1066" t="s">
        <v>1514</v>
      </c>
      <c r="C1066" t="s">
        <v>1521</v>
      </c>
      <c r="D1066" t="s">
        <v>18</v>
      </c>
      <c r="E1066" t="s">
        <v>56</v>
      </c>
      <c r="F1066" t="s">
        <v>20</v>
      </c>
      <c r="G1066" t="s">
        <v>59</v>
      </c>
      <c r="H1066" t="s">
        <v>51</v>
      </c>
      <c r="I1066">
        <v>1192</v>
      </c>
      <c r="J1066">
        <v>964</v>
      </c>
      <c r="K1066">
        <v>866</v>
      </c>
      <c r="L1066">
        <v>58</v>
      </c>
      <c r="M1066">
        <v>27</v>
      </c>
      <c r="N1066">
        <v>1</v>
      </c>
      <c r="O1066">
        <v>110.73</v>
      </c>
      <c r="P1066">
        <v>1050.69</v>
      </c>
      <c r="Q1066" s="5">
        <f t="shared" si="128"/>
        <v>0.89834024896265563</v>
      </c>
      <c r="R1066" s="5">
        <f t="shared" si="129"/>
        <v>6.6974595842956119E-2</v>
      </c>
      <c r="S1066" s="5">
        <f t="shared" si="130"/>
        <v>0.46551724137931033</v>
      </c>
      <c r="T1066" s="5">
        <f t="shared" si="131"/>
        <v>3.7037037037037035E-2</v>
      </c>
      <c r="U1066" s="5">
        <f t="shared" si="132"/>
        <v>1.1547344110854503E-3</v>
      </c>
      <c r="V1066" s="6">
        <f t="shared" si="133"/>
        <v>4.1011111111111109</v>
      </c>
      <c r="W1066" s="7">
        <f t="shared" si="134"/>
        <v>1.9091379310344829</v>
      </c>
      <c r="X1066" s="5">
        <f t="shared" si="135"/>
        <v>8.4887564345705773</v>
      </c>
    </row>
    <row r="1067" spans="1:24" x14ac:dyDescent="0.35">
      <c r="A1067" s="3">
        <v>46198</v>
      </c>
      <c r="B1067" t="s">
        <v>1316</v>
      </c>
      <c r="C1067" t="s">
        <v>1522</v>
      </c>
      <c r="D1067" t="s">
        <v>31</v>
      </c>
      <c r="E1067" t="s">
        <v>19</v>
      </c>
      <c r="F1067" t="s">
        <v>20</v>
      </c>
      <c r="G1067" t="s">
        <v>59</v>
      </c>
      <c r="H1067" t="s">
        <v>48</v>
      </c>
      <c r="I1067">
        <v>491</v>
      </c>
      <c r="J1067">
        <v>424</v>
      </c>
      <c r="K1067">
        <v>406</v>
      </c>
      <c r="L1067">
        <v>4</v>
      </c>
      <c r="M1067">
        <v>1</v>
      </c>
      <c r="N1067">
        <v>0</v>
      </c>
      <c r="O1067">
        <v>81.290000000000006</v>
      </c>
      <c r="P1067">
        <v>0</v>
      </c>
      <c r="Q1067" s="5">
        <f t="shared" si="128"/>
        <v>0.95754716981132071</v>
      </c>
      <c r="R1067" s="5">
        <f t="shared" si="129"/>
        <v>9.852216748768473E-3</v>
      </c>
      <c r="S1067" s="5">
        <f t="shared" si="130"/>
        <v>0.25</v>
      </c>
      <c r="T1067" s="5">
        <f t="shared" si="131"/>
        <v>0</v>
      </c>
      <c r="U1067" s="5">
        <f t="shared" si="132"/>
        <v>0</v>
      </c>
      <c r="V1067" s="6">
        <f t="shared" si="133"/>
        <v>81.290000000000006</v>
      </c>
      <c r="W1067" s="7">
        <f t="shared" si="134"/>
        <v>20.322500000000002</v>
      </c>
      <c r="X1067" s="5">
        <f t="shared" si="135"/>
        <v>-1</v>
      </c>
    </row>
    <row r="1068" spans="1:24" x14ac:dyDescent="0.35">
      <c r="A1068" s="3">
        <v>46198</v>
      </c>
      <c r="B1068" t="s">
        <v>1349</v>
      </c>
      <c r="C1068" t="s">
        <v>1523</v>
      </c>
      <c r="D1068" t="s">
        <v>18</v>
      </c>
      <c r="E1068" t="s">
        <v>25</v>
      </c>
      <c r="F1068" t="s">
        <v>26</v>
      </c>
      <c r="G1068" t="s">
        <v>41</v>
      </c>
      <c r="H1068" t="s">
        <v>22</v>
      </c>
      <c r="I1068">
        <v>4784</v>
      </c>
      <c r="J1068">
        <v>3614</v>
      </c>
      <c r="K1068">
        <v>3225</v>
      </c>
      <c r="L1068">
        <v>207</v>
      </c>
      <c r="M1068">
        <v>128</v>
      </c>
      <c r="N1068">
        <v>6</v>
      </c>
      <c r="O1068">
        <v>395.17</v>
      </c>
      <c r="P1068">
        <v>8648.14</v>
      </c>
      <c r="Q1068" s="5">
        <f t="shared" si="128"/>
        <v>0.89236303265080241</v>
      </c>
      <c r="R1068" s="5">
        <f t="shared" si="129"/>
        <v>6.4186046511627903E-2</v>
      </c>
      <c r="S1068" s="5">
        <f t="shared" si="130"/>
        <v>0.61835748792270528</v>
      </c>
      <c r="T1068" s="5">
        <f t="shared" si="131"/>
        <v>4.6875E-2</v>
      </c>
      <c r="U1068" s="5">
        <f t="shared" si="132"/>
        <v>1.8604651162790699E-3</v>
      </c>
      <c r="V1068" s="6">
        <f t="shared" si="133"/>
        <v>3.0872656250000001</v>
      </c>
      <c r="W1068" s="7">
        <f t="shared" si="134"/>
        <v>1.9090338164251208</v>
      </c>
      <c r="X1068" s="5">
        <f t="shared" si="135"/>
        <v>20.884606624996835</v>
      </c>
    </row>
    <row r="1069" spans="1:24" x14ac:dyDescent="0.35">
      <c r="A1069" s="3">
        <v>46198</v>
      </c>
      <c r="B1069" t="s">
        <v>1359</v>
      </c>
      <c r="C1069" t="s">
        <v>1524</v>
      </c>
      <c r="D1069" t="s">
        <v>40</v>
      </c>
      <c r="E1069" t="s">
        <v>56</v>
      </c>
      <c r="F1069" t="s">
        <v>20</v>
      </c>
      <c r="G1069" t="s">
        <v>36</v>
      </c>
      <c r="H1069" t="s">
        <v>22</v>
      </c>
      <c r="I1069">
        <v>4668</v>
      </c>
      <c r="J1069">
        <v>4611</v>
      </c>
      <c r="K1069">
        <v>4321</v>
      </c>
      <c r="L1069">
        <v>261</v>
      </c>
      <c r="M1069">
        <v>129</v>
      </c>
      <c r="N1069">
        <v>6</v>
      </c>
      <c r="O1069">
        <v>654.61</v>
      </c>
      <c r="P1069">
        <v>7743.89</v>
      </c>
      <c r="Q1069" s="5">
        <f t="shared" si="128"/>
        <v>0.93710691823899372</v>
      </c>
      <c r="R1069" s="5">
        <f t="shared" si="129"/>
        <v>6.0402684563758392E-2</v>
      </c>
      <c r="S1069" s="5">
        <f t="shared" si="130"/>
        <v>0.4942528735632184</v>
      </c>
      <c r="T1069" s="5">
        <f t="shared" si="131"/>
        <v>4.6511627906976744E-2</v>
      </c>
      <c r="U1069" s="5">
        <f t="shared" si="132"/>
        <v>1.388567461235825E-3</v>
      </c>
      <c r="V1069" s="6">
        <f t="shared" si="133"/>
        <v>5.0744961240310076</v>
      </c>
      <c r="W1069" s="7">
        <f t="shared" si="134"/>
        <v>2.5080842911877395</v>
      </c>
      <c r="X1069" s="5">
        <f t="shared" si="135"/>
        <v>10.829776508149891</v>
      </c>
    </row>
    <row r="1070" spans="1:24" x14ac:dyDescent="0.35">
      <c r="A1070" s="3">
        <v>46198</v>
      </c>
      <c r="B1070" t="s">
        <v>1354</v>
      </c>
      <c r="C1070" t="s">
        <v>1525</v>
      </c>
      <c r="D1070" t="s">
        <v>34</v>
      </c>
      <c r="E1070" t="s">
        <v>56</v>
      </c>
      <c r="F1070" t="s">
        <v>20</v>
      </c>
      <c r="G1070" t="s">
        <v>59</v>
      </c>
      <c r="H1070" t="s">
        <v>22</v>
      </c>
      <c r="I1070">
        <v>2885</v>
      </c>
      <c r="J1070">
        <v>2809</v>
      </c>
      <c r="K1070">
        <v>2559</v>
      </c>
      <c r="L1070">
        <v>109</v>
      </c>
      <c r="M1070">
        <v>56</v>
      </c>
      <c r="N1070">
        <v>4</v>
      </c>
      <c r="O1070">
        <v>258.98</v>
      </c>
      <c r="P1070">
        <v>3336.59</v>
      </c>
      <c r="Q1070" s="5">
        <f t="shared" si="128"/>
        <v>0.91100035599857598</v>
      </c>
      <c r="R1070" s="5">
        <f t="shared" si="129"/>
        <v>4.259476357952325E-2</v>
      </c>
      <c r="S1070" s="5">
        <f t="shared" si="130"/>
        <v>0.51376146788990829</v>
      </c>
      <c r="T1070" s="5">
        <f t="shared" si="131"/>
        <v>7.1428571428571425E-2</v>
      </c>
      <c r="U1070" s="5">
        <f t="shared" si="132"/>
        <v>1.5631105900742479E-3</v>
      </c>
      <c r="V1070" s="6">
        <f t="shared" si="133"/>
        <v>4.6246428571428577</v>
      </c>
      <c r="W1070" s="7">
        <f t="shared" si="134"/>
        <v>2.3759633027522939</v>
      </c>
      <c r="X1070" s="5">
        <f t="shared" si="135"/>
        <v>11.883581743763997</v>
      </c>
    </row>
    <row r="1071" spans="1:24" x14ac:dyDescent="0.35">
      <c r="A1071" s="3">
        <v>46198</v>
      </c>
      <c r="B1071" t="s">
        <v>1405</v>
      </c>
      <c r="C1071" t="s">
        <v>1526</v>
      </c>
      <c r="D1071" t="s">
        <v>34</v>
      </c>
      <c r="E1071" t="s">
        <v>19</v>
      </c>
      <c r="F1071" t="s">
        <v>20</v>
      </c>
      <c r="G1071" t="s">
        <v>59</v>
      </c>
      <c r="H1071" t="s">
        <v>48</v>
      </c>
      <c r="I1071">
        <v>564</v>
      </c>
      <c r="J1071">
        <v>427</v>
      </c>
      <c r="K1071">
        <v>396</v>
      </c>
      <c r="L1071">
        <v>4</v>
      </c>
      <c r="M1071">
        <v>2</v>
      </c>
      <c r="N1071">
        <v>0</v>
      </c>
      <c r="O1071">
        <v>38.44</v>
      </c>
      <c r="P1071">
        <v>0</v>
      </c>
      <c r="Q1071" s="5">
        <f t="shared" si="128"/>
        <v>0.92740046838407497</v>
      </c>
      <c r="R1071" s="5">
        <f t="shared" si="129"/>
        <v>1.0101010101010102E-2</v>
      </c>
      <c r="S1071" s="5">
        <f t="shared" si="130"/>
        <v>0.5</v>
      </c>
      <c r="T1071" s="5">
        <f t="shared" si="131"/>
        <v>0</v>
      </c>
      <c r="U1071" s="5">
        <f t="shared" si="132"/>
        <v>0</v>
      </c>
      <c r="V1071" s="6">
        <f t="shared" si="133"/>
        <v>19.22</v>
      </c>
      <c r="W1071" s="7">
        <f t="shared" si="134"/>
        <v>9.61</v>
      </c>
      <c r="X1071" s="5">
        <f t="shared" si="135"/>
        <v>-1</v>
      </c>
    </row>
    <row r="1072" spans="1:24" x14ac:dyDescent="0.35">
      <c r="A1072" s="3">
        <v>46198</v>
      </c>
      <c r="B1072" t="s">
        <v>1399</v>
      </c>
      <c r="C1072" t="s">
        <v>1527</v>
      </c>
      <c r="D1072" t="s">
        <v>18</v>
      </c>
      <c r="E1072" t="s">
        <v>35</v>
      </c>
      <c r="F1072" t="s">
        <v>20</v>
      </c>
      <c r="G1072" t="s">
        <v>27</v>
      </c>
      <c r="H1072" t="s">
        <v>51</v>
      </c>
      <c r="I1072">
        <v>1346</v>
      </c>
      <c r="J1072">
        <v>1095</v>
      </c>
      <c r="K1072">
        <v>1003</v>
      </c>
      <c r="L1072">
        <v>86</v>
      </c>
      <c r="M1072">
        <v>41</v>
      </c>
      <c r="N1072">
        <v>3</v>
      </c>
      <c r="O1072">
        <v>146.32</v>
      </c>
      <c r="P1072">
        <v>4136.8999999999996</v>
      </c>
      <c r="Q1072" s="5">
        <f t="shared" si="128"/>
        <v>0.9159817351598174</v>
      </c>
      <c r="R1072" s="5">
        <f t="shared" si="129"/>
        <v>8.5742771684945165E-2</v>
      </c>
      <c r="S1072" s="5">
        <f t="shared" si="130"/>
        <v>0.47674418604651164</v>
      </c>
      <c r="T1072" s="5">
        <f t="shared" si="131"/>
        <v>7.3170731707317069E-2</v>
      </c>
      <c r="U1072" s="5">
        <f t="shared" si="132"/>
        <v>2.9910269192422734E-3</v>
      </c>
      <c r="V1072" s="6">
        <f t="shared" si="133"/>
        <v>3.5687804878048777</v>
      </c>
      <c r="W1072" s="7">
        <f t="shared" si="134"/>
        <v>1.7013953488372093</v>
      </c>
      <c r="X1072" s="5">
        <f t="shared" si="135"/>
        <v>27.272963367960632</v>
      </c>
    </row>
    <row r="1073" spans="1:24" x14ac:dyDescent="0.35">
      <c r="A1073" s="3">
        <v>46198</v>
      </c>
      <c r="B1073" t="s">
        <v>1433</v>
      </c>
      <c r="C1073" t="s">
        <v>1528</v>
      </c>
      <c r="D1073" t="s">
        <v>31</v>
      </c>
      <c r="E1073" t="s">
        <v>19</v>
      </c>
      <c r="F1073" t="s">
        <v>20</v>
      </c>
      <c r="G1073" t="s">
        <v>27</v>
      </c>
      <c r="H1073" t="s">
        <v>28</v>
      </c>
      <c r="I1073">
        <v>2737</v>
      </c>
      <c r="J1073">
        <v>2665</v>
      </c>
      <c r="K1073">
        <v>2595</v>
      </c>
      <c r="L1073">
        <v>64</v>
      </c>
      <c r="M1073">
        <v>23</v>
      </c>
      <c r="N1073">
        <v>0</v>
      </c>
      <c r="O1073">
        <v>515.14</v>
      </c>
      <c r="P1073">
        <v>0</v>
      </c>
      <c r="Q1073" s="5">
        <f t="shared" si="128"/>
        <v>0.97373358348968109</v>
      </c>
      <c r="R1073" s="5">
        <f t="shared" si="129"/>
        <v>2.4662813102119461E-2</v>
      </c>
      <c r="S1073" s="5">
        <f t="shared" si="130"/>
        <v>0.359375</v>
      </c>
      <c r="T1073" s="5">
        <f t="shared" si="131"/>
        <v>0</v>
      </c>
      <c r="U1073" s="5">
        <f t="shared" si="132"/>
        <v>0</v>
      </c>
      <c r="V1073" s="6">
        <f t="shared" si="133"/>
        <v>22.397391304347824</v>
      </c>
      <c r="W1073" s="7">
        <f t="shared" si="134"/>
        <v>8.0490624999999998</v>
      </c>
      <c r="X1073" s="5">
        <f t="shared" si="135"/>
        <v>-1</v>
      </c>
    </row>
    <row r="1074" spans="1:24" x14ac:dyDescent="0.35">
      <c r="A1074" s="3">
        <v>46199</v>
      </c>
      <c r="B1074" t="s">
        <v>1349</v>
      </c>
      <c r="C1074" t="s">
        <v>1529</v>
      </c>
      <c r="D1074" t="s">
        <v>40</v>
      </c>
      <c r="E1074" t="s">
        <v>19</v>
      </c>
      <c r="F1074" t="s">
        <v>20</v>
      </c>
      <c r="G1074" t="s">
        <v>41</v>
      </c>
      <c r="H1074" t="s">
        <v>22</v>
      </c>
      <c r="I1074">
        <v>1966</v>
      </c>
      <c r="J1074">
        <v>1510</v>
      </c>
      <c r="K1074">
        <v>1388</v>
      </c>
      <c r="L1074">
        <v>32</v>
      </c>
      <c r="M1074">
        <v>15</v>
      </c>
      <c r="N1074">
        <v>0</v>
      </c>
      <c r="O1074">
        <v>248.21</v>
      </c>
      <c r="P1074">
        <v>0</v>
      </c>
      <c r="Q1074" s="5">
        <f t="shared" si="128"/>
        <v>0.91920529801324502</v>
      </c>
      <c r="R1074" s="5">
        <f t="shared" si="129"/>
        <v>2.3054755043227664E-2</v>
      </c>
      <c r="S1074" s="5">
        <f t="shared" si="130"/>
        <v>0.46875</v>
      </c>
      <c r="T1074" s="5">
        <f t="shared" si="131"/>
        <v>0</v>
      </c>
      <c r="U1074" s="5">
        <f t="shared" si="132"/>
        <v>0</v>
      </c>
      <c r="V1074" s="6">
        <f t="shared" si="133"/>
        <v>16.547333333333334</v>
      </c>
      <c r="W1074" s="7">
        <f t="shared" si="134"/>
        <v>7.7565625000000002</v>
      </c>
      <c r="X1074" s="5">
        <f t="shared" si="135"/>
        <v>-1</v>
      </c>
    </row>
    <row r="1075" spans="1:24" x14ac:dyDescent="0.35">
      <c r="A1075" s="3">
        <v>46199</v>
      </c>
      <c r="B1075" t="s">
        <v>1356</v>
      </c>
      <c r="C1075" t="s">
        <v>1530</v>
      </c>
      <c r="D1075" t="s">
        <v>34</v>
      </c>
      <c r="E1075" t="s">
        <v>25</v>
      </c>
      <c r="F1075" t="s">
        <v>20</v>
      </c>
      <c r="G1075" t="s">
        <v>59</v>
      </c>
      <c r="H1075" t="s">
        <v>28</v>
      </c>
      <c r="I1075">
        <v>4189</v>
      </c>
      <c r="J1075">
        <v>3890</v>
      </c>
      <c r="K1075">
        <v>3632</v>
      </c>
      <c r="L1075">
        <v>111</v>
      </c>
      <c r="M1075">
        <v>40</v>
      </c>
      <c r="N1075">
        <v>1</v>
      </c>
      <c r="O1075">
        <v>291.47000000000003</v>
      </c>
      <c r="P1075">
        <v>1166.19</v>
      </c>
      <c r="Q1075" s="5">
        <f t="shared" si="128"/>
        <v>0.93367609254498718</v>
      </c>
      <c r="R1075" s="5">
        <f t="shared" si="129"/>
        <v>3.0561674008810574E-2</v>
      </c>
      <c r="S1075" s="5">
        <f t="shared" si="130"/>
        <v>0.36036036036036034</v>
      </c>
      <c r="T1075" s="5">
        <f t="shared" si="131"/>
        <v>2.5000000000000001E-2</v>
      </c>
      <c r="U1075" s="5">
        <f t="shared" si="132"/>
        <v>2.7533039647577095E-4</v>
      </c>
      <c r="V1075" s="6">
        <f t="shared" si="133"/>
        <v>7.2867500000000005</v>
      </c>
      <c r="W1075" s="7">
        <f t="shared" si="134"/>
        <v>2.625855855855856</v>
      </c>
      <c r="X1075" s="5">
        <f t="shared" si="135"/>
        <v>3.0010635742958107</v>
      </c>
    </row>
    <row r="1076" spans="1:24" x14ac:dyDescent="0.35">
      <c r="A1076" s="3">
        <v>46199</v>
      </c>
      <c r="B1076" t="s">
        <v>1312</v>
      </c>
      <c r="C1076" t="s">
        <v>1531</v>
      </c>
      <c r="D1076" t="s">
        <v>40</v>
      </c>
      <c r="E1076" t="s">
        <v>56</v>
      </c>
      <c r="F1076" t="s">
        <v>26</v>
      </c>
      <c r="G1076" t="s">
        <v>59</v>
      </c>
      <c r="H1076" t="s">
        <v>28</v>
      </c>
      <c r="I1076">
        <v>4899</v>
      </c>
      <c r="J1076">
        <v>3611</v>
      </c>
      <c r="K1076">
        <v>3335</v>
      </c>
      <c r="L1076">
        <v>208</v>
      </c>
      <c r="M1076">
        <v>132</v>
      </c>
      <c r="N1076">
        <v>11</v>
      </c>
      <c r="O1076">
        <v>505.45</v>
      </c>
      <c r="P1076">
        <v>12505.08</v>
      </c>
      <c r="Q1076" s="5">
        <f t="shared" si="128"/>
        <v>0.92356687898089174</v>
      </c>
      <c r="R1076" s="5">
        <f t="shared" si="129"/>
        <v>6.2368815592203898E-2</v>
      </c>
      <c r="S1076" s="5">
        <f t="shared" si="130"/>
        <v>0.63461538461538458</v>
      </c>
      <c r="T1076" s="5">
        <f t="shared" si="131"/>
        <v>8.3333333333333329E-2</v>
      </c>
      <c r="U1076" s="5">
        <f t="shared" si="132"/>
        <v>3.2983508245877061E-3</v>
      </c>
      <c r="V1076" s="6">
        <f t="shared" si="133"/>
        <v>3.8291666666666666</v>
      </c>
      <c r="W1076" s="7">
        <f t="shared" si="134"/>
        <v>2.430048076923077</v>
      </c>
      <c r="X1076" s="5">
        <f t="shared" si="135"/>
        <v>23.740488673459293</v>
      </c>
    </row>
    <row r="1077" spans="1:24" x14ac:dyDescent="0.35">
      <c r="A1077" s="3">
        <v>46199</v>
      </c>
      <c r="B1077" t="s">
        <v>1328</v>
      </c>
      <c r="C1077" t="s">
        <v>1532</v>
      </c>
      <c r="D1077" t="s">
        <v>18</v>
      </c>
      <c r="E1077" t="s">
        <v>25</v>
      </c>
      <c r="F1077" t="s">
        <v>26</v>
      </c>
      <c r="G1077" t="s">
        <v>59</v>
      </c>
      <c r="H1077" t="s">
        <v>22</v>
      </c>
      <c r="I1077">
        <v>1844</v>
      </c>
      <c r="J1077">
        <v>1501</v>
      </c>
      <c r="K1077">
        <v>1413</v>
      </c>
      <c r="L1077">
        <v>82</v>
      </c>
      <c r="M1077">
        <v>53</v>
      </c>
      <c r="N1077">
        <v>2</v>
      </c>
      <c r="O1077">
        <v>175.83</v>
      </c>
      <c r="P1077">
        <v>2911.6</v>
      </c>
      <c r="Q1077" s="5">
        <f t="shared" si="128"/>
        <v>0.94137241838774155</v>
      </c>
      <c r="R1077" s="5">
        <f t="shared" si="129"/>
        <v>5.8032554847841471E-2</v>
      </c>
      <c r="S1077" s="5">
        <f t="shared" si="130"/>
        <v>0.64634146341463417</v>
      </c>
      <c r="T1077" s="5">
        <f t="shared" si="131"/>
        <v>3.7735849056603772E-2</v>
      </c>
      <c r="U1077" s="5">
        <f t="shared" si="132"/>
        <v>1.4154281670205238E-3</v>
      </c>
      <c r="V1077" s="6">
        <f t="shared" si="133"/>
        <v>3.3175471698113208</v>
      </c>
      <c r="W1077" s="7">
        <f t="shared" si="134"/>
        <v>2.1442682926829271</v>
      </c>
      <c r="X1077" s="5">
        <f t="shared" si="135"/>
        <v>15.559176477279189</v>
      </c>
    </row>
    <row r="1078" spans="1:24" x14ac:dyDescent="0.35">
      <c r="A1078" s="3">
        <v>46200</v>
      </c>
      <c r="B1078" t="s">
        <v>1402</v>
      </c>
      <c r="C1078" t="s">
        <v>1533</v>
      </c>
      <c r="D1078" t="s">
        <v>34</v>
      </c>
      <c r="E1078" t="s">
        <v>25</v>
      </c>
      <c r="F1078" t="s">
        <v>20</v>
      </c>
      <c r="G1078" t="s">
        <v>21</v>
      </c>
      <c r="H1078" t="s">
        <v>22</v>
      </c>
      <c r="I1078">
        <v>4190</v>
      </c>
      <c r="J1078">
        <v>3688</v>
      </c>
      <c r="K1078">
        <v>3460</v>
      </c>
      <c r="L1078">
        <v>122</v>
      </c>
      <c r="M1078">
        <v>53</v>
      </c>
      <c r="N1078">
        <v>2</v>
      </c>
      <c r="O1078">
        <v>331.17</v>
      </c>
      <c r="P1078">
        <v>1411.71</v>
      </c>
      <c r="Q1078" s="5">
        <f t="shared" si="128"/>
        <v>0.93817787418655096</v>
      </c>
      <c r="R1078" s="5">
        <f t="shared" si="129"/>
        <v>3.5260115606936419E-2</v>
      </c>
      <c r="S1078" s="5">
        <f t="shared" si="130"/>
        <v>0.4344262295081967</v>
      </c>
      <c r="T1078" s="5">
        <f t="shared" si="131"/>
        <v>3.7735849056603772E-2</v>
      </c>
      <c r="U1078" s="5">
        <f t="shared" si="132"/>
        <v>5.7803468208092489E-4</v>
      </c>
      <c r="V1078" s="6">
        <f t="shared" si="133"/>
        <v>6.2484905660377361</v>
      </c>
      <c r="W1078" s="7">
        <f t="shared" si="134"/>
        <v>2.7145081967213116</v>
      </c>
      <c r="X1078" s="5">
        <f t="shared" si="135"/>
        <v>3.2627955430745534</v>
      </c>
    </row>
    <row r="1079" spans="1:24" x14ac:dyDescent="0.35">
      <c r="A1079" s="3">
        <v>46201</v>
      </c>
      <c r="B1079" t="s">
        <v>1534</v>
      </c>
      <c r="C1079" t="s">
        <v>1535</v>
      </c>
      <c r="D1079" t="s">
        <v>18</v>
      </c>
      <c r="E1079" t="s">
        <v>25</v>
      </c>
      <c r="F1079" t="s">
        <v>26</v>
      </c>
      <c r="G1079" t="s">
        <v>41</v>
      </c>
      <c r="H1079" t="s">
        <v>37</v>
      </c>
      <c r="I1079">
        <v>2883</v>
      </c>
      <c r="J1079">
        <v>2562</v>
      </c>
      <c r="K1079">
        <v>2359</v>
      </c>
      <c r="L1079">
        <v>134</v>
      </c>
      <c r="M1079">
        <v>91</v>
      </c>
      <c r="N1079">
        <v>5</v>
      </c>
      <c r="O1079">
        <v>361.09</v>
      </c>
      <c r="P1079">
        <v>7786.52</v>
      </c>
      <c r="Q1079" s="5">
        <f t="shared" si="128"/>
        <v>0.92076502732240439</v>
      </c>
      <c r="R1079" s="5">
        <f t="shared" si="129"/>
        <v>5.6803730394234843E-2</v>
      </c>
      <c r="S1079" s="5">
        <f t="shared" si="130"/>
        <v>0.67910447761194026</v>
      </c>
      <c r="T1079" s="5">
        <f t="shared" si="131"/>
        <v>5.4945054945054944E-2</v>
      </c>
      <c r="U1079" s="5">
        <f t="shared" si="132"/>
        <v>2.1195421788893598E-3</v>
      </c>
      <c r="V1079" s="6">
        <f t="shared" si="133"/>
        <v>3.9680219780219779</v>
      </c>
      <c r="W1079" s="7">
        <f t="shared" si="134"/>
        <v>2.6947014925373134</v>
      </c>
      <c r="X1079" s="5">
        <f t="shared" si="135"/>
        <v>20.563931429837439</v>
      </c>
    </row>
    <row r="1080" spans="1:24" x14ac:dyDescent="0.35">
      <c r="A1080" s="3">
        <v>46201</v>
      </c>
      <c r="B1080" t="s">
        <v>1519</v>
      </c>
      <c r="C1080" t="s">
        <v>1536</v>
      </c>
      <c r="D1080" t="s">
        <v>40</v>
      </c>
      <c r="E1080" t="s">
        <v>35</v>
      </c>
      <c r="F1080" t="s">
        <v>20</v>
      </c>
      <c r="G1080" t="s">
        <v>21</v>
      </c>
      <c r="H1080" t="s">
        <v>51</v>
      </c>
      <c r="I1080">
        <v>4988</v>
      </c>
      <c r="J1080">
        <v>4529</v>
      </c>
      <c r="K1080">
        <v>4248</v>
      </c>
      <c r="L1080">
        <v>365</v>
      </c>
      <c r="M1080">
        <v>171</v>
      </c>
      <c r="N1080">
        <v>9</v>
      </c>
      <c r="O1080">
        <v>651.67999999999995</v>
      </c>
      <c r="P1080">
        <v>9999.09</v>
      </c>
      <c r="Q1080" s="5">
        <f t="shared" si="128"/>
        <v>0.93795539854272469</v>
      </c>
      <c r="R1080" s="5">
        <f t="shared" si="129"/>
        <v>8.5922787193973629E-2</v>
      </c>
      <c r="S1080" s="5">
        <f t="shared" si="130"/>
        <v>0.46849315068493153</v>
      </c>
      <c r="T1080" s="5">
        <f t="shared" si="131"/>
        <v>5.2631578947368418E-2</v>
      </c>
      <c r="U1080" s="5">
        <f t="shared" si="132"/>
        <v>2.1186440677966102E-3</v>
      </c>
      <c r="V1080" s="6">
        <f t="shared" si="133"/>
        <v>3.8109941520467832</v>
      </c>
      <c r="W1080" s="7">
        <f t="shared" si="134"/>
        <v>1.7854246575342465</v>
      </c>
      <c r="X1080" s="5">
        <f t="shared" si="135"/>
        <v>14.343558188067764</v>
      </c>
    </row>
    <row r="1081" spans="1:24" x14ac:dyDescent="0.35">
      <c r="A1081" s="3">
        <v>46201</v>
      </c>
      <c r="B1081" t="s">
        <v>1457</v>
      </c>
      <c r="C1081" t="s">
        <v>1537</v>
      </c>
      <c r="D1081" t="s">
        <v>34</v>
      </c>
      <c r="E1081" t="s">
        <v>25</v>
      </c>
      <c r="F1081" t="s">
        <v>20</v>
      </c>
      <c r="G1081" t="s">
        <v>36</v>
      </c>
      <c r="H1081" t="s">
        <v>48</v>
      </c>
      <c r="I1081">
        <v>4558</v>
      </c>
      <c r="J1081">
        <v>3636</v>
      </c>
      <c r="K1081">
        <v>3381</v>
      </c>
      <c r="L1081">
        <v>98</v>
      </c>
      <c r="M1081">
        <v>46</v>
      </c>
      <c r="N1081">
        <v>2</v>
      </c>
      <c r="O1081">
        <v>293.98</v>
      </c>
      <c r="P1081">
        <v>2191.69</v>
      </c>
      <c r="Q1081" s="5">
        <f t="shared" si="128"/>
        <v>0.92986798679867988</v>
      </c>
      <c r="R1081" s="5">
        <f t="shared" si="129"/>
        <v>2.8985507246376812E-2</v>
      </c>
      <c r="S1081" s="5">
        <f t="shared" si="130"/>
        <v>0.46938775510204084</v>
      </c>
      <c r="T1081" s="5">
        <f t="shared" si="131"/>
        <v>4.3478260869565216E-2</v>
      </c>
      <c r="U1081" s="5">
        <f t="shared" si="132"/>
        <v>5.9154096421177161E-4</v>
      </c>
      <c r="V1081" s="6">
        <f t="shared" si="133"/>
        <v>6.3908695652173915</v>
      </c>
      <c r="W1081" s="7">
        <f t="shared" si="134"/>
        <v>2.9997959183673473</v>
      </c>
      <c r="X1081" s="5">
        <f t="shared" si="135"/>
        <v>6.4552350500034015</v>
      </c>
    </row>
    <row r="1082" spans="1:24" x14ac:dyDescent="0.35">
      <c r="A1082" s="3">
        <v>46201</v>
      </c>
      <c r="B1082" t="s">
        <v>1420</v>
      </c>
      <c r="C1082" t="s">
        <v>1538</v>
      </c>
      <c r="D1082" t="s">
        <v>34</v>
      </c>
      <c r="E1082" t="s">
        <v>35</v>
      </c>
      <c r="F1082" t="s">
        <v>20</v>
      </c>
      <c r="G1082" t="s">
        <v>41</v>
      </c>
      <c r="H1082" t="s">
        <v>22</v>
      </c>
      <c r="I1082">
        <v>2703</v>
      </c>
      <c r="J1082">
        <v>2367</v>
      </c>
      <c r="K1082">
        <v>2191</v>
      </c>
      <c r="L1082">
        <v>163</v>
      </c>
      <c r="M1082">
        <v>69</v>
      </c>
      <c r="N1082">
        <v>4</v>
      </c>
      <c r="O1082">
        <v>161.07</v>
      </c>
      <c r="P1082">
        <v>3342.13</v>
      </c>
      <c r="Q1082" s="5">
        <f t="shared" si="128"/>
        <v>0.92564427545416139</v>
      </c>
      <c r="R1082" s="5">
        <f t="shared" si="129"/>
        <v>7.4395253308991327E-2</v>
      </c>
      <c r="S1082" s="5">
        <f t="shared" si="130"/>
        <v>0.42331288343558282</v>
      </c>
      <c r="T1082" s="5">
        <f t="shared" si="131"/>
        <v>5.7971014492753624E-2</v>
      </c>
      <c r="U1082" s="5">
        <f t="shared" si="132"/>
        <v>1.8256503879507074E-3</v>
      </c>
      <c r="V1082" s="6">
        <f t="shared" si="133"/>
        <v>2.3343478260869563</v>
      </c>
      <c r="W1082" s="7">
        <f t="shared" si="134"/>
        <v>0.98815950920245399</v>
      </c>
      <c r="X1082" s="5">
        <f t="shared" si="135"/>
        <v>19.749549885143107</v>
      </c>
    </row>
    <row r="1083" spans="1:24" x14ac:dyDescent="0.35">
      <c r="A1083" s="3">
        <v>46202</v>
      </c>
      <c r="B1083" t="s">
        <v>1300</v>
      </c>
      <c r="C1083" t="s">
        <v>1539</v>
      </c>
      <c r="D1083" t="s">
        <v>34</v>
      </c>
      <c r="E1083" t="s">
        <v>56</v>
      </c>
      <c r="F1083" t="s">
        <v>20</v>
      </c>
      <c r="G1083" t="s">
        <v>36</v>
      </c>
      <c r="H1083" t="s">
        <v>48</v>
      </c>
      <c r="I1083">
        <v>3165</v>
      </c>
      <c r="J1083">
        <v>2673</v>
      </c>
      <c r="K1083">
        <v>2470</v>
      </c>
      <c r="L1083">
        <v>127</v>
      </c>
      <c r="M1083">
        <v>53</v>
      </c>
      <c r="N1083">
        <v>3</v>
      </c>
      <c r="O1083">
        <v>249.79</v>
      </c>
      <c r="P1083">
        <v>2466.0500000000002</v>
      </c>
      <c r="Q1083" s="5">
        <f t="shared" si="128"/>
        <v>0.92405536849981296</v>
      </c>
      <c r="R1083" s="5">
        <f t="shared" si="129"/>
        <v>5.1417004048582994E-2</v>
      </c>
      <c r="S1083" s="5">
        <f t="shared" si="130"/>
        <v>0.41732283464566927</v>
      </c>
      <c r="T1083" s="5">
        <f t="shared" si="131"/>
        <v>5.6603773584905662E-2</v>
      </c>
      <c r="U1083" s="5">
        <f t="shared" si="132"/>
        <v>1.2145748987854252E-3</v>
      </c>
      <c r="V1083" s="6">
        <f t="shared" si="133"/>
        <v>4.7130188679245277</v>
      </c>
      <c r="W1083" s="7">
        <f t="shared" si="134"/>
        <v>1.9668503937007873</v>
      </c>
      <c r="X1083" s="5">
        <f t="shared" si="135"/>
        <v>8.8724928940309873</v>
      </c>
    </row>
    <row r="1084" spans="1:24" x14ac:dyDescent="0.35">
      <c r="A1084" s="3">
        <v>46202</v>
      </c>
      <c r="B1084" t="s">
        <v>1306</v>
      </c>
      <c r="C1084" t="s">
        <v>1540</v>
      </c>
      <c r="D1084" t="s">
        <v>34</v>
      </c>
      <c r="E1084" t="s">
        <v>19</v>
      </c>
      <c r="F1084" t="s">
        <v>20</v>
      </c>
      <c r="G1084" t="s">
        <v>41</v>
      </c>
      <c r="H1084" t="s">
        <v>48</v>
      </c>
      <c r="I1084">
        <v>3641</v>
      </c>
      <c r="J1084">
        <v>3368</v>
      </c>
      <c r="K1084">
        <v>3237</v>
      </c>
      <c r="L1084">
        <v>26</v>
      </c>
      <c r="M1084">
        <v>13</v>
      </c>
      <c r="N1084">
        <v>0</v>
      </c>
      <c r="O1084">
        <v>258.69</v>
      </c>
      <c r="P1084">
        <v>0</v>
      </c>
      <c r="Q1084" s="5">
        <f t="shared" si="128"/>
        <v>0.96110451306413303</v>
      </c>
      <c r="R1084" s="5">
        <f t="shared" si="129"/>
        <v>8.0321285140562242E-3</v>
      </c>
      <c r="S1084" s="5">
        <f t="shared" si="130"/>
        <v>0.5</v>
      </c>
      <c r="T1084" s="5">
        <f t="shared" si="131"/>
        <v>0</v>
      </c>
      <c r="U1084" s="5">
        <f t="shared" si="132"/>
        <v>0</v>
      </c>
      <c r="V1084" s="6">
        <f t="shared" si="133"/>
        <v>19.899230769230769</v>
      </c>
      <c r="W1084" s="7">
        <f t="shared" si="134"/>
        <v>9.9496153846153845</v>
      </c>
      <c r="X1084" s="5">
        <f t="shared" si="135"/>
        <v>-1</v>
      </c>
    </row>
    <row r="1085" spans="1:24" x14ac:dyDescent="0.35">
      <c r="A1085" s="3">
        <v>46202</v>
      </c>
      <c r="B1085" t="s">
        <v>1541</v>
      </c>
      <c r="C1085" t="s">
        <v>1542</v>
      </c>
      <c r="D1085" t="s">
        <v>18</v>
      </c>
      <c r="E1085" t="s">
        <v>35</v>
      </c>
      <c r="F1085" t="s">
        <v>20</v>
      </c>
      <c r="G1085" t="s">
        <v>59</v>
      </c>
      <c r="H1085" t="s">
        <v>22</v>
      </c>
      <c r="I1085">
        <v>2128</v>
      </c>
      <c r="J1085">
        <v>1981</v>
      </c>
      <c r="K1085">
        <v>1831</v>
      </c>
      <c r="L1085">
        <v>160</v>
      </c>
      <c r="M1085">
        <v>98</v>
      </c>
      <c r="N1085">
        <v>6</v>
      </c>
      <c r="O1085">
        <v>205.25</v>
      </c>
      <c r="P1085">
        <v>7708.99</v>
      </c>
      <c r="Q1085" s="5">
        <f t="shared" si="128"/>
        <v>0.92428066633013628</v>
      </c>
      <c r="R1085" s="5">
        <f t="shared" si="129"/>
        <v>8.7383943200436923E-2</v>
      </c>
      <c r="S1085" s="5">
        <f t="shared" si="130"/>
        <v>0.61250000000000004</v>
      </c>
      <c r="T1085" s="5">
        <f t="shared" si="131"/>
        <v>6.1224489795918366E-2</v>
      </c>
      <c r="U1085" s="5">
        <f t="shared" si="132"/>
        <v>3.2768978700163844E-3</v>
      </c>
      <c r="V1085" s="6">
        <f t="shared" si="133"/>
        <v>2.0943877551020407</v>
      </c>
      <c r="W1085" s="7">
        <f t="shared" si="134"/>
        <v>1.2828124999999999</v>
      </c>
      <c r="X1085" s="5">
        <f t="shared" si="135"/>
        <v>36.559025578562725</v>
      </c>
    </row>
    <row r="1086" spans="1:24" x14ac:dyDescent="0.35">
      <c r="A1086" s="3">
        <v>46202</v>
      </c>
      <c r="B1086" t="s">
        <v>1466</v>
      </c>
      <c r="C1086" t="s">
        <v>1543</v>
      </c>
      <c r="D1086" t="s">
        <v>18</v>
      </c>
      <c r="E1086" t="s">
        <v>25</v>
      </c>
      <c r="F1086" t="s">
        <v>20</v>
      </c>
      <c r="G1086" t="s">
        <v>21</v>
      </c>
      <c r="H1086" t="s">
        <v>37</v>
      </c>
      <c r="I1086">
        <v>4156</v>
      </c>
      <c r="J1086">
        <v>3830</v>
      </c>
      <c r="K1086">
        <v>3565</v>
      </c>
      <c r="L1086">
        <v>169</v>
      </c>
      <c r="M1086">
        <v>71</v>
      </c>
      <c r="N1086">
        <v>3</v>
      </c>
      <c r="O1086">
        <v>446.27</v>
      </c>
      <c r="P1086">
        <v>2385.83</v>
      </c>
      <c r="Q1086" s="5">
        <f t="shared" si="128"/>
        <v>0.93080939947780683</v>
      </c>
      <c r="R1086" s="5">
        <f t="shared" si="129"/>
        <v>4.7405329593267882E-2</v>
      </c>
      <c r="S1086" s="5">
        <f t="shared" si="130"/>
        <v>0.42011834319526625</v>
      </c>
      <c r="T1086" s="5">
        <f t="shared" si="131"/>
        <v>4.2253521126760563E-2</v>
      </c>
      <c r="U1086" s="5">
        <f t="shared" si="132"/>
        <v>8.4151472650771393E-4</v>
      </c>
      <c r="V1086" s="6">
        <f t="shared" si="133"/>
        <v>6.2854929577464782</v>
      </c>
      <c r="W1086" s="7">
        <f t="shared" si="134"/>
        <v>2.6406508875739645</v>
      </c>
      <c r="X1086" s="5">
        <f t="shared" si="135"/>
        <v>4.3461581553767896</v>
      </c>
    </row>
    <row r="1087" spans="1:24" x14ac:dyDescent="0.35">
      <c r="A1087" s="3">
        <v>46202</v>
      </c>
      <c r="B1087" t="s">
        <v>1330</v>
      </c>
      <c r="C1087" t="s">
        <v>1544</v>
      </c>
      <c r="D1087" t="s">
        <v>18</v>
      </c>
      <c r="E1087" t="s">
        <v>35</v>
      </c>
      <c r="F1087" t="s">
        <v>20</v>
      </c>
      <c r="G1087" t="s">
        <v>59</v>
      </c>
      <c r="H1087" t="s">
        <v>37</v>
      </c>
      <c r="I1087">
        <v>3636</v>
      </c>
      <c r="J1087">
        <v>2933</v>
      </c>
      <c r="K1087">
        <v>2645</v>
      </c>
      <c r="L1087">
        <v>157</v>
      </c>
      <c r="M1087">
        <v>83</v>
      </c>
      <c r="N1087">
        <v>3</v>
      </c>
      <c r="O1087">
        <v>370.9</v>
      </c>
      <c r="P1087">
        <v>3435.52</v>
      </c>
      <c r="Q1087" s="5">
        <f t="shared" si="128"/>
        <v>0.90180702352540065</v>
      </c>
      <c r="R1087" s="5">
        <f t="shared" si="129"/>
        <v>5.9357277882797731E-2</v>
      </c>
      <c r="S1087" s="5">
        <f t="shared" si="130"/>
        <v>0.5286624203821656</v>
      </c>
      <c r="T1087" s="5">
        <f t="shared" si="131"/>
        <v>3.614457831325301E-2</v>
      </c>
      <c r="U1087" s="5">
        <f t="shared" si="132"/>
        <v>1.1342155009451795E-3</v>
      </c>
      <c r="V1087" s="6">
        <f t="shared" si="133"/>
        <v>4.4686746987951809</v>
      </c>
      <c r="W1087" s="7">
        <f t="shared" si="134"/>
        <v>2.3624203821656051</v>
      </c>
      <c r="X1087" s="5">
        <f t="shared" si="135"/>
        <v>8.26265839849016</v>
      </c>
    </row>
    <row r="1088" spans="1:24" x14ac:dyDescent="0.35">
      <c r="A1088" s="3">
        <v>46202</v>
      </c>
      <c r="B1088" t="s">
        <v>1402</v>
      </c>
      <c r="C1088" t="s">
        <v>1545</v>
      </c>
      <c r="D1088" t="s">
        <v>34</v>
      </c>
      <c r="E1088" t="s">
        <v>19</v>
      </c>
      <c r="F1088" t="s">
        <v>20</v>
      </c>
      <c r="G1088" t="s">
        <v>41</v>
      </c>
      <c r="H1088" t="s">
        <v>48</v>
      </c>
      <c r="I1088">
        <v>2648</v>
      </c>
      <c r="J1088">
        <v>1911</v>
      </c>
      <c r="K1088">
        <v>1798</v>
      </c>
      <c r="L1088">
        <v>37</v>
      </c>
      <c r="M1088">
        <v>20</v>
      </c>
      <c r="N1088">
        <v>0</v>
      </c>
      <c r="O1088">
        <v>169.18</v>
      </c>
      <c r="P1088">
        <v>0</v>
      </c>
      <c r="Q1088" s="5">
        <f t="shared" si="128"/>
        <v>0.94086865515436946</v>
      </c>
      <c r="R1088" s="5">
        <f t="shared" si="129"/>
        <v>2.0578420467185762E-2</v>
      </c>
      <c r="S1088" s="5">
        <f t="shared" si="130"/>
        <v>0.54054054054054057</v>
      </c>
      <c r="T1088" s="5">
        <f t="shared" si="131"/>
        <v>0</v>
      </c>
      <c r="U1088" s="5">
        <f t="shared" si="132"/>
        <v>0</v>
      </c>
      <c r="V1088" s="6">
        <f t="shared" si="133"/>
        <v>8.4589999999999996</v>
      </c>
      <c r="W1088" s="7">
        <f t="shared" si="134"/>
        <v>4.572432432432433</v>
      </c>
      <c r="X1088" s="5">
        <f t="shared" si="135"/>
        <v>-1</v>
      </c>
    </row>
    <row r="1089" spans="1:24" x14ac:dyDescent="0.35">
      <c r="A1089" s="3">
        <v>46203</v>
      </c>
      <c r="B1089" t="s">
        <v>1385</v>
      </c>
      <c r="C1089" t="s">
        <v>1546</v>
      </c>
      <c r="D1089" t="s">
        <v>31</v>
      </c>
      <c r="E1089" t="s">
        <v>25</v>
      </c>
      <c r="F1089" t="s">
        <v>20</v>
      </c>
      <c r="G1089" t="s">
        <v>21</v>
      </c>
      <c r="H1089" t="s">
        <v>51</v>
      </c>
      <c r="I1089">
        <v>1963</v>
      </c>
      <c r="J1089">
        <v>1880</v>
      </c>
      <c r="K1089">
        <v>1841</v>
      </c>
      <c r="L1089">
        <v>44</v>
      </c>
      <c r="M1089">
        <v>17</v>
      </c>
      <c r="N1089">
        <v>1</v>
      </c>
      <c r="O1089">
        <v>348.02</v>
      </c>
      <c r="P1089">
        <v>1068.52</v>
      </c>
      <c r="Q1089" s="5">
        <f t="shared" si="128"/>
        <v>0.97925531914893615</v>
      </c>
      <c r="R1089" s="5">
        <f t="shared" si="129"/>
        <v>2.3900054318305268E-2</v>
      </c>
      <c r="S1089" s="5">
        <f t="shared" si="130"/>
        <v>0.38636363636363635</v>
      </c>
      <c r="T1089" s="5">
        <f t="shared" si="131"/>
        <v>5.8823529411764705E-2</v>
      </c>
      <c r="U1089" s="5">
        <f t="shared" si="132"/>
        <v>5.4318305268875606E-4</v>
      </c>
      <c r="V1089" s="6">
        <f t="shared" si="133"/>
        <v>20.47176470588235</v>
      </c>
      <c r="W1089" s="7">
        <f t="shared" si="134"/>
        <v>7.9095454545454542</v>
      </c>
      <c r="X1089" s="5">
        <f t="shared" si="135"/>
        <v>2.0702833170507442</v>
      </c>
    </row>
    <row r="1090" spans="1:24" x14ac:dyDescent="0.35">
      <c r="A1090" s="3">
        <v>46203</v>
      </c>
      <c r="B1090" t="s">
        <v>1482</v>
      </c>
      <c r="C1090" t="s">
        <v>1547</v>
      </c>
      <c r="D1090" t="s">
        <v>34</v>
      </c>
      <c r="E1090" t="s">
        <v>25</v>
      </c>
      <c r="F1090" t="s">
        <v>26</v>
      </c>
      <c r="G1090" t="s">
        <v>41</v>
      </c>
      <c r="H1090" t="s">
        <v>37</v>
      </c>
      <c r="I1090">
        <v>4748</v>
      </c>
      <c r="J1090">
        <v>3759</v>
      </c>
      <c r="K1090">
        <v>3587</v>
      </c>
      <c r="L1090">
        <v>162</v>
      </c>
      <c r="M1090">
        <v>83</v>
      </c>
      <c r="N1090">
        <v>5</v>
      </c>
      <c r="O1090">
        <v>327.57</v>
      </c>
      <c r="P1090">
        <v>3595.03</v>
      </c>
      <c r="Q1090" s="5">
        <f t="shared" si="128"/>
        <v>0.95424314977387603</v>
      </c>
      <c r="R1090" s="5">
        <f t="shared" si="129"/>
        <v>4.5163088932255367E-2</v>
      </c>
      <c r="S1090" s="5">
        <f t="shared" si="130"/>
        <v>0.51234567901234573</v>
      </c>
      <c r="T1090" s="5">
        <f t="shared" si="131"/>
        <v>6.0240963855421686E-2</v>
      </c>
      <c r="U1090" s="5">
        <f t="shared" si="132"/>
        <v>1.3939224979091162E-3</v>
      </c>
      <c r="V1090" s="6">
        <f t="shared" si="133"/>
        <v>3.9466265060240961</v>
      </c>
      <c r="W1090" s="7">
        <f t="shared" si="134"/>
        <v>2.0220370370370371</v>
      </c>
      <c r="X1090" s="5">
        <f t="shared" si="135"/>
        <v>9.9748450712824734</v>
      </c>
    </row>
    <row r="1091" spans="1:24" x14ac:dyDescent="0.35">
      <c r="A1091" s="3">
        <v>46203</v>
      </c>
      <c r="B1091" t="s">
        <v>1354</v>
      </c>
      <c r="C1091" t="s">
        <v>1548</v>
      </c>
      <c r="D1091" t="s">
        <v>18</v>
      </c>
      <c r="E1091" t="s">
        <v>25</v>
      </c>
      <c r="F1091" t="s">
        <v>20</v>
      </c>
      <c r="G1091" t="s">
        <v>27</v>
      </c>
      <c r="H1091" t="s">
        <v>48</v>
      </c>
      <c r="I1091">
        <v>462</v>
      </c>
      <c r="J1091">
        <v>339</v>
      </c>
      <c r="K1091">
        <v>294</v>
      </c>
      <c r="L1091">
        <v>16</v>
      </c>
      <c r="M1091">
        <v>7</v>
      </c>
      <c r="N1091">
        <v>0</v>
      </c>
      <c r="O1091">
        <v>37.700000000000003</v>
      </c>
      <c r="P1091">
        <v>0</v>
      </c>
      <c r="Q1091" s="5">
        <f t="shared" ref="Q1091:Q1154" si="136">K1091/J1091</f>
        <v>0.86725663716814161</v>
      </c>
      <c r="R1091" s="5">
        <f t="shared" ref="R1091:R1154" si="137">L1091/K1091</f>
        <v>5.4421768707482991E-2</v>
      </c>
      <c r="S1091" s="5">
        <f t="shared" ref="S1091:S1154" si="138">M1091/L1091</f>
        <v>0.4375</v>
      </c>
      <c r="T1091" s="5">
        <f t="shared" ref="T1091:T1154" si="139">N1091/M1091</f>
        <v>0</v>
      </c>
      <c r="U1091" s="5">
        <f t="shared" ref="U1091:U1154" si="140">N1091/K1091</f>
        <v>0</v>
      </c>
      <c r="V1091" s="6">
        <f t="shared" ref="V1091:V1154" si="141">O1091/M1091</f>
        <v>5.3857142857142861</v>
      </c>
      <c r="W1091" s="7">
        <f t="shared" ref="W1091:W1154" si="142">O1091/L1091</f>
        <v>2.3562500000000002</v>
      </c>
      <c r="X1091" s="5">
        <f t="shared" ref="X1091:X1154" si="143">(P1091-O1091)/O1091</f>
        <v>-1</v>
      </c>
    </row>
    <row r="1092" spans="1:24" x14ac:dyDescent="0.35">
      <c r="A1092" s="3">
        <v>46203</v>
      </c>
      <c r="B1092" t="s">
        <v>1321</v>
      </c>
      <c r="C1092" t="s">
        <v>1549</v>
      </c>
      <c r="D1092" t="s">
        <v>40</v>
      </c>
      <c r="E1092" t="s">
        <v>56</v>
      </c>
      <c r="F1092" t="s">
        <v>20</v>
      </c>
      <c r="G1092" t="s">
        <v>59</v>
      </c>
      <c r="H1092" t="s">
        <v>51</v>
      </c>
      <c r="I1092">
        <v>1663</v>
      </c>
      <c r="J1092">
        <v>1349</v>
      </c>
      <c r="K1092">
        <v>1267</v>
      </c>
      <c r="L1092">
        <v>64</v>
      </c>
      <c r="M1092">
        <v>29</v>
      </c>
      <c r="N1092">
        <v>1</v>
      </c>
      <c r="O1092">
        <v>212.49</v>
      </c>
      <c r="P1092">
        <v>924.93</v>
      </c>
      <c r="Q1092" s="5">
        <f t="shared" si="136"/>
        <v>0.93921423276501115</v>
      </c>
      <c r="R1092" s="5">
        <f t="shared" si="137"/>
        <v>5.0513022888713496E-2</v>
      </c>
      <c r="S1092" s="5">
        <f t="shared" si="138"/>
        <v>0.453125</v>
      </c>
      <c r="T1092" s="5">
        <f t="shared" si="139"/>
        <v>3.4482758620689655E-2</v>
      </c>
      <c r="U1092" s="5">
        <f t="shared" si="140"/>
        <v>7.8926598263614838E-4</v>
      </c>
      <c r="V1092" s="6">
        <f t="shared" si="141"/>
        <v>7.3272413793103448</v>
      </c>
      <c r="W1092" s="7">
        <f t="shared" si="142"/>
        <v>3.3201562500000001</v>
      </c>
      <c r="X1092" s="5">
        <f t="shared" si="143"/>
        <v>3.3528166031342646</v>
      </c>
    </row>
    <row r="1093" spans="1:24" x14ac:dyDescent="0.35">
      <c r="A1093" s="3">
        <v>46203</v>
      </c>
      <c r="B1093" t="s">
        <v>1433</v>
      </c>
      <c r="C1093" t="s">
        <v>1550</v>
      </c>
      <c r="D1093" t="s">
        <v>31</v>
      </c>
      <c r="E1093" t="s">
        <v>35</v>
      </c>
      <c r="F1093" t="s">
        <v>26</v>
      </c>
      <c r="G1093" t="s">
        <v>59</v>
      </c>
      <c r="H1093" t="s">
        <v>48</v>
      </c>
      <c r="I1093">
        <v>1947</v>
      </c>
      <c r="J1093">
        <v>1405</v>
      </c>
      <c r="K1093">
        <v>1366</v>
      </c>
      <c r="L1093">
        <v>76</v>
      </c>
      <c r="M1093">
        <v>38</v>
      </c>
      <c r="N1093">
        <v>3</v>
      </c>
      <c r="O1093">
        <v>237.96</v>
      </c>
      <c r="P1093">
        <v>4199.26</v>
      </c>
      <c r="Q1093" s="5">
        <f t="shared" si="136"/>
        <v>0.9722419928825623</v>
      </c>
      <c r="R1093" s="5">
        <f t="shared" si="137"/>
        <v>5.5636896046852125E-2</v>
      </c>
      <c r="S1093" s="5">
        <f t="shared" si="138"/>
        <v>0.5</v>
      </c>
      <c r="T1093" s="5">
        <f t="shared" si="139"/>
        <v>7.8947368421052627E-2</v>
      </c>
      <c r="U1093" s="5">
        <f t="shared" si="140"/>
        <v>2.1961932650073207E-3</v>
      </c>
      <c r="V1093" s="6">
        <f t="shared" si="141"/>
        <v>6.2621052631578946</v>
      </c>
      <c r="W1093" s="7">
        <f t="shared" si="142"/>
        <v>3.1310526315789473</v>
      </c>
      <c r="X1093" s="5">
        <f t="shared" si="143"/>
        <v>16.64691544797445</v>
      </c>
    </row>
    <row r="1094" spans="1:24" x14ac:dyDescent="0.35">
      <c r="A1094" s="3">
        <v>46204</v>
      </c>
      <c r="B1094" t="s">
        <v>1551</v>
      </c>
      <c r="C1094" t="s">
        <v>1552</v>
      </c>
      <c r="D1094" t="s">
        <v>34</v>
      </c>
      <c r="E1094" t="s">
        <v>56</v>
      </c>
      <c r="F1094" t="s">
        <v>26</v>
      </c>
      <c r="G1094" t="s">
        <v>27</v>
      </c>
      <c r="H1094" t="s">
        <v>22</v>
      </c>
      <c r="I1094">
        <v>4453</v>
      </c>
      <c r="J1094">
        <v>3548</v>
      </c>
      <c r="K1094">
        <v>3314</v>
      </c>
      <c r="L1094">
        <v>197</v>
      </c>
      <c r="M1094">
        <v>101</v>
      </c>
      <c r="N1094">
        <v>5</v>
      </c>
      <c r="O1094">
        <v>288.98</v>
      </c>
      <c r="P1094">
        <v>7153.94</v>
      </c>
      <c r="Q1094" s="5">
        <f t="shared" si="136"/>
        <v>0.93404735062006761</v>
      </c>
      <c r="R1094" s="5">
        <f t="shared" si="137"/>
        <v>5.9444779722389859E-2</v>
      </c>
      <c r="S1094" s="5">
        <f t="shared" si="138"/>
        <v>0.51269035532994922</v>
      </c>
      <c r="T1094" s="5">
        <f t="shared" si="139"/>
        <v>4.9504950495049507E-2</v>
      </c>
      <c r="U1094" s="5">
        <f t="shared" si="140"/>
        <v>1.5087507543753772E-3</v>
      </c>
      <c r="V1094" s="6">
        <f t="shared" si="141"/>
        <v>2.8611881188118815</v>
      </c>
      <c r="W1094" s="7">
        <f t="shared" si="142"/>
        <v>1.4669035532994925</v>
      </c>
      <c r="X1094" s="5">
        <f t="shared" si="143"/>
        <v>23.755830853346247</v>
      </c>
    </row>
    <row r="1095" spans="1:24" x14ac:dyDescent="0.35">
      <c r="A1095" s="3">
        <v>46204</v>
      </c>
      <c r="B1095" t="s">
        <v>1553</v>
      </c>
      <c r="C1095" t="s">
        <v>1554</v>
      </c>
      <c r="D1095" t="s">
        <v>40</v>
      </c>
      <c r="E1095" t="s">
        <v>25</v>
      </c>
      <c r="F1095" t="s">
        <v>20</v>
      </c>
      <c r="G1095" t="s">
        <v>21</v>
      </c>
      <c r="H1095" t="s">
        <v>48</v>
      </c>
      <c r="I1095">
        <v>929</v>
      </c>
      <c r="J1095">
        <v>801</v>
      </c>
      <c r="K1095">
        <v>734</v>
      </c>
      <c r="L1095">
        <v>15</v>
      </c>
      <c r="M1095">
        <v>6</v>
      </c>
      <c r="N1095">
        <v>0</v>
      </c>
      <c r="O1095">
        <v>104.14</v>
      </c>
      <c r="P1095">
        <v>0</v>
      </c>
      <c r="Q1095" s="5">
        <f t="shared" si="136"/>
        <v>0.91635455680399502</v>
      </c>
      <c r="R1095" s="5">
        <f t="shared" si="137"/>
        <v>2.0435967302452316E-2</v>
      </c>
      <c r="S1095" s="5">
        <f t="shared" si="138"/>
        <v>0.4</v>
      </c>
      <c r="T1095" s="5">
        <f t="shared" si="139"/>
        <v>0</v>
      </c>
      <c r="U1095" s="5">
        <f t="shared" si="140"/>
        <v>0</v>
      </c>
      <c r="V1095" s="6">
        <f t="shared" si="141"/>
        <v>17.356666666666666</v>
      </c>
      <c r="W1095" s="7">
        <f t="shared" si="142"/>
        <v>6.9426666666666668</v>
      </c>
      <c r="X1095" s="5">
        <f t="shared" si="143"/>
        <v>-1</v>
      </c>
    </row>
    <row r="1096" spans="1:24" x14ac:dyDescent="0.35">
      <c r="A1096" s="3">
        <v>46204</v>
      </c>
      <c r="B1096" t="s">
        <v>1555</v>
      </c>
      <c r="C1096" t="s">
        <v>1556</v>
      </c>
      <c r="D1096" t="s">
        <v>34</v>
      </c>
      <c r="E1096" t="s">
        <v>35</v>
      </c>
      <c r="F1096" t="s">
        <v>20</v>
      </c>
      <c r="G1096" t="s">
        <v>59</v>
      </c>
      <c r="H1096" t="s">
        <v>51</v>
      </c>
      <c r="I1096">
        <v>1715</v>
      </c>
      <c r="J1096">
        <v>1284</v>
      </c>
      <c r="K1096">
        <v>1204</v>
      </c>
      <c r="L1096">
        <v>79</v>
      </c>
      <c r="M1096">
        <v>36</v>
      </c>
      <c r="N1096">
        <v>2</v>
      </c>
      <c r="O1096">
        <v>115.3</v>
      </c>
      <c r="P1096">
        <v>2846.84</v>
      </c>
      <c r="Q1096" s="5">
        <f t="shared" si="136"/>
        <v>0.93769470404984423</v>
      </c>
      <c r="R1096" s="5">
        <f t="shared" si="137"/>
        <v>6.5614617940199335E-2</v>
      </c>
      <c r="S1096" s="5">
        <f t="shared" si="138"/>
        <v>0.45569620253164556</v>
      </c>
      <c r="T1096" s="5">
        <f t="shared" si="139"/>
        <v>5.5555555555555552E-2</v>
      </c>
      <c r="U1096" s="5">
        <f t="shared" si="140"/>
        <v>1.6611295681063123E-3</v>
      </c>
      <c r="V1096" s="6">
        <f t="shared" si="141"/>
        <v>3.2027777777777775</v>
      </c>
      <c r="W1096" s="7">
        <f t="shared" si="142"/>
        <v>1.459493670886076</v>
      </c>
      <c r="X1096" s="5">
        <f t="shared" si="143"/>
        <v>23.690719861231571</v>
      </c>
    </row>
    <row r="1097" spans="1:24" x14ac:dyDescent="0.35">
      <c r="A1097" s="3">
        <v>46204</v>
      </c>
      <c r="B1097" t="s">
        <v>1557</v>
      </c>
      <c r="C1097" t="s">
        <v>1558</v>
      </c>
      <c r="D1097" t="s">
        <v>18</v>
      </c>
      <c r="E1097" t="s">
        <v>19</v>
      </c>
      <c r="F1097" t="s">
        <v>20</v>
      </c>
      <c r="G1097" t="s">
        <v>59</v>
      </c>
      <c r="H1097" t="s">
        <v>37</v>
      </c>
      <c r="I1097">
        <v>2119</v>
      </c>
      <c r="J1097">
        <v>1553</v>
      </c>
      <c r="K1097">
        <v>1438</v>
      </c>
      <c r="L1097">
        <v>50</v>
      </c>
      <c r="M1097">
        <v>22</v>
      </c>
      <c r="N1097">
        <v>0</v>
      </c>
      <c r="O1097">
        <v>208.75</v>
      </c>
      <c r="P1097">
        <v>0</v>
      </c>
      <c r="Q1097" s="5">
        <f t="shared" si="136"/>
        <v>0.92594977462974892</v>
      </c>
      <c r="R1097" s="5">
        <f t="shared" si="137"/>
        <v>3.4770514603616132E-2</v>
      </c>
      <c r="S1097" s="5">
        <f t="shared" si="138"/>
        <v>0.44</v>
      </c>
      <c r="T1097" s="5">
        <f t="shared" si="139"/>
        <v>0</v>
      </c>
      <c r="U1097" s="5">
        <f t="shared" si="140"/>
        <v>0</v>
      </c>
      <c r="V1097" s="6">
        <f t="shared" si="141"/>
        <v>9.4886363636363633</v>
      </c>
      <c r="W1097" s="7">
        <f t="shared" si="142"/>
        <v>4.1749999999999998</v>
      </c>
      <c r="X1097" s="5">
        <f t="shared" si="143"/>
        <v>-1</v>
      </c>
    </row>
    <row r="1098" spans="1:24" x14ac:dyDescent="0.35">
      <c r="A1098" s="3">
        <v>46204</v>
      </c>
      <c r="B1098" t="s">
        <v>1557</v>
      </c>
      <c r="C1098" t="s">
        <v>1559</v>
      </c>
      <c r="D1098" t="s">
        <v>31</v>
      </c>
      <c r="E1098" t="s">
        <v>56</v>
      </c>
      <c r="F1098" t="s">
        <v>20</v>
      </c>
      <c r="G1098" t="s">
        <v>21</v>
      </c>
      <c r="H1098" t="s">
        <v>28</v>
      </c>
      <c r="I1098">
        <v>2146</v>
      </c>
      <c r="J1098">
        <v>1565</v>
      </c>
      <c r="K1098">
        <v>1510</v>
      </c>
      <c r="L1098">
        <v>41</v>
      </c>
      <c r="M1098">
        <v>15</v>
      </c>
      <c r="N1098">
        <v>1</v>
      </c>
      <c r="O1098">
        <v>241.92</v>
      </c>
      <c r="P1098">
        <v>1228.3399999999999</v>
      </c>
      <c r="Q1098" s="5">
        <f t="shared" si="136"/>
        <v>0.96485623003194887</v>
      </c>
      <c r="R1098" s="5">
        <f t="shared" si="137"/>
        <v>2.7152317880794703E-2</v>
      </c>
      <c r="S1098" s="5">
        <f t="shared" si="138"/>
        <v>0.36585365853658536</v>
      </c>
      <c r="T1098" s="5">
        <f t="shared" si="139"/>
        <v>6.6666666666666666E-2</v>
      </c>
      <c r="U1098" s="5">
        <f t="shared" si="140"/>
        <v>6.6225165562913907E-4</v>
      </c>
      <c r="V1098" s="6">
        <f t="shared" si="141"/>
        <v>16.128</v>
      </c>
      <c r="W1098" s="7">
        <f t="shared" si="142"/>
        <v>5.9004878048780487</v>
      </c>
      <c r="X1098" s="5">
        <f t="shared" si="143"/>
        <v>4.0774636243386242</v>
      </c>
    </row>
    <row r="1099" spans="1:24" x14ac:dyDescent="0.35">
      <c r="A1099" s="3">
        <v>46205</v>
      </c>
      <c r="B1099" t="s">
        <v>1560</v>
      </c>
      <c r="C1099" t="s">
        <v>1561</v>
      </c>
      <c r="D1099" t="s">
        <v>18</v>
      </c>
      <c r="E1099" t="s">
        <v>19</v>
      </c>
      <c r="F1099" t="s">
        <v>20</v>
      </c>
      <c r="G1099" t="s">
        <v>41</v>
      </c>
      <c r="H1099" t="s">
        <v>22</v>
      </c>
      <c r="I1099">
        <v>4989</v>
      </c>
      <c r="J1099">
        <v>4787</v>
      </c>
      <c r="K1099">
        <v>4303</v>
      </c>
      <c r="L1099">
        <v>81</v>
      </c>
      <c r="M1099">
        <v>42</v>
      </c>
      <c r="N1099">
        <v>1</v>
      </c>
      <c r="O1099">
        <v>511.38</v>
      </c>
      <c r="P1099">
        <v>638.08000000000004</v>
      </c>
      <c r="Q1099" s="5">
        <f t="shared" si="136"/>
        <v>0.8988928347608105</v>
      </c>
      <c r="R1099" s="5">
        <f t="shared" si="137"/>
        <v>1.8824076225888914E-2</v>
      </c>
      <c r="S1099" s="5">
        <f t="shared" si="138"/>
        <v>0.51851851851851849</v>
      </c>
      <c r="T1099" s="5">
        <f t="shared" si="139"/>
        <v>2.3809523809523808E-2</v>
      </c>
      <c r="U1099" s="5">
        <f t="shared" si="140"/>
        <v>2.3239600278875203E-4</v>
      </c>
      <c r="V1099" s="6">
        <f t="shared" si="141"/>
        <v>12.175714285714285</v>
      </c>
      <c r="W1099" s="7">
        <f t="shared" si="142"/>
        <v>6.3133333333333335</v>
      </c>
      <c r="X1099" s="5">
        <f t="shared" si="143"/>
        <v>0.24776096053815175</v>
      </c>
    </row>
    <row r="1100" spans="1:24" x14ac:dyDescent="0.35">
      <c r="A1100" s="3">
        <v>46205</v>
      </c>
      <c r="B1100" t="s">
        <v>1562</v>
      </c>
      <c r="C1100" t="s">
        <v>1563</v>
      </c>
      <c r="D1100" t="s">
        <v>40</v>
      </c>
      <c r="E1100" t="s">
        <v>19</v>
      </c>
      <c r="F1100" t="s">
        <v>26</v>
      </c>
      <c r="G1100" t="s">
        <v>27</v>
      </c>
      <c r="H1100" t="s">
        <v>51</v>
      </c>
      <c r="I1100">
        <v>4337</v>
      </c>
      <c r="J1100">
        <v>3788</v>
      </c>
      <c r="K1100">
        <v>3464</v>
      </c>
      <c r="L1100">
        <v>110</v>
      </c>
      <c r="M1100">
        <v>67</v>
      </c>
      <c r="N1100">
        <v>2</v>
      </c>
      <c r="O1100">
        <v>492.34</v>
      </c>
      <c r="P1100">
        <v>1441.93</v>
      </c>
      <c r="Q1100" s="5">
        <f t="shared" si="136"/>
        <v>0.91446673706441395</v>
      </c>
      <c r="R1100" s="5">
        <f t="shared" si="137"/>
        <v>3.1755196304849888E-2</v>
      </c>
      <c r="S1100" s="5">
        <f t="shared" si="138"/>
        <v>0.60909090909090913</v>
      </c>
      <c r="T1100" s="5">
        <f t="shared" si="139"/>
        <v>2.9850746268656716E-2</v>
      </c>
      <c r="U1100" s="5">
        <f t="shared" si="140"/>
        <v>5.7736720554272516E-4</v>
      </c>
      <c r="V1100" s="6">
        <f t="shared" si="141"/>
        <v>7.3483582089552231</v>
      </c>
      <c r="W1100" s="7">
        <f t="shared" si="142"/>
        <v>4.4758181818181813</v>
      </c>
      <c r="X1100" s="5">
        <f t="shared" si="143"/>
        <v>1.928728114717472</v>
      </c>
    </row>
    <row r="1101" spans="1:24" x14ac:dyDescent="0.35">
      <c r="A1101" s="3">
        <v>46205</v>
      </c>
      <c r="B1101" t="s">
        <v>1564</v>
      </c>
      <c r="C1101" t="s">
        <v>1565</v>
      </c>
      <c r="D1101" t="s">
        <v>18</v>
      </c>
      <c r="E1101" t="s">
        <v>56</v>
      </c>
      <c r="F1101" t="s">
        <v>26</v>
      </c>
      <c r="G1101" t="s">
        <v>41</v>
      </c>
      <c r="H1101" t="s">
        <v>28</v>
      </c>
      <c r="I1101">
        <v>1485</v>
      </c>
      <c r="J1101">
        <v>1419</v>
      </c>
      <c r="K1101">
        <v>1322</v>
      </c>
      <c r="L1101">
        <v>90</v>
      </c>
      <c r="M1101">
        <v>58</v>
      </c>
      <c r="N1101">
        <v>3</v>
      </c>
      <c r="O1101">
        <v>170.13</v>
      </c>
      <c r="P1101">
        <v>3526.5</v>
      </c>
      <c r="Q1101" s="5">
        <f t="shared" si="136"/>
        <v>0.93164200140944331</v>
      </c>
      <c r="R1101" s="5">
        <f t="shared" si="137"/>
        <v>6.8078668683812404E-2</v>
      </c>
      <c r="S1101" s="5">
        <f t="shared" si="138"/>
        <v>0.64444444444444449</v>
      </c>
      <c r="T1101" s="5">
        <f t="shared" si="139"/>
        <v>5.1724137931034482E-2</v>
      </c>
      <c r="U1101" s="5">
        <f t="shared" si="140"/>
        <v>2.2692889561270802E-3</v>
      </c>
      <c r="V1101" s="6">
        <f t="shared" si="141"/>
        <v>2.9332758620689656</v>
      </c>
      <c r="W1101" s="7">
        <f t="shared" si="142"/>
        <v>1.8903333333333332</v>
      </c>
      <c r="X1101" s="5">
        <f t="shared" si="143"/>
        <v>19.728266619643801</v>
      </c>
    </row>
    <row r="1102" spans="1:24" x14ac:dyDescent="0.35">
      <c r="A1102" s="3">
        <v>46205</v>
      </c>
      <c r="B1102" t="s">
        <v>1566</v>
      </c>
      <c r="C1102" t="s">
        <v>1567</v>
      </c>
      <c r="D1102" t="s">
        <v>18</v>
      </c>
      <c r="E1102" t="s">
        <v>35</v>
      </c>
      <c r="F1102" t="s">
        <v>26</v>
      </c>
      <c r="G1102" t="s">
        <v>59</v>
      </c>
      <c r="H1102" t="s">
        <v>51</v>
      </c>
      <c r="I1102">
        <v>1061</v>
      </c>
      <c r="J1102">
        <v>771</v>
      </c>
      <c r="K1102">
        <v>716</v>
      </c>
      <c r="L1102">
        <v>86</v>
      </c>
      <c r="M1102">
        <v>49</v>
      </c>
      <c r="N1102">
        <v>5</v>
      </c>
      <c r="O1102">
        <v>91.3</v>
      </c>
      <c r="P1102">
        <v>6807.51</v>
      </c>
      <c r="Q1102" s="5">
        <f t="shared" si="136"/>
        <v>0.92866407263294426</v>
      </c>
      <c r="R1102" s="5">
        <f t="shared" si="137"/>
        <v>0.12011173184357542</v>
      </c>
      <c r="S1102" s="5">
        <f t="shared" si="138"/>
        <v>0.56976744186046513</v>
      </c>
      <c r="T1102" s="5">
        <f t="shared" si="139"/>
        <v>0.10204081632653061</v>
      </c>
      <c r="U1102" s="5">
        <f t="shared" si="140"/>
        <v>6.9832402234636867E-3</v>
      </c>
      <c r="V1102" s="6">
        <f t="shared" si="141"/>
        <v>1.8632653061224489</v>
      </c>
      <c r="W1102" s="7">
        <f t="shared" si="142"/>
        <v>1.0616279069767443</v>
      </c>
      <c r="X1102" s="5">
        <f t="shared" si="143"/>
        <v>73.561993428258489</v>
      </c>
    </row>
    <row r="1103" spans="1:24" x14ac:dyDescent="0.35">
      <c r="A1103" s="3">
        <v>46205</v>
      </c>
      <c r="B1103" t="s">
        <v>1568</v>
      </c>
      <c r="C1103" t="s">
        <v>1569</v>
      </c>
      <c r="D1103" t="s">
        <v>18</v>
      </c>
      <c r="E1103" t="s">
        <v>35</v>
      </c>
      <c r="F1103" t="s">
        <v>20</v>
      </c>
      <c r="G1103" t="s">
        <v>36</v>
      </c>
      <c r="H1103" t="s">
        <v>22</v>
      </c>
      <c r="I1103">
        <v>2648</v>
      </c>
      <c r="J1103">
        <v>2385</v>
      </c>
      <c r="K1103">
        <v>2119</v>
      </c>
      <c r="L1103">
        <v>148</v>
      </c>
      <c r="M1103">
        <v>76</v>
      </c>
      <c r="N1103">
        <v>4</v>
      </c>
      <c r="O1103">
        <v>293.76</v>
      </c>
      <c r="P1103">
        <v>4799.6499999999996</v>
      </c>
      <c r="Q1103" s="5">
        <f t="shared" si="136"/>
        <v>0.88846960167714883</v>
      </c>
      <c r="R1103" s="5">
        <f t="shared" si="137"/>
        <v>6.9844266163284568E-2</v>
      </c>
      <c r="S1103" s="5">
        <f t="shared" si="138"/>
        <v>0.51351351351351349</v>
      </c>
      <c r="T1103" s="5">
        <f t="shared" si="139"/>
        <v>5.2631578947368418E-2</v>
      </c>
      <c r="U1103" s="5">
        <f t="shared" si="140"/>
        <v>1.8876828692779614E-3</v>
      </c>
      <c r="V1103" s="6">
        <f t="shared" si="141"/>
        <v>3.8652631578947365</v>
      </c>
      <c r="W1103" s="7">
        <f t="shared" si="142"/>
        <v>1.9848648648648648</v>
      </c>
      <c r="X1103" s="5">
        <f t="shared" si="143"/>
        <v>15.338677832244008</v>
      </c>
    </row>
    <row r="1104" spans="1:24" x14ac:dyDescent="0.35">
      <c r="A1104" s="3">
        <v>46205</v>
      </c>
      <c r="B1104" t="s">
        <v>1570</v>
      </c>
      <c r="C1104" t="s">
        <v>1571</v>
      </c>
      <c r="D1104" t="s">
        <v>34</v>
      </c>
      <c r="E1104" t="s">
        <v>35</v>
      </c>
      <c r="F1104" t="s">
        <v>26</v>
      </c>
      <c r="G1104" t="s">
        <v>59</v>
      </c>
      <c r="H1104" t="s">
        <v>28</v>
      </c>
      <c r="I1104">
        <v>2844</v>
      </c>
      <c r="J1104">
        <v>2154</v>
      </c>
      <c r="K1104">
        <v>2034</v>
      </c>
      <c r="L1104">
        <v>179</v>
      </c>
      <c r="M1104">
        <v>101</v>
      </c>
      <c r="N1104">
        <v>9</v>
      </c>
      <c r="O1104">
        <v>202.58</v>
      </c>
      <c r="P1104">
        <v>9280.08</v>
      </c>
      <c r="Q1104" s="5">
        <f t="shared" si="136"/>
        <v>0.94428969359331472</v>
      </c>
      <c r="R1104" s="5">
        <f t="shared" si="137"/>
        <v>8.8003933136676496E-2</v>
      </c>
      <c r="S1104" s="5">
        <f t="shared" si="138"/>
        <v>0.56424581005586594</v>
      </c>
      <c r="T1104" s="5">
        <f t="shared" si="139"/>
        <v>8.9108910891089105E-2</v>
      </c>
      <c r="U1104" s="5">
        <f t="shared" si="140"/>
        <v>4.4247787610619468E-3</v>
      </c>
      <c r="V1104" s="6">
        <f t="shared" si="141"/>
        <v>2.0057425742574257</v>
      </c>
      <c r="W1104" s="7">
        <f t="shared" si="142"/>
        <v>1.1317318435754191</v>
      </c>
      <c r="X1104" s="5">
        <f t="shared" si="143"/>
        <v>44.809457991904431</v>
      </c>
    </row>
    <row r="1105" spans="1:24" x14ac:dyDescent="0.35">
      <c r="A1105" s="3">
        <v>46205</v>
      </c>
      <c r="B1105" t="s">
        <v>1572</v>
      </c>
      <c r="C1105" t="s">
        <v>1573</v>
      </c>
      <c r="D1105" t="s">
        <v>18</v>
      </c>
      <c r="E1105" t="s">
        <v>19</v>
      </c>
      <c r="F1105" t="s">
        <v>26</v>
      </c>
      <c r="G1105" t="s">
        <v>21</v>
      </c>
      <c r="H1105" t="s">
        <v>28</v>
      </c>
      <c r="I1105">
        <v>2963</v>
      </c>
      <c r="J1105">
        <v>2179</v>
      </c>
      <c r="K1105">
        <v>1985</v>
      </c>
      <c r="L1105">
        <v>82</v>
      </c>
      <c r="M1105">
        <v>53</v>
      </c>
      <c r="N1105">
        <v>2</v>
      </c>
      <c r="O1105">
        <v>243.21</v>
      </c>
      <c r="P1105">
        <v>1420.46</v>
      </c>
      <c r="Q1105" s="5">
        <f t="shared" si="136"/>
        <v>0.91096833409821021</v>
      </c>
      <c r="R1105" s="5">
        <f t="shared" si="137"/>
        <v>4.1309823677581861E-2</v>
      </c>
      <c r="S1105" s="5">
        <f t="shared" si="138"/>
        <v>0.64634146341463417</v>
      </c>
      <c r="T1105" s="5">
        <f t="shared" si="139"/>
        <v>3.7735849056603772E-2</v>
      </c>
      <c r="U1105" s="5">
        <f t="shared" si="140"/>
        <v>1.0075566750629723E-3</v>
      </c>
      <c r="V1105" s="6">
        <f t="shared" si="141"/>
        <v>4.5888679245283024</v>
      </c>
      <c r="W1105" s="7">
        <f t="shared" si="142"/>
        <v>2.9659756097560979</v>
      </c>
      <c r="X1105" s="5">
        <f t="shared" si="143"/>
        <v>4.8404670860573162</v>
      </c>
    </row>
    <row r="1106" spans="1:24" x14ac:dyDescent="0.35">
      <c r="A1106" s="3">
        <v>46205</v>
      </c>
      <c r="B1106" t="s">
        <v>1574</v>
      </c>
      <c r="C1106" t="s">
        <v>1575</v>
      </c>
      <c r="D1106" t="s">
        <v>31</v>
      </c>
      <c r="E1106" t="s">
        <v>19</v>
      </c>
      <c r="F1106" t="s">
        <v>20</v>
      </c>
      <c r="G1106" t="s">
        <v>41</v>
      </c>
      <c r="H1106" t="s">
        <v>22</v>
      </c>
      <c r="I1106">
        <v>4462</v>
      </c>
      <c r="J1106">
        <v>4356</v>
      </c>
      <c r="K1106">
        <v>4108</v>
      </c>
      <c r="L1106">
        <v>23</v>
      </c>
      <c r="M1106">
        <v>9</v>
      </c>
      <c r="N1106">
        <v>0</v>
      </c>
      <c r="O1106">
        <v>757.87</v>
      </c>
      <c r="P1106">
        <v>0</v>
      </c>
      <c r="Q1106" s="5">
        <f t="shared" si="136"/>
        <v>0.9430670339761249</v>
      </c>
      <c r="R1106" s="5">
        <f t="shared" si="137"/>
        <v>5.598831548198637E-3</v>
      </c>
      <c r="S1106" s="5">
        <f t="shared" si="138"/>
        <v>0.39130434782608697</v>
      </c>
      <c r="T1106" s="5">
        <f t="shared" si="139"/>
        <v>0</v>
      </c>
      <c r="U1106" s="5">
        <f t="shared" si="140"/>
        <v>0</v>
      </c>
      <c r="V1106" s="6">
        <f t="shared" si="141"/>
        <v>84.207777777777778</v>
      </c>
      <c r="W1106" s="7">
        <f t="shared" si="142"/>
        <v>32.950869565217388</v>
      </c>
      <c r="X1106" s="5">
        <f t="shared" si="143"/>
        <v>-1</v>
      </c>
    </row>
    <row r="1107" spans="1:24" x14ac:dyDescent="0.35">
      <c r="A1107" s="3">
        <v>46206</v>
      </c>
      <c r="B1107" t="s">
        <v>1576</v>
      </c>
      <c r="C1107" t="s">
        <v>1577</v>
      </c>
      <c r="D1107" t="s">
        <v>34</v>
      </c>
      <c r="E1107" t="s">
        <v>56</v>
      </c>
      <c r="F1107" t="s">
        <v>20</v>
      </c>
      <c r="G1107" t="s">
        <v>36</v>
      </c>
      <c r="H1107" t="s">
        <v>51</v>
      </c>
      <c r="I1107">
        <v>2450</v>
      </c>
      <c r="J1107">
        <v>2085</v>
      </c>
      <c r="K1107">
        <v>1984</v>
      </c>
      <c r="L1107">
        <v>91</v>
      </c>
      <c r="M1107">
        <v>44</v>
      </c>
      <c r="N1107">
        <v>3</v>
      </c>
      <c r="O1107">
        <v>157.97</v>
      </c>
      <c r="P1107">
        <v>4134.8100000000004</v>
      </c>
      <c r="Q1107" s="5">
        <f t="shared" si="136"/>
        <v>0.95155875299760195</v>
      </c>
      <c r="R1107" s="5">
        <f t="shared" si="137"/>
        <v>4.5866935483870969E-2</v>
      </c>
      <c r="S1107" s="5">
        <f t="shared" si="138"/>
        <v>0.48351648351648352</v>
      </c>
      <c r="T1107" s="5">
        <f t="shared" si="139"/>
        <v>6.8181818181818177E-2</v>
      </c>
      <c r="U1107" s="5">
        <f t="shared" si="140"/>
        <v>1.5120967741935483E-3</v>
      </c>
      <c r="V1107" s="6">
        <f t="shared" si="141"/>
        <v>3.5902272727272728</v>
      </c>
      <c r="W1107" s="7">
        <f t="shared" si="142"/>
        <v>1.7359340659340659</v>
      </c>
      <c r="X1107" s="5">
        <f t="shared" si="143"/>
        <v>25.174653415205423</v>
      </c>
    </row>
    <row r="1108" spans="1:24" x14ac:dyDescent="0.35">
      <c r="A1108" s="3">
        <v>46206</v>
      </c>
      <c r="B1108" t="s">
        <v>1578</v>
      </c>
      <c r="C1108" t="s">
        <v>1579</v>
      </c>
      <c r="D1108" t="s">
        <v>18</v>
      </c>
      <c r="E1108" t="s">
        <v>35</v>
      </c>
      <c r="F1108" t="s">
        <v>20</v>
      </c>
      <c r="G1108" t="s">
        <v>59</v>
      </c>
      <c r="H1108" t="s">
        <v>51</v>
      </c>
      <c r="I1108">
        <v>3785</v>
      </c>
      <c r="J1108">
        <v>2859</v>
      </c>
      <c r="K1108">
        <v>2527</v>
      </c>
      <c r="L1108">
        <v>201</v>
      </c>
      <c r="M1108">
        <v>102</v>
      </c>
      <c r="N1108">
        <v>6</v>
      </c>
      <c r="O1108">
        <v>356.36</v>
      </c>
      <c r="P1108">
        <v>9576.35</v>
      </c>
      <c r="Q1108" s="5">
        <f t="shared" si="136"/>
        <v>0.88387548093739066</v>
      </c>
      <c r="R1108" s="5">
        <f t="shared" si="137"/>
        <v>7.9540957657301153E-2</v>
      </c>
      <c r="S1108" s="5">
        <f t="shared" si="138"/>
        <v>0.5074626865671642</v>
      </c>
      <c r="T1108" s="5">
        <f t="shared" si="139"/>
        <v>5.8823529411764705E-2</v>
      </c>
      <c r="U1108" s="5">
        <f t="shared" si="140"/>
        <v>2.3743569449940641E-3</v>
      </c>
      <c r="V1108" s="6">
        <f t="shared" si="141"/>
        <v>3.4937254901960784</v>
      </c>
      <c r="W1108" s="7">
        <f t="shared" si="142"/>
        <v>1.7729353233830847</v>
      </c>
      <c r="X1108" s="5">
        <f t="shared" si="143"/>
        <v>25.872684925356381</v>
      </c>
    </row>
    <row r="1109" spans="1:24" x14ac:dyDescent="0.35">
      <c r="A1109" s="3">
        <v>46206</v>
      </c>
      <c r="B1109" t="s">
        <v>1580</v>
      </c>
      <c r="C1109" t="s">
        <v>1581</v>
      </c>
      <c r="D1109" t="s">
        <v>18</v>
      </c>
      <c r="E1109" t="s">
        <v>19</v>
      </c>
      <c r="F1109" t="s">
        <v>20</v>
      </c>
      <c r="G1109" t="s">
        <v>21</v>
      </c>
      <c r="H1109" t="s">
        <v>22</v>
      </c>
      <c r="I1109">
        <v>4363</v>
      </c>
      <c r="J1109">
        <v>4026</v>
      </c>
      <c r="K1109">
        <v>3617</v>
      </c>
      <c r="L1109">
        <v>86</v>
      </c>
      <c r="M1109">
        <v>45</v>
      </c>
      <c r="N1109">
        <v>1</v>
      </c>
      <c r="O1109">
        <v>505.81</v>
      </c>
      <c r="P1109">
        <v>903.96</v>
      </c>
      <c r="Q1109" s="5">
        <f t="shared" si="136"/>
        <v>0.89841033283656235</v>
      </c>
      <c r="R1109" s="5">
        <f t="shared" si="137"/>
        <v>2.3776610450649709E-2</v>
      </c>
      <c r="S1109" s="5">
        <f t="shared" si="138"/>
        <v>0.52325581395348841</v>
      </c>
      <c r="T1109" s="5">
        <f t="shared" si="139"/>
        <v>2.2222222222222223E-2</v>
      </c>
      <c r="U1109" s="5">
        <f t="shared" si="140"/>
        <v>2.7647221454243849E-4</v>
      </c>
      <c r="V1109" s="6">
        <f t="shared" si="141"/>
        <v>11.240222222222222</v>
      </c>
      <c r="W1109" s="7">
        <f t="shared" si="142"/>
        <v>5.8815116279069768</v>
      </c>
      <c r="X1109" s="5">
        <f t="shared" si="143"/>
        <v>0.78715327889919151</v>
      </c>
    </row>
    <row r="1110" spans="1:24" x14ac:dyDescent="0.35">
      <c r="A1110" s="3">
        <v>46206</v>
      </c>
      <c r="B1110" t="s">
        <v>1582</v>
      </c>
      <c r="C1110" t="s">
        <v>1583</v>
      </c>
      <c r="D1110" t="s">
        <v>31</v>
      </c>
      <c r="E1110" t="s">
        <v>35</v>
      </c>
      <c r="F1110" t="s">
        <v>20</v>
      </c>
      <c r="G1110" t="s">
        <v>59</v>
      </c>
      <c r="H1110" t="s">
        <v>28</v>
      </c>
      <c r="I1110">
        <v>1710</v>
      </c>
      <c r="J1110">
        <v>1259</v>
      </c>
      <c r="K1110">
        <v>1235</v>
      </c>
      <c r="L1110">
        <v>80</v>
      </c>
      <c r="M1110">
        <v>35</v>
      </c>
      <c r="N1110">
        <v>3</v>
      </c>
      <c r="O1110">
        <v>250.2</v>
      </c>
      <c r="P1110">
        <v>4308.28</v>
      </c>
      <c r="Q1110" s="5">
        <f t="shared" si="136"/>
        <v>0.98093725178713265</v>
      </c>
      <c r="R1110" s="5">
        <f t="shared" si="137"/>
        <v>6.4777327935222673E-2</v>
      </c>
      <c r="S1110" s="5">
        <f t="shared" si="138"/>
        <v>0.4375</v>
      </c>
      <c r="T1110" s="5">
        <f t="shared" si="139"/>
        <v>8.5714285714285715E-2</v>
      </c>
      <c r="U1110" s="5">
        <f t="shared" si="140"/>
        <v>2.4291497975708503E-3</v>
      </c>
      <c r="V1110" s="6">
        <f t="shared" si="141"/>
        <v>7.1485714285714286</v>
      </c>
      <c r="W1110" s="7">
        <f t="shared" si="142"/>
        <v>3.1274999999999999</v>
      </c>
      <c r="X1110" s="5">
        <f t="shared" si="143"/>
        <v>16.219344524380496</v>
      </c>
    </row>
    <row r="1111" spans="1:24" x14ac:dyDescent="0.35">
      <c r="A1111" s="3">
        <v>46206</v>
      </c>
      <c r="B1111" t="s">
        <v>1584</v>
      </c>
      <c r="C1111" t="s">
        <v>1585</v>
      </c>
      <c r="D1111" t="s">
        <v>18</v>
      </c>
      <c r="E1111" t="s">
        <v>35</v>
      </c>
      <c r="F1111" t="s">
        <v>20</v>
      </c>
      <c r="G1111" t="s">
        <v>36</v>
      </c>
      <c r="H1111" t="s">
        <v>48</v>
      </c>
      <c r="I1111">
        <v>2558</v>
      </c>
      <c r="J1111">
        <v>2253</v>
      </c>
      <c r="K1111">
        <v>2064</v>
      </c>
      <c r="L1111">
        <v>147</v>
      </c>
      <c r="M1111">
        <v>76</v>
      </c>
      <c r="N1111">
        <v>6</v>
      </c>
      <c r="O1111">
        <v>237.04</v>
      </c>
      <c r="P1111">
        <v>9184.27</v>
      </c>
      <c r="Q1111" s="5">
        <f t="shared" si="136"/>
        <v>0.91611185086551261</v>
      </c>
      <c r="R1111" s="5">
        <f t="shared" si="137"/>
        <v>7.1220930232558141E-2</v>
      </c>
      <c r="S1111" s="5">
        <f t="shared" si="138"/>
        <v>0.51700680272108845</v>
      </c>
      <c r="T1111" s="5">
        <f t="shared" si="139"/>
        <v>7.8947368421052627E-2</v>
      </c>
      <c r="U1111" s="5">
        <f t="shared" si="140"/>
        <v>2.9069767441860465E-3</v>
      </c>
      <c r="V1111" s="6">
        <f t="shared" si="141"/>
        <v>3.1189473684210527</v>
      </c>
      <c r="W1111" s="7">
        <f t="shared" si="142"/>
        <v>1.612517006802721</v>
      </c>
      <c r="X1111" s="5">
        <f t="shared" si="143"/>
        <v>37.745654741815727</v>
      </c>
    </row>
    <row r="1112" spans="1:24" x14ac:dyDescent="0.35">
      <c r="A1112" s="3">
        <v>46206</v>
      </c>
      <c r="B1112" t="s">
        <v>1584</v>
      </c>
      <c r="C1112" t="s">
        <v>1586</v>
      </c>
      <c r="D1112" t="s">
        <v>31</v>
      </c>
      <c r="E1112" t="s">
        <v>56</v>
      </c>
      <c r="F1112" t="s">
        <v>26</v>
      </c>
      <c r="G1112" t="s">
        <v>21</v>
      </c>
      <c r="H1112" t="s">
        <v>28</v>
      </c>
      <c r="I1112">
        <v>4274</v>
      </c>
      <c r="J1112">
        <v>4243</v>
      </c>
      <c r="K1112">
        <v>4054</v>
      </c>
      <c r="L1112">
        <v>222</v>
      </c>
      <c r="M1112">
        <v>108</v>
      </c>
      <c r="N1112">
        <v>7</v>
      </c>
      <c r="O1112">
        <v>711.35</v>
      </c>
      <c r="P1112">
        <v>10733.76</v>
      </c>
      <c r="Q1112" s="5">
        <f t="shared" si="136"/>
        <v>0.9554560452510017</v>
      </c>
      <c r="R1112" s="5">
        <f t="shared" si="137"/>
        <v>5.4760730143068571E-2</v>
      </c>
      <c r="S1112" s="5">
        <f t="shared" si="138"/>
        <v>0.48648648648648651</v>
      </c>
      <c r="T1112" s="5">
        <f t="shared" si="139"/>
        <v>6.4814814814814811E-2</v>
      </c>
      <c r="U1112" s="5">
        <f t="shared" si="140"/>
        <v>1.726689689195856E-3</v>
      </c>
      <c r="V1112" s="6">
        <f t="shared" si="141"/>
        <v>6.5865740740740746</v>
      </c>
      <c r="W1112" s="7">
        <f t="shared" si="142"/>
        <v>3.2042792792792794</v>
      </c>
      <c r="X1112" s="5">
        <f t="shared" si="143"/>
        <v>14.089280944682645</v>
      </c>
    </row>
    <row r="1113" spans="1:24" x14ac:dyDescent="0.35">
      <c r="A1113" s="3">
        <v>46207</v>
      </c>
      <c r="B1113" t="s">
        <v>1560</v>
      </c>
      <c r="C1113" t="s">
        <v>1587</v>
      </c>
      <c r="D1113" t="s">
        <v>34</v>
      </c>
      <c r="E1113" t="s">
        <v>19</v>
      </c>
      <c r="F1113" t="s">
        <v>20</v>
      </c>
      <c r="G1113" t="s">
        <v>41</v>
      </c>
      <c r="H1113" t="s">
        <v>51</v>
      </c>
      <c r="I1113">
        <v>4144</v>
      </c>
      <c r="J1113">
        <v>3933</v>
      </c>
      <c r="K1113">
        <v>3550</v>
      </c>
      <c r="L1113">
        <v>66</v>
      </c>
      <c r="M1113">
        <v>37</v>
      </c>
      <c r="N1113">
        <v>1</v>
      </c>
      <c r="O1113">
        <v>268.85000000000002</v>
      </c>
      <c r="P1113">
        <v>1185.57</v>
      </c>
      <c r="Q1113" s="5">
        <f t="shared" si="136"/>
        <v>0.90261886600559371</v>
      </c>
      <c r="R1113" s="5">
        <f t="shared" si="137"/>
        <v>1.8591549295774647E-2</v>
      </c>
      <c r="S1113" s="5">
        <f t="shared" si="138"/>
        <v>0.56060606060606055</v>
      </c>
      <c r="T1113" s="5">
        <f t="shared" si="139"/>
        <v>2.7027027027027029E-2</v>
      </c>
      <c r="U1113" s="5">
        <f t="shared" si="140"/>
        <v>2.8169014084507044E-4</v>
      </c>
      <c r="V1113" s="6">
        <f t="shared" si="141"/>
        <v>7.2662162162162165</v>
      </c>
      <c r="W1113" s="7">
        <f t="shared" si="142"/>
        <v>4.0734848484848492</v>
      </c>
      <c r="X1113" s="5">
        <f t="shared" si="143"/>
        <v>3.4097824065464009</v>
      </c>
    </row>
    <row r="1114" spans="1:24" x14ac:dyDescent="0.35">
      <c r="A1114" s="3">
        <v>46207</v>
      </c>
      <c r="B1114" t="s">
        <v>1588</v>
      </c>
      <c r="C1114" t="s">
        <v>1589</v>
      </c>
      <c r="D1114" t="s">
        <v>40</v>
      </c>
      <c r="E1114" t="s">
        <v>35</v>
      </c>
      <c r="F1114" t="s">
        <v>20</v>
      </c>
      <c r="G1114" t="s">
        <v>36</v>
      </c>
      <c r="H1114" t="s">
        <v>48</v>
      </c>
      <c r="I1114">
        <v>3683</v>
      </c>
      <c r="J1114">
        <v>3141</v>
      </c>
      <c r="K1114">
        <v>2984</v>
      </c>
      <c r="L1114">
        <v>186</v>
      </c>
      <c r="M1114">
        <v>111</v>
      </c>
      <c r="N1114">
        <v>7</v>
      </c>
      <c r="O1114">
        <v>521.98</v>
      </c>
      <c r="P1114">
        <v>8594.16</v>
      </c>
      <c r="Q1114" s="5">
        <f t="shared" si="136"/>
        <v>0.95001591849729383</v>
      </c>
      <c r="R1114" s="5">
        <f t="shared" si="137"/>
        <v>6.2332439678284182E-2</v>
      </c>
      <c r="S1114" s="5">
        <f t="shared" si="138"/>
        <v>0.59677419354838712</v>
      </c>
      <c r="T1114" s="5">
        <f t="shared" si="139"/>
        <v>6.3063063063063057E-2</v>
      </c>
      <c r="U1114" s="5">
        <f t="shared" si="140"/>
        <v>2.3458445040214475E-3</v>
      </c>
      <c r="V1114" s="6">
        <f t="shared" si="141"/>
        <v>4.7025225225225231</v>
      </c>
      <c r="W1114" s="7">
        <f t="shared" si="142"/>
        <v>2.8063440860215056</v>
      </c>
      <c r="X1114" s="5">
        <f t="shared" si="143"/>
        <v>15.464538871221119</v>
      </c>
    </row>
    <row r="1115" spans="1:24" x14ac:dyDescent="0.35">
      <c r="A1115" s="3">
        <v>46207</v>
      </c>
      <c r="B1115" t="s">
        <v>1551</v>
      </c>
      <c r="C1115" t="s">
        <v>1590</v>
      </c>
      <c r="D1115" t="s">
        <v>34</v>
      </c>
      <c r="E1115" t="s">
        <v>25</v>
      </c>
      <c r="F1115" t="s">
        <v>20</v>
      </c>
      <c r="G1115" t="s">
        <v>41</v>
      </c>
      <c r="H1115" t="s">
        <v>22</v>
      </c>
      <c r="I1115">
        <v>2879</v>
      </c>
      <c r="J1115">
        <v>2359</v>
      </c>
      <c r="K1115">
        <v>2247</v>
      </c>
      <c r="L1115">
        <v>58</v>
      </c>
      <c r="M1115">
        <v>24</v>
      </c>
      <c r="N1115">
        <v>1</v>
      </c>
      <c r="O1115">
        <v>163.68</v>
      </c>
      <c r="P1115">
        <v>1329</v>
      </c>
      <c r="Q1115" s="5">
        <f t="shared" si="136"/>
        <v>0.95252225519287836</v>
      </c>
      <c r="R1115" s="5">
        <f t="shared" si="137"/>
        <v>2.58121940364931E-2</v>
      </c>
      <c r="S1115" s="5">
        <f t="shared" si="138"/>
        <v>0.41379310344827586</v>
      </c>
      <c r="T1115" s="5">
        <f t="shared" si="139"/>
        <v>4.1666666666666664E-2</v>
      </c>
      <c r="U1115" s="5">
        <f t="shared" si="140"/>
        <v>4.450378282153983E-4</v>
      </c>
      <c r="V1115" s="6">
        <f t="shared" si="141"/>
        <v>6.82</v>
      </c>
      <c r="W1115" s="7">
        <f t="shared" si="142"/>
        <v>2.8220689655172415</v>
      </c>
      <c r="X1115" s="5">
        <f t="shared" si="143"/>
        <v>7.1195014662756595</v>
      </c>
    </row>
    <row r="1116" spans="1:24" x14ac:dyDescent="0.35">
      <c r="A1116" s="3">
        <v>46207</v>
      </c>
      <c r="B1116" t="s">
        <v>1591</v>
      </c>
      <c r="C1116" t="s">
        <v>1592</v>
      </c>
      <c r="D1116" t="s">
        <v>34</v>
      </c>
      <c r="E1116" t="s">
        <v>35</v>
      </c>
      <c r="F1116" t="s">
        <v>20</v>
      </c>
      <c r="G1116" t="s">
        <v>21</v>
      </c>
      <c r="H1116" t="s">
        <v>37</v>
      </c>
      <c r="I1116">
        <v>2373</v>
      </c>
      <c r="J1116">
        <v>2184</v>
      </c>
      <c r="K1116">
        <v>2033</v>
      </c>
      <c r="L1116">
        <v>115</v>
      </c>
      <c r="M1116">
        <v>48</v>
      </c>
      <c r="N1116">
        <v>3</v>
      </c>
      <c r="O1116">
        <v>207.86</v>
      </c>
      <c r="P1116">
        <v>4108.78</v>
      </c>
      <c r="Q1116" s="5">
        <f t="shared" si="136"/>
        <v>0.93086080586080588</v>
      </c>
      <c r="R1116" s="5">
        <f t="shared" si="137"/>
        <v>5.6566650270536152E-2</v>
      </c>
      <c r="S1116" s="5">
        <f t="shared" si="138"/>
        <v>0.41739130434782606</v>
      </c>
      <c r="T1116" s="5">
        <f t="shared" si="139"/>
        <v>6.25E-2</v>
      </c>
      <c r="U1116" s="5">
        <f t="shared" si="140"/>
        <v>1.4756517461878996E-3</v>
      </c>
      <c r="V1116" s="6">
        <f t="shared" si="141"/>
        <v>4.3304166666666672</v>
      </c>
      <c r="W1116" s="7">
        <f t="shared" si="142"/>
        <v>1.8074782608695654</v>
      </c>
      <c r="X1116" s="5">
        <f t="shared" si="143"/>
        <v>18.767054748388336</v>
      </c>
    </row>
    <row r="1117" spans="1:24" x14ac:dyDescent="0.35">
      <c r="A1117" s="3">
        <v>46207</v>
      </c>
      <c r="B1117" t="s">
        <v>1593</v>
      </c>
      <c r="C1117" t="s">
        <v>1594</v>
      </c>
      <c r="D1117" t="s">
        <v>40</v>
      </c>
      <c r="E1117" t="s">
        <v>25</v>
      </c>
      <c r="F1117" t="s">
        <v>26</v>
      </c>
      <c r="G1117" t="s">
        <v>41</v>
      </c>
      <c r="H1117" t="s">
        <v>48</v>
      </c>
      <c r="I1117">
        <v>2254</v>
      </c>
      <c r="J1117">
        <v>2183</v>
      </c>
      <c r="K1117">
        <v>2027</v>
      </c>
      <c r="L1117">
        <v>124</v>
      </c>
      <c r="M1117">
        <v>75</v>
      </c>
      <c r="N1117">
        <v>3</v>
      </c>
      <c r="O1117">
        <v>284.13</v>
      </c>
      <c r="P1117">
        <v>4506.92</v>
      </c>
      <c r="Q1117" s="5">
        <f t="shared" si="136"/>
        <v>0.92853870819972517</v>
      </c>
      <c r="R1117" s="5">
        <f t="shared" si="137"/>
        <v>6.1174148988653185E-2</v>
      </c>
      <c r="S1117" s="5">
        <f t="shared" si="138"/>
        <v>0.60483870967741937</v>
      </c>
      <c r="T1117" s="5">
        <f t="shared" si="139"/>
        <v>0.04</v>
      </c>
      <c r="U1117" s="5">
        <f t="shared" si="140"/>
        <v>1.4800197335964479E-3</v>
      </c>
      <c r="V1117" s="6">
        <f t="shared" si="141"/>
        <v>3.7883999999999998</v>
      </c>
      <c r="W1117" s="7">
        <f t="shared" si="142"/>
        <v>2.2913709677419356</v>
      </c>
      <c r="X1117" s="5">
        <f t="shared" si="143"/>
        <v>14.86217576461479</v>
      </c>
    </row>
    <row r="1118" spans="1:24" x14ac:dyDescent="0.35">
      <c r="A1118" s="3">
        <v>46207</v>
      </c>
      <c r="B1118" t="s">
        <v>1582</v>
      </c>
      <c r="C1118" t="s">
        <v>1595</v>
      </c>
      <c r="D1118" t="s">
        <v>34</v>
      </c>
      <c r="E1118" t="s">
        <v>35</v>
      </c>
      <c r="F1118" t="s">
        <v>26</v>
      </c>
      <c r="G1118" t="s">
        <v>27</v>
      </c>
      <c r="H1118" t="s">
        <v>22</v>
      </c>
      <c r="I1118">
        <v>3454</v>
      </c>
      <c r="J1118">
        <v>2731</v>
      </c>
      <c r="K1118">
        <v>2621</v>
      </c>
      <c r="L1118">
        <v>234</v>
      </c>
      <c r="M1118">
        <v>146</v>
      </c>
      <c r="N1118">
        <v>13</v>
      </c>
      <c r="O1118">
        <v>212.2</v>
      </c>
      <c r="P1118">
        <v>14867.23</v>
      </c>
      <c r="Q1118" s="5">
        <f t="shared" si="136"/>
        <v>0.95972171365800074</v>
      </c>
      <c r="R1118" s="5">
        <f t="shared" si="137"/>
        <v>8.927890118275468E-2</v>
      </c>
      <c r="S1118" s="5">
        <f t="shared" si="138"/>
        <v>0.62393162393162394</v>
      </c>
      <c r="T1118" s="5">
        <f t="shared" si="139"/>
        <v>8.9041095890410954E-2</v>
      </c>
      <c r="U1118" s="5">
        <f t="shared" si="140"/>
        <v>4.9599389545974815E-3</v>
      </c>
      <c r="V1118" s="6">
        <f t="shared" si="141"/>
        <v>1.4534246575342464</v>
      </c>
      <c r="W1118" s="7">
        <f t="shared" si="142"/>
        <v>0.90683760683760684</v>
      </c>
      <c r="X1118" s="5">
        <f t="shared" si="143"/>
        <v>69.062346842601315</v>
      </c>
    </row>
    <row r="1119" spans="1:24" x14ac:dyDescent="0.35">
      <c r="A1119" s="3">
        <v>46208</v>
      </c>
      <c r="B1119" t="s">
        <v>1596</v>
      </c>
      <c r="C1119" t="s">
        <v>1597</v>
      </c>
      <c r="D1119" t="s">
        <v>40</v>
      </c>
      <c r="E1119" t="s">
        <v>19</v>
      </c>
      <c r="F1119" t="s">
        <v>20</v>
      </c>
      <c r="G1119" t="s">
        <v>27</v>
      </c>
      <c r="H1119" t="s">
        <v>22</v>
      </c>
      <c r="I1119">
        <v>4995</v>
      </c>
      <c r="J1119">
        <v>4711</v>
      </c>
      <c r="K1119">
        <v>4493</v>
      </c>
      <c r="L1119">
        <v>106</v>
      </c>
      <c r="M1119">
        <v>50</v>
      </c>
      <c r="N1119">
        <v>0</v>
      </c>
      <c r="O1119">
        <v>785.45</v>
      </c>
      <c r="P1119">
        <v>0</v>
      </c>
      <c r="Q1119" s="5">
        <f t="shared" si="136"/>
        <v>0.95372532371046492</v>
      </c>
      <c r="R1119" s="5">
        <f t="shared" si="137"/>
        <v>2.3592254618295127E-2</v>
      </c>
      <c r="S1119" s="5">
        <f t="shared" si="138"/>
        <v>0.47169811320754718</v>
      </c>
      <c r="T1119" s="5">
        <f t="shared" si="139"/>
        <v>0</v>
      </c>
      <c r="U1119" s="5">
        <f t="shared" si="140"/>
        <v>0</v>
      </c>
      <c r="V1119" s="6">
        <f t="shared" si="141"/>
        <v>15.709000000000001</v>
      </c>
      <c r="W1119" s="7">
        <f t="shared" si="142"/>
        <v>7.4099056603773592</v>
      </c>
      <c r="X1119" s="5">
        <f t="shared" si="143"/>
        <v>-1</v>
      </c>
    </row>
    <row r="1120" spans="1:24" x14ac:dyDescent="0.35">
      <c r="A1120" s="3">
        <v>46208</v>
      </c>
      <c r="B1120" t="s">
        <v>1596</v>
      </c>
      <c r="C1120" t="s">
        <v>1598</v>
      </c>
      <c r="D1120" t="s">
        <v>18</v>
      </c>
      <c r="E1120" t="s">
        <v>25</v>
      </c>
      <c r="F1120" t="s">
        <v>20</v>
      </c>
      <c r="G1120" t="s">
        <v>27</v>
      </c>
      <c r="H1120" t="s">
        <v>28</v>
      </c>
      <c r="I1120">
        <v>1755</v>
      </c>
      <c r="J1120">
        <v>1626</v>
      </c>
      <c r="K1120">
        <v>1487</v>
      </c>
      <c r="L1120">
        <v>58</v>
      </c>
      <c r="M1120">
        <v>35</v>
      </c>
      <c r="N1120">
        <v>2</v>
      </c>
      <c r="O1120">
        <v>190.99</v>
      </c>
      <c r="P1120">
        <v>2475.23</v>
      </c>
      <c r="Q1120" s="5">
        <f t="shared" si="136"/>
        <v>0.91451414514145146</v>
      </c>
      <c r="R1120" s="5">
        <f t="shared" si="137"/>
        <v>3.9004707464694012E-2</v>
      </c>
      <c r="S1120" s="5">
        <f t="shared" si="138"/>
        <v>0.60344827586206895</v>
      </c>
      <c r="T1120" s="5">
        <f t="shared" si="139"/>
        <v>5.7142857142857141E-2</v>
      </c>
      <c r="U1120" s="5">
        <f t="shared" si="140"/>
        <v>1.3449899125756557E-3</v>
      </c>
      <c r="V1120" s="6">
        <f t="shared" si="141"/>
        <v>5.4568571428571433</v>
      </c>
      <c r="W1120" s="7">
        <f t="shared" si="142"/>
        <v>3.2929310344827587</v>
      </c>
      <c r="X1120" s="5">
        <f t="shared" si="143"/>
        <v>11.959997905649509</v>
      </c>
    </row>
    <row r="1121" spans="1:24" x14ac:dyDescent="0.35">
      <c r="A1121" s="3">
        <v>46208</v>
      </c>
      <c r="B1121" t="s">
        <v>1553</v>
      </c>
      <c r="C1121" t="s">
        <v>1599</v>
      </c>
      <c r="D1121" t="s">
        <v>34</v>
      </c>
      <c r="E1121" t="s">
        <v>35</v>
      </c>
      <c r="F1121" t="s">
        <v>20</v>
      </c>
      <c r="G1121" t="s">
        <v>36</v>
      </c>
      <c r="H1121" t="s">
        <v>48</v>
      </c>
      <c r="I1121">
        <v>4859</v>
      </c>
      <c r="J1121">
        <v>4819</v>
      </c>
      <c r="K1121">
        <v>4678</v>
      </c>
      <c r="L1121">
        <v>296</v>
      </c>
      <c r="M1121">
        <v>117</v>
      </c>
      <c r="N1121">
        <v>7</v>
      </c>
      <c r="O1121">
        <v>438.2</v>
      </c>
      <c r="P1121">
        <v>7373.38</v>
      </c>
      <c r="Q1121" s="5">
        <f t="shared" si="136"/>
        <v>0.97074081759701181</v>
      </c>
      <c r="R1121" s="5">
        <f t="shared" si="137"/>
        <v>6.3274903805044885E-2</v>
      </c>
      <c r="S1121" s="5">
        <f t="shared" si="138"/>
        <v>0.39527027027027029</v>
      </c>
      <c r="T1121" s="5">
        <f t="shared" si="139"/>
        <v>5.9829059829059832E-2</v>
      </c>
      <c r="U1121" s="5">
        <f t="shared" si="140"/>
        <v>1.4963659683625481E-3</v>
      </c>
      <c r="V1121" s="6">
        <f t="shared" si="141"/>
        <v>3.7452991452991453</v>
      </c>
      <c r="W1121" s="7">
        <f t="shared" si="142"/>
        <v>1.4804054054054054</v>
      </c>
      <c r="X1121" s="5">
        <f t="shared" si="143"/>
        <v>15.826517571884985</v>
      </c>
    </row>
    <row r="1122" spans="1:24" x14ac:dyDescent="0.35">
      <c r="A1122" s="3">
        <v>46208</v>
      </c>
      <c r="B1122" t="s">
        <v>1580</v>
      </c>
      <c r="C1122" t="s">
        <v>1600</v>
      </c>
      <c r="D1122" t="s">
        <v>31</v>
      </c>
      <c r="E1122" t="s">
        <v>35</v>
      </c>
      <c r="F1122" t="s">
        <v>20</v>
      </c>
      <c r="G1122" t="s">
        <v>21</v>
      </c>
      <c r="H1122" t="s">
        <v>28</v>
      </c>
      <c r="I1122">
        <v>4652</v>
      </c>
      <c r="J1122">
        <v>3719</v>
      </c>
      <c r="K1122">
        <v>3563</v>
      </c>
      <c r="L1122">
        <v>196</v>
      </c>
      <c r="M1122">
        <v>65</v>
      </c>
      <c r="N1122">
        <v>6</v>
      </c>
      <c r="O1122">
        <v>657.67</v>
      </c>
      <c r="P1122">
        <v>5568.35</v>
      </c>
      <c r="Q1122" s="5">
        <f t="shared" si="136"/>
        <v>0.95805324011831139</v>
      </c>
      <c r="R1122" s="5">
        <f t="shared" si="137"/>
        <v>5.50098231827112E-2</v>
      </c>
      <c r="S1122" s="5">
        <f t="shared" si="138"/>
        <v>0.33163265306122447</v>
      </c>
      <c r="T1122" s="5">
        <f t="shared" si="139"/>
        <v>9.2307692307692313E-2</v>
      </c>
      <c r="U1122" s="5">
        <f t="shared" si="140"/>
        <v>1.6839741790625876E-3</v>
      </c>
      <c r="V1122" s="6">
        <f t="shared" si="141"/>
        <v>10.117999999999999</v>
      </c>
      <c r="W1122" s="7">
        <f t="shared" si="142"/>
        <v>3.3554591836734691</v>
      </c>
      <c r="X1122" s="5">
        <f t="shared" si="143"/>
        <v>7.4667842535009967</v>
      </c>
    </row>
    <row r="1123" spans="1:24" x14ac:dyDescent="0.35">
      <c r="A1123" s="3">
        <v>46209</v>
      </c>
      <c r="B1123" t="s">
        <v>1601</v>
      </c>
      <c r="C1123" t="s">
        <v>1602</v>
      </c>
      <c r="D1123" t="s">
        <v>31</v>
      </c>
      <c r="E1123" t="s">
        <v>35</v>
      </c>
      <c r="F1123" t="s">
        <v>26</v>
      </c>
      <c r="G1123" t="s">
        <v>36</v>
      </c>
      <c r="H1123" t="s">
        <v>37</v>
      </c>
      <c r="I1123">
        <v>2199</v>
      </c>
      <c r="J1123">
        <v>1640</v>
      </c>
      <c r="K1123">
        <v>1553</v>
      </c>
      <c r="L1123">
        <v>105</v>
      </c>
      <c r="M1123">
        <v>56</v>
      </c>
      <c r="N1123">
        <v>5</v>
      </c>
      <c r="O1123">
        <v>325.29000000000002</v>
      </c>
      <c r="P1123">
        <v>4305.75</v>
      </c>
      <c r="Q1123" s="5">
        <f t="shared" si="136"/>
        <v>0.94695121951219507</v>
      </c>
      <c r="R1123" s="5">
        <f t="shared" si="137"/>
        <v>6.7611075338055382E-2</v>
      </c>
      <c r="S1123" s="5">
        <f t="shared" si="138"/>
        <v>0.53333333333333333</v>
      </c>
      <c r="T1123" s="5">
        <f t="shared" si="139"/>
        <v>8.9285714285714288E-2</v>
      </c>
      <c r="U1123" s="5">
        <f t="shared" si="140"/>
        <v>3.2195750160978749E-3</v>
      </c>
      <c r="V1123" s="6">
        <f t="shared" si="141"/>
        <v>5.8087500000000007</v>
      </c>
      <c r="W1123" s="7">
        <f t="shared" si="142"/>
        <v>3.0980000000000003</v>
      </c>
      <c r="X1123" s="5">
        <f t="shared" si="143"/>
        <v>12.236650373512864</v>
      </c>
    </row>
    <row r="1124" spans="1:24" x14ac:dyDescent="0.35">
      <c r="A1124" s="3">
        <v>46209</v>
      </c>
      <c r="B1124" t="s">
        <v>1603</v>
      </c>
      <c r="C1124" t="s">
        <v>1604</v>
      </c>
      <c r="D1124" t="s">
        <v>34</v>
      </c>
      <c r="E1124" t="s">
        <v>35</v>
      </c>
      <c r="F1124" t="s">
        <v>20</v>
      </c>
      <c r="G1124" t="s">
        <v>41</v>
      </c>
      <c r="H1124" t="s">
        <v>28</v>
      </c>
      <c r="I1124">
        <v>3238</v>
      </c>
      <c r="J1124">
        <v>2951</v>
      </c>
      <c r="K1124">
        <v>2771</v>
      </c>
      <c r="L1124">
        <v>212</v>
      </c>
      <c r="M1124">
        <v>113</v>
      </c>
      <c r="N1124">
        <v>7</v>
      </c>
      <c r="O1124">
        <v>246.93</v>
      </c>
      <c r="P1124">
        <v>11325.17</v>
      </c>
      <c r="Q1124" s="5">
        <f t="shared" si="136"/>
        <v>0.93900372754998307</v>
      </c>
      <c r="R1124" s="5">
        <f t="shared" si="137"/>
        <v>7.6506676290147957E-2</v>
      </c>
      <c r="S1124" s="5">
        <f t="shared" si="138"/>
        <v>0.53301886792452835</v>
      </c>
      <c r="T1124" s="5">
        <f t="shared" si="139"/>
        <v>6.1946902654867256E-2</v>
      </c>
      <c r="U1124" s="5">
        <f t="shared" si="140"/>
        <v>2.5261638397690365E-3</v>
      </c>
      <c r="V1124" s="6">
        <f t="shared" si="141"/>
        <v>2.1852212389380532</v>
      </c>
      <c r="W1124" s="7">
        <f t="shared" si="142"/>
        <v>1.1647641509433964</v>
      </c>
      <c r="X1124" s="5">
        <f t="shared" si="143"/>
        <v>44.863888551411328</v>
      </c>
    </row>
    <row r="1125" spans="1:24" x14ac:dyDescent="0.35">
      <c r="A1125" s="3">
        <v>46209</v>
      </c>
      <c r="B1125" t="s">
        <v>1566</v>
      </c>
      <c r="C1125" t="s">
        <v>1605</v>
      </c>
      <c r="D1125" t="s">
        <v>34</v>
      </c>
      <c r="E1125" t="s">
        <v>56</v>
      </c>
      <c r="F1125" t="s">
        <v>20</v>
      </c>
      <c r="G1125" t="s">
        <v>59</v>
      </c>
      <c r="H1125" t="s">
        <v>48</v>
      </c>
      <c r="I1125">
        <v>2339</v>
      </c>
      <c r="J1125">
        <v>1970</v>
      </c>
      <c r="K1125">
        <v>1844</v>
      </c>
      <c r="L1125">
        <v>93</v>
      </c>
      <c r="M1125">
        <v>49</v>
      </c>
      <c r="N1125">
        <v>2</v>
      </c>
      <c r="O1125">
        <v>149.59</v>
      </c>
      <c r="P1125">
        <v>2246.8000000000002</v>
      </c>
      <c r="Q1125" s="5">
        <f t="shared" si="136"/>
        <v>0.93604060913705589</v>
      </c>
      <c r="R1125" s="5">
        <f t="shared" si="137"/>
        <v>5.0433839479392624E-2</v>
      </c>
      <c r="S1125" s="5">
        <f t="shared" si="138"/>
        <v>0.5268817204301075</v>
      </c>
      <c r="T1125" s="5">
        <f t="shared" si="139"/>
        <v>4.0816326530612242E-2</v>
      </c>
      <c r="U1125" s="5">
        <f t="shared" si="140"/>
        <v>1.0845986984815619E-3</v>
      </c>
      <c r="V1125" s="6">
        <f t="shared" si="141"/>
        <v>3.0528571428571429</v>
      </c>
      <c r="W1125" s="7">
        <f t="shared" si="142"/>
        <v>1.6084946236559141</v>
      </c>
      <c r="X1125" s="5">
        <f t="shared" si="143"/>
        <v>14.019720569556789</v>
      </c>
    </row>
    <row r="1126" spans="1:24" x14ac:dyDescent="0.35">
      <c r="A1126" s="3">
        <v>46209</v>
      </c>
      <c r="B1126" t="s">
        <v>1606</v>
      </c>
      <c r="C1126" t="s">
        <v>1607</v>
      </c>
      <c r="D1126" t="s">
        <v>40</v>
      </c>
      <c r="E1126" t="s">
        <v>35</v>
      </c>
      <c r="F1126" t="s">
        <v>26</v>
      </c>
      <c r="G1126" t="s">
        <v>36</v>
      </c>
      <c r="H1126" t="s">
        <v>22</v>
      </c>
      <c r="I1126">
        <v>1585</v>
      </c>
      <c r="J1126">
        <v>1434</v>
      </c>
      <c r="K1126">
        <v>1319</v>
      </c>
      <c r="L1126">
        <v>149</v>
      </c>
      <c r="M1126">
        <v>81</v>
      </c>
      <c r="N1126">
        <v>7</v>
      </c>
      <c r="O1126">
        <v>244.78</v>
      </c>
      <c r="P1126">
        <v>11810.45</v>
      </c>
      <c r="Q1126" s="5">
        <f t="shared" si="136"/>
        <v>0.91980474198047424</v>
      </c>
      <c r="R1126" s="5">
        <f t="shared" si="137"/>
        <v>0.11296436694465505</v>
      </c>
      <c r="S1126" s="5">
        <f t="shared" si="138"/>
        <v>0.5436241610738255</v>
      </c>
      <c r="T1126" s="5">
        <f t="shared" si="139"/>
        <v>8.6419753086419748E-2</v>
      </c>
      <c r="U1126" s="5">
        <f t="shared" si="140"/>
        <v>5.3070507960576198E-3</v>
      </c>
      <c r="V1126" s="6">
        <f t="shared" si="141"/>
        <v>3.0219753086419754</v>
      </c>
      <c r="W1126" s="7">
        <f t="shared" si="142"/>
        <v>1.6428187919463086</v>
      </c>
      <c r="X1126" s="5">
        <f t="shared" si="143"/>
        <v>47.249244219298966</v>
      </c>
    </row>
    <row r="1127" spans="1:24" x14ac:dyDescent="0.35">
      <c r="A1127" s="3">
        <v>46209</v>
      </c>
      <c r="B1127" t="s">
        <v>1555</v>
      </c>
      <c r="C1127" t="s">
        <v>1608</v>
      </c>
      <c r="D1127" t="s">
        <v>18</v>
      </c>
      <c r="E1127" t="s">
        <v>25</v>
      </c>
      <c r="F1127" t="s">
        <v>20</v>
      </c>
      <c r="G1127" t="s">
        <v>27</v>
      </c>
      <c r="H1127" t="s">
        <v>51</v>
      </c>
      <c r="I1127">
        <v>4115</v>
      </c>
      <c r="J1127">
        <v>3194</v>
      </c>
      <c r="K1127">
        <v>2956</v>
      </c>
      <c r="L1127">
        <v>101</v>
      </c>
      <c r="M1127">
        <v>50</v>
      </c>
      <c r="N1127">
        <v>2</v>
      </c>
      <c r="O1127">
        <v>366.97</v>
      </c>
      <c r="P1127">
        <v>1612.32</v>
      </c>
      <c r="Q1127" s="5">
        <f t="shared" si="136"/>
        <v>0.92548528490920479</v>
      </c>
      <c r="R1127" s="5">
        <f t="shared" si="137"/>
        <v>3.4167794316644115E-2</v>
      </c>
      <c r="S1127" s="5">
        <f t="shared" si="138"/>
        <v>0.49504950495049505</v>
      </c>
      <c r="T1127" s="5">
        <f t="shared" si="139"/>
        <v>0.04</v>
      </c>
      <c r="U1127" s="5">
        <f t="shared" si="140"/>
        <v>6.7658998646820032E-4</v>
      </c>
      <c r="V1127" s="6">
        <f t="shared" si="141"/>
        <v>7.3394000000000004</v>
      </c>
      <c r="W1127" s="7">
        <f t="shared" si="142"/>
        <v>3.6333663366336637</v>
      </c>
      <c r="X1127" s="5">
        <f t="shared" si="143"/>
        <v>3.3936016568111831</v>
      </c>
    </row>
    <row r="1128" spans="1:24" x14ac:dyDescent="0.35">
      <c r="A1128" s="3">
        <v>46209</v>
      </c>
      <c r="B1128" t="s">
        <v>1609</v>
      </c>
      <c r="C1128" t="s">
        <v>1610</v>
      </c>
      <c r="D1128" t="s">
        <v>31</v>
      </c>
      <c r="E1128" t="s">
        <v>19</v>
      </c>
      <c r="F1128" t="s">
        <v>26</v>
      </c>
      <c r="G1128" t="s">
        <v>59</v>
      </c>
      <c r="H1128" t="s">
        <v>51</v>
      </c>
      <c r="I1128">
        <v>4219</v>
      </c>
      <c r="J1128">
        <v>3756</v>
      </c>
      <c r="K1128">
        <v>3543</v>
      </c>
      <c r="L1128">
        <v>44</v>
      </c>
      <c r="M1128">
        <v>26</v>
      </c>
      <c r="N1128">
        <v>0</v>
      </c>
      <c r="O1128">
        <v>691.82</v>
      </c>
      <c r="P1128">
        <v>0</v>
      </c>
      <c r="Q1128" s="5">
        <f t="shared" si="136"/>
        <v>0.94329073482428116</v>
      </c>
      <c r="R1128" s="5">
        <f t="shared" si="137"/>
        <v>1.2418854078464579E-2</v>
      </c>
      <c r="S1128" s="5">
        <f t="shared" si="138"/>
        <v>0.59090909090909094</v>
      </c>
      <c r="T1128" s="5">
        <f t="shared" si="139"/>
        <v>0</v>
      </c>
      <c r="U1128" s="5">
        <f t="shared" si="140"/>
        <v>0</v>
      </c>
      <c r="V1128" s="6">
        <f t="shared" si="141"/>
        <v>26.60846153846154</v>
      </c>
      <c r="W1128" s="7">
        <f t="shared" si="142"/>
        <v>15.723181818181819</v>
      </c>
      <c r="X1128" s="5">
        <f t="shared" si="143"/>
        <v>-1</v>
      </c>
    </row>
    <row r="1129" spans="1:24" x14ac:dyDescent="0.35">
      <c r="A1129" s="3">
        <v>46209</v>
      </c>
      <c r="B1129" t="s">
        <v>1557</v>
      </c>
      <c r="C1129" t="s">
        <v>1611</v>
      </c>
      <c r="D1129" t="s">
        <v>40</v>
      </c>
      <c r="E1129" t="s">
        <v>35</v>
      </c>
      <c r="F1129" t="s">
        <v>26</v>
      </c>
      <c r="G1129" t="s">
        <v>41</v>
      </c>
      <c r="H1129" t="s">
        <v>22</v>
      </c>
      <c r="I1129">
        <v>2659</v>
      </c>
      <c r="J1129">
        <v>2075</v>
      </c>
      <c r="K1129">
        <v>1957</v>
      </c>
      <c r="L1129">
        <v>223</v>
      </c>
      <c r="M1129">
        <v>140</v>
      </c>
      <c r="N1129">
        <v>13</v>
      </c>
      <c r="O1129">
        <v>349.09</v>
      </c>
      <c r="P1129">
        <v>11830.55</v>
      </c>
      <c r="Q1129" s="5">
        <f t="shared" si="136"/>
        <v>0.94313253012048193</v>
      </c>
      <c r="R1129" s="5">
        <f t="shared" si="137"/>
        <v>0.11394992335206949</v>
      </c>
      <c r="S1129" s="5">
        <f t="shared" si="138"/>
        <v>0.62780269058295968</v>
      </c>
      <c r="T1129" s="5">
        <f t="shared" si="139"/>
        <v>9.285714285714286E-2</v>
      </c>
      <c r="U1129" s="5">
        <f t="shared" si="140"/>
        <v>6.6428206438426162E-3</v>
      </c>
      <c r="V1129" s="6">
        <f t="shared" si="141"/>
        <v>2.4934999999999996</v>
      </c>
      <c r="W1129" s="7">
        <f t="shared" si="142"/>
        <v>1.5654260089686098</v>
      </c>
      <c r="X1129" s="5">
        <f t="shared" si="143"/>
        <v>32.889684608553665</v>
      </c>
    </row>
    <row r="1130" spans="1:24" x14ac:dyDescent="0.35">
      <c r="A1130" s="3">
        <v>46210</v>
      </c>
      <c r="B1130" t="s">
        <v>1612</v>
      </c>
      <c r="C1130" t="s">
        <v>1613</v>
      </c>
      <c r="D1130" t="s">
        <v>18</v>
      </c>
      <c r="E1130" t="s">
        <v>35</v>
      </c>
      <c r="F1130" t="s">
        <v>20</v>
      </c>
      <c r="G1130" t="s">
        <v>59</v>
      </c>
      <c r="H1130" t="s">
        <v>48</v>
      </c>
      <c r="I1130">
        <v>1495</v>
      </c>
      <c r="J1130">
        <v>1109</v>
      </c>
      <c r="K1130">
        <v>990</v>
      </c>
      <c r="L1130">
        <v>80</v>
      </c>
      <c r="M1130">
        <v>37</v>
      </c>
      <c r="N1130">
        <v>3</v>
      </c>
      <c r="O1130">
        <v>134.69999999999999</v>
      </c>
      <c r="P1130">
        <v>3795.27</v>
      </c>
      <c r="Q1130" s="5">
        <f t="shared" si="136"/>
        <v>0.89269612263300269</v>
      </c>
      <c r="R1130" s="5">
        <f t="shared" si="137"/>
        <v>8.0808080808080815E-2</v>
      </c>
      <c r="S1130" s="5">
        <f t="shared" si="138"/>
        <v>0.46250000000000002</v>
      </c>
      <c r="T1130" s="5">
        <f t="shared" si="139"/>
        <v>8.1081081081081086E-2</v>
      </c>
      <c r="U1130" s="5">
        <f t="shared" si="140"/>
        <v>3.0303030303030303E-3</v>
      </c>
      <c r="V1130" s="6">
        <f t="shared" si="141"/>
        <v>3.6405405405405404</v>
      </c>
      <c r="W1130" s="7">
        <f t="shared" si="142"/>
        <v>1.6837499999999999</v>
      </c>
      <c r="X1130" s="5">
        <f t="shared" si="143"/>
        <v>27.17572383073497</v>
      </c>
    </row>
    <row r="1131" spans="1:24" x14ac:dyDescent="0.35">
      <c r="A1131" s="3">
        <v>46210</v>
      </c>
      <c r="B1131" t="s">
        <v>1614</v>
      </c>
      <c r="C1131" t="s">
        <v>1615</v>
      </c>
      <c r="D1131" t="s">
        <v>31</v>
      </c>
      <c r="E1131" t="s">
        <v>35</v>
      </c>
      <c r="F1131" t="s">
        <v>20</v>
      </c>
      <c r="G1131" t="s">
        <v>21</v>
      </c>
      <c r="H1131" t="s">
        <v>22</v>
      </c>
      <c r="I1131">
        <v>470</v>
      </c>
      <c r="J1131">
        <v>416</v>
      </c>
      <c r="K1131">
        <v>409</v>
      </c>
      <c r="L1131">
        <v>19</v>
      </c>
      <c r="M1131">
        <v>8</v>
      </c>
      <c r="N1131">
        <v>0</v>
      </c>
      <c r="O1131">
        <v>89.78</v>
      </c>
      <c r="P1131">
        <v>0</v>
      </c>
      <c r="Q1131" s="5">
        <f t="shared" si="136"/>
        <v>0.98317307692307687</v>
      </c>
      <c r="R1131" s="5">
        <f t="shared" si="137"/>
        <v>4.6454767726161368E-2</v>
      </c>
      <c r="S1131" s="5">
        <f t="shared" si="138"/>
        <v>0.42105263157894735</v>
      </c>
      <c r="T1131" s="5">
        <f t="shared" si="139"/>
        <v>0</v>
      </c>
      <c r="U1131" s="5">
        <f t="shared" si="140"/>
        <v>0</v>
      </c>
      <c r="V1131" s="6">
        <f t="shared" si="141"/>
        <v>11.2225</v>
      </c>
      <c r="W1131" s="7">
        <f t="shared" si="142"/>
        <v>4.7252631578947373</v>
      </c>
      <c r="X1131" s="5">
        <f t="shared" si="143"/>
        <v>-1</v>
      </c>
    </row>
    <row r="1132" spans="1:24" x14ac:dyDescent="0.35">
      <c r="A1132" s="3">
        <v>46210</v>
      </c>
      <c r="B1132" t="s">
        <v>1616</v>
      </c>
      <c r="C1132" t="s">
        <v>1617</v>
      </c>
      <c r="D1132" t="s">
        <v>34</v>
      </c>
      <c r="E1132" t="s">
        <v>25</v>
      </c>
      <c r="F1132" t="s">
        <v>20</v>
      </c>
      <c r="G1132" t="s">
        <v>21</v>
      </c>
      <c r="H1132" t="s">
        <v>28</v>
      </c>
      <c r="I1132">
        <v>2742</v>
      </c>
      <c r="J1132">
        <v>2282</v>
      </c>
      <c r="K1132">
        <v>2118</v>
      </c>
      <c r="L1132">
        <v>64</v>
      </c>
      <c r="M1132">
        <v>32</v>
      </c>
      <c r="N1132">
        <v>1</v>
      </c>
      <c r="O1132">
        <v>190.25</v>
      </c>
      <c r="P1132">
        <v>825.42</v>
      </c>
      <c r="Q1132" s="5">
        <f t="shared" si="136"/>
        <v>0.92813321647677471</v>
      </c>
      <c r="R1132" s="5">
        <f t="shared" si="137"/>
        <v>3.0217186024551465E-2</v>
      </c>
      <c r="S1132" s="5">
        <f t="shared" si="138"/>
        <v>0.5</v>
      </c>
      <c r="T1132" s="5">
        <f t="shared" si="139"/>
        <v>3.125E-2</v>
      </c>
      <c r="U1132" s="5">
        <f t="shared" si="140"/>
        <v>4.7214353163361664E-4</v>
      </c>
      <c r="V1132" s="6">
        <f t="shared" si="141"/>
        <v>5.9453125</v>
      </c>
      <c r="W1132" s="7">
        <f t="shared" si="142"/>
        <v>2.97265625</v>
      </c>
      <c r="X1132" s="5">
        <f t="shared" si="143"/>
        <v>3.3386070959264122</v>
      </c>
    </row>
    <row r="1133" spans="1:24" x14ac:dyDescent="0.35">
      <c r="A1133" s="3">
        <v>46210</v>
      </c>
      <c r="B1133" t="s">
        <v>1618</v>
      </c>
      <c r="C1133" t="s">
        <v>1619</v>
      </c>
      <c r="D1133" t="s">
        <v>34</v>
      </c>
      <c r="E1133" t="s">
        <v>25</v>
      </c>
      <c r="F1133" t="s">
        <v>20</v>
      </c>
      <c r="G1133" t="s">
        <v>36</v>
      </c>
      <c r="H1133" t="s">
        <v>37</v>
      </c>
      <c r="I1133">
        <v>3964</v>
      </c>
      <c r="J1133">
        <v>3658</v>
      </c>
      <c r="K1133">
        <v>3522</v>
      </c>
      <c r="L1133">
        <v>129</v>
      </c>
      <c r="M1133">
        <v>67</v>
      </c>
      <c r="N1133">
        <v>2</v>
      </c>
      <c r="O1133">
        <v>290.81</v>
      </c>
      <c r="P1133">
        <v>1747.46</v>
      </c>
      <c r="Q1133" s="5">
        <f t="shared" si="136"/>
        <v>0.96282121377802077</v>
      </c>
      <c r="R1133" s="5">
        <f t="shared" si="137"/>
        <v>3.6626916524701875E-2</v>
      </c>
      <c r="S1133" s="5">
        <f t="shared" si="138"/>
        <v>0.51937984496124034</v>
      </c>
      <c r="T1133" s="5">
        <f t="shared" si="139"/>
        <v>2.9850746268656716E-2</v>
      </c>
      <c r="U1133" s="5">
        <f t="shared" si="140"/>
        <v>5.6785917092561046E-4</v>
      </c>
      <c r="V1133" s="6">
        <f t="shared" si="141"/>
        <v>4.3404477611940298</v>
      </c>
      <c r="W1133" s="7">
        <f t="shared" si="142"/>
        <v>2.2543410852713177</v>
      </c>
      <c r="X1133" s="5">
        <f t="shared" si="143"/>
        <v>5.0089405453732683</v>
      </c>
    </row>
    <row r="1134" spans="1:24" x14ac:dyDescent="0.35">
      <c r="A1134" s="3">
        <v>46210</v>
      </c>
      <c r="B1134" t="s">
        <v>1555</v>
      </c>
      <c r="C1134" t="s">
        <v>1620</v>
      </c>
      <c r="D1134" t="s">
        <v>31</v>
      </c>
      <c r="E1134" t="s">
        <v>56</v>
      </c>
      <c r="F1134" t="s">
        <v>26</v>
      </c>
      <c r="G1134" t="s">
        <v>27</v>
      </c>
      <c r="H1134" t="s">
        <v>22</v>
      </c>
      <c r="I1134">
        <v>1484</v>
      </c>
      <c r="J1134">
        <v>1203</v>
      </c>
      <c r="K1134">
        <v>1146</v>
      </c>
      <c r="L1134">
        <v>59</v>
      </c>
      <c r="M1134">
        <v>35</v>
      </c>
      <c r="N1134">
        <v>2</v>
      </c>
      <c r="O1134">
        <v>225.21</v>
      </c>
      <c r="P1134">
        <v>2555.9699999999998</v>
      </c>
      <c r="Q1134" s="5">
        <f t="shared" si="136"/>
        <v>0.95261845386533661</v>
      </c>
      <c r="R1134" s="5">
        <f t="shared" si="137"/>
        <v>5.1483420593368238E-2</v>
      </c>
      <c r="S1134" s="5">
        <f t="shared" si="138"/>
        <v>0.59322033898305082</v>
      </c>
      <c r="T1134" s="5">
        <f t="shared" si="139"/>
        <v>5.7142857142857141E-2</v>
      </c>
      <c r="U1134" s="5">
        <f t="shared" si="140"/>
        <v>1.7452006980802793E-3</v>
      </c>
      <c r="V1134" s="6">
        <f t="shared" si="141"/>
        <v>6.4345714285714291</v>
      </c>
      <c r="W1134" s="7">
        <f t="shared" si="142"/>
        <v>3.8171186440677967</v>
      </c>
      <c r="X1134" s="5">
        <f t="shared" si="143"/>
        <v>10.349274010923137</v>
      </c>
    </row>
    <row r="1135" spans="1:24" x14ac:dyDescent="0.35">
      <c r="A1135" s="3">
        <v>46210</v>
      </c>
      <c r="B1135" t="s">
        <v>1621</v>
      </c>
      <c r="C1135" t="s">
        <v>1622</v>
      </c>
      <c r="D1135" t="s">
        <v>40</v>
      </c>
      <c r="E1135" t="s">
        <v>35</v>
      </c>
      <c r="F1135" t="s">
        <v>20</v>
      </c>
      <c r="G1135" t="s">
        <v>36</v>
      </c>
      <c r="H1135" t="s">
        <v>48</v>
      </c>
      <c r="I1135">
        <v>3911</v>
      </c>
      <c r="J1135">
        <v>3695</v>
      </c>
      <c r="K1135">
        <v>3398</v>
      </c>
      <c r="L1135">
        <v>194</v>
      </c>
      <c r="M1135">
        <v>92</v>
      </c>
      <c r="N1135">
        <v>8</v>
      </c>
      <c r="O1135">
        <v>638.22</v>
      </c>
      <c r="P1135">
        <v>12031.74</v>
      </c>
      <c r="Q1135" s="5">
        <f t="shared" si="136"/>
        <v>0.91962110960757781</v>
      </c>
      <c r="R1135" s="5">
        <f t="shared" si="137"/>
        <v>5.7092407298410829E-2</v>
      </c>
      <c r="S1135" s="5">
        <f t="shared" si="138"/>
        <v>0.47422680412371132</v>
      </c>
      <c r="T1135" s="5">
        <f t="shared" si="139"/>
        <v>8.6956521739130432E-2</v>
      </c>
      <c r="U1135" s="5">
        <f t="shared" si="140"/>
        <v>2.3543260741612712E-3</v>
      </c>
      <c r="V1135" s="6">
        <f t="shared" si="141"/>
        <v>6.9371739130434786</v>
      </c>
      <c r="W1135" s="7">
        <f t="shared" si="142"/>
        <v>3.2897938144329899</v>
      </c>
      <c r="X1135" s="5">
        <f t="shared" si="143"/>
        <v>17.852025947165554</v>
      </c>
    </row>
    <row r="1136" spans="1:24" x14ac:dyDescent="0.35">
      <c r="A1136" s="3">
        <v>46210</v>
      </c>
      <c r="B1136" t="s">
        <v>1572</v>
      </c>
      <c r="C1136" t="s">
        <v>1623</v>
      </c>
      <c r="D1136" t="s">
        <v>18</v>
      </c>
      <c r="E1136" t="s">
        <v>35</v>
      </c>
      <c r="F1136" t="s">
        <v>26</v>
      </c>
      <c r="G1136" t="s">
        <v>21</v>
      </c>
      <c r="H1136" t="s">
        <v>51</v>
      </c>
      <c r="I1136">
        <v>3542</v>
      </c>
      <c r="J1136">
        <v>3027</v>
      </c>
      <c r="K1136">
        <v>2708</v>
      </c>
      <c r="L1136">
        <v>289</v>
      </c>
      <c r="M1136">
        <v>162</v>
      </c>
      <c r="N1136">
        <v>13</v>
      </c>
      <c r="O1136">
        <v>329.14</v>
      </c>
      <c r="P1136">
        <v>13770.59</v>
      </c>
      <c r="Q1136" s="5">
        <f t="shared" si="136"/>
        <v>0.89461513049223651</v>
      </c>
      <c r="R1136" s="5">
        <f t="shared" si="137"/>
        <v>0.10672082717872969</v>
      </c>
      <c r="S1136" s="5">
        <f t="shared" si="138"/>
        <v>0.56055363321799312</v>
      </c>
      <c r="T1136" s="5">
        <f t="shared" si="139"/>
        <v>8.0246913580246909E-2</v>
      </c>
      <c r="U1136" s="5">
        <f t="shared" si="140"/>
        <v>4.8005908419497785E-3</v>
      </c>
      <c r="V1136" s="6">
        <f t="shared" si="141"/>
        <v>2.0317283950617284</v>
      </c>
      <c r="W1136" s="7">
        <f t="shared" si="142"/>
        <v>1.1388927335640138</v>
      </c>
      <c r="X1136" s="5">
        <f t="shared" si="143"/>
        <v>40.838093212614694</v>
      </c>
    </row>
    <row r="1137" spans="1:24" x14ac:dyDescent="0.35">
      <c r="A1137" s="3">
        <v>46210</v>
      </c>
      <c r="B1137" t="s">
        <v>1584</v>
      </c>
      <c r="C1137" t="s">
        <v>1624</v>
      </c>
      <c r="D1137" t="s">
        <v>18</v>
      </c>
      <c r="E1137" t="s">
        <v>25</v>
      </c>
      <c r="F1137" t="s">
        <v>26</v>
      </c>
      <c r="G1137" t="s">
        <v>36</v>
      </c>
      <c r="H1137" t="s">
        <v>22</v>
      </c>
      <c r="I1137">
        <v>2091</v>
      </c>
      <c r="J1137">
        <v>1859</v>
      </c>
      <c r="K1137">
        <v>1691</v>
      </c>
      <c r="L1137">
        <v>73</v>
      </c>
      <c r="M1137">
        <v>50</v>
      </c>
      <c r="N1137">
        <v>3</v>
      </c>
      <c r="O1137">
        <v>228.63</v>
      </c>
      <c r="P1137">
        <v>2897.12</v>
      </c>
      <c r="Q1137" s="5">
        <f t="shared" si="136"/>
        <v>0.90962883270575579</v>
      </c>
      <c r="R1137" s="5">
        <f t="shared" si="137"/>
        <v>4.3169722057953872E-2</v>
      </c>
      <c r="S1137" s="5">
        <f t="shared" si="138"/>
        <v>0.68493150684931503</v>
      </c>
      <c r="T1137" s="5">
        <f t="shared" si="139"/>
        <v>0.06</v>
      </c>
      <c r="U1137" s="5">
        <f t="shared" si="140"/>
        <v>1.7740981667652277E-3</v>
      </c>
      <c r="V1137" s="6">
        <f t="shared" si="141"/>
        <v>4.5725999999999996</v>
      </c>
      <c r="W1137" s="7">
        <f t="shared" si="142"/>
        <v>3.1319178082191779</v>
      </c>
      <c r="X1137" s="5">
        <f t="shared" si="143"/>
        <v>11.671652888947207</v>
      </c>
    </row>
    <row r="1138" spans="1:24" x14ac:dyDescent="0.35">
      <c r="A1138" s="3">
        <v>46211</v>
      </c>
      <c r="B1138" t="s">
        <v>1625</v>
      </c>
      <c r="C1138" t="s">
        <v>1626</v>
      </c>
      <c r="D1138" t="s">
        <v>40</v>
      </c>
      <c r="E1138" t="s">
        <v>25</v>
      </c>
      <c r="F1138" t="s">
        <v>20</v>
      </c>
      <c r="G1138" t="s">
        <v>36</v>
      </c>
      <c r="H1138" t="s">
        <v>48</v>
      </c>
      <c r="I1138">
        <v>2459</v>
      </c>
      <c r="J1138">
        <v>2295</v>
      </c>
      <c r="K1138">
        <v>2161</v>
      </c>
      <c r="L1138">
        <v>88</v>
      </c>
      <c r="M1138">
        <v>50</v>
      </c>
      <c r="N1138">
        <v>2</v>
      </c>
      <c r="O1138">
        <v>322.43</v>
      </c>
      <c r="P1138">
        <v>2260.7600000000002</v>
      </c>
      <c r="Q1138" s="5">
        <f t="shared" si="136"/>
        <v>0.9416122004357298</v>
      </c>
      <c r="R1138" s="5">
        <f t="shared" si="137"/>
        <v>4.0721888014807958E-2</v>
      </c>
      <c r="S1138" s="5">
        <f t="shared" si="138"/>
        <v>0.56818181818181823</v>
      </c>
      <c r="T1138" s="5">
        <f t="shared" si="139"/>
        <v>0.04</v>
      </c>
      <c r="U1138" s="5">
        <f t="shared" si="140"/>
        <v>9.254974548819991E-4</v>
      </c>
      <c r="V1138" s="6">
        <f t="shared" si="141"/>
        <v>6.4485999999999999</v>
      </c>
      <c r="W1138" s="7">
        <f t="shared" si="142"/>
        <v>3.6639772727272728</v>
      </c>
      <c r="X1138" s="5">
        <f t="shared" si="143"/>
        <v>6.0116304314114695</v>
      </c>
    </row>
    <row r="1139" spans="1:24" x14ac:dyDescent="0.35">
      <c r="A1139" s="3">
        <v>46211</v>
      </c>
      <c r="B1139" t="s">
        <v>1578</v>
      </c>
      <c r="C1139" t="s">
        <v>1627</v>
      </c>
      <c r="D1139" t="s">
        <v>31</v>
      </c>
      <c r="E1139" t="s">
        <v>35</v>
      </c>
      <c r="F1139" t="s">
        <v>26</v>
      </c>
      <c r="G1139" t="s">
        <v>41</v>
      </c>
      <c r="H1139" t="s">
        <v>28</v>
      </c>
      <c r="I1139">
        <v>1583</v>
      </c>
      <c r="J1139">
        <v>1173</v>
      </c>
      <c r="K1139">
        <v>1105</v>
      </c>
      <c r="L1139">
        <v>69</v>
      </c>
      <c r="M1139">
        <v>34</v>
      </c>
      <c r="N1139">
        <v>4</v>
      </c>
      <c r="O1139">
        <v>234.97</v>
      </c>
      <c r="P1139">
        <v>5139.5200000000004</v>
      </c>
      <c r="Q1139" s="5">
        <f t="shared" si="136"/>
        <v>0.94202898550724634</v>
      </c>
      <c r="R1139" s="5">
        <f t="shared" si="137"/>
        <v>6.244343891402715E-2</v>
      </c>
      <c r="S1139" s="5">
        <f t="shared" si="138"/>
        <v>0.49275362318840582</v>
      </c>
      <c r="T1139" s="5">
        <f t="shared" si="139"/>
        <v>0.11764705882352941</v>
      </c>
      <c r="U1139" s="5">
        <f t="shared" si="140"/>
        <v>3.6199095022624436E-3</v>
      </c>
      <c r="V1139" s="6">
        <f t="shared" si="141"/>
        <v>6.9108823529411767</v>
      </c>
      <c r="W1139" s="7">
        <f t="shared" si="142"/>
        <v>3.4053623188405795</v>
      </c>
      <c r="X1139" s="5">
        <f t="shared" si="143"/>
        <v>20.873090181725328</v>
      </c>
    </row>
    <row r="1140" spans="1:24" x14ac:dyDescent="0.35">
      <c r="A1140" s="3">
        <v>46211</v>
      </c>
      <c r="B1140" t="s">
        <v>1628</v>
      </c>
      <c r="C1140" t="s">
        <v>1629</v>
      </c>
      <c r="D1140" t="s">
        <v>31</v>
      </c>
      <c r="E1140" t="s">
        <v>25</v>
      </c>
      <c r="F1140" t="s">
        <v>20</v>
      </c>
      <c r="G1140" t="s">
        <v>59</v>
      </c>
      <c r="H1140" t="s">
        <v>22</v>
      </c>
      <c r="I1140">
        <v>1680</v>
      </c>
      <c r="J1140">
        <v>1215</v>
      </c>
      <c r="K1140">
        <v>1174</v>
      </c>
      <c r="L1140">
        <v>22</v>
      </c>
      <c r="M1140">
        <v>10</v>
      </c>
      <c r="N1140">
        <v>0</v>
      </c>
      <c r="O1140">
        <v>242.3</v>
      </c>
      <c r="P1140">
        <v>0</v>
      </c>
      <c r="Q1140" s="5">
        <f t="shared" si="136"/>
        <v>0.96625514403292179</v>
      </c>
      <c r="R1140" s="5">
        <f t="shared" si="137"/>
        <v>1.8739352640545145E-2</v>
      </c>
      <c r="S1140" s="5">
        <f t="shared" si="138"/>
        <v>0.45454545454545453</v>
      </c>
      <c r="T1140" s="5">
        <f t="shared" si="139"/>
        <v>0</v>
      </c>
      <c r="U1140" s="5">
        <f t="shared" si="140"/>
        <v>0</v>
      </c>
      <c r="V1140" s="6">
        <f t="shared" si="141"/>
        <v>24.23</v>
      </c>
      <c r="W1140" s="7">
        <f t="shared" si="142"/>
        <v>11.013636363636364</v>
      </c>
      <c r="X1140" s="5">
        <f t="shared" si="143"/>
        <v>-1</v>
      </c>
    </row>
    <row r="1141" spans="1:24" x14ac:dyDescent="0.35">
      <c r="A1141" s="3">
        <v>46211</v>
      </c>
      <c r="B1141" t="s">
        <v>1618</v>
      </c>
      <c r="C1141" t="s">
        <v>1630</v>
      </c>
      <c r="D1141" t="s">
        <v>34</v>
      </c>
      <c r="E1141" t="s">
        <v>56</v>
      </c>
      <c r="F1141" t="s">
        <v>20</v>
      </c>
      <c r="G1141" t="s">
        <v>59</v>
      </c>
      <c r="H1141" t="s">
        <v>22</v>
      </c>
      <c r="I1141">
        <v>518</v>
      </c>
      <c r="J1141">
        <v>514</v>
      </c>
      <c r="K1141">
        <v>486</v>
      </c>
      <c r="L1141">
        <v>22</v>
      </c>
      <c r="M1141">
        <v>9</v>
      </c>
      <c r="N1141">
        <v>1</v>
      </c>
      <c r="O1141">
        <v>44.43</v>
      </c>
      <c r="P1141">
        <v>1040.53</v>
      </c>
      <c r="Q1141" s="5">
        <f t="shared" si="136"/>
        <v>0.94552529182879375</v>
      </c>
      <c r="R1141" s="5">
        <f t="shared" si="137"/>
        <v>4.5267489711934158E-2</v>
      </c>
      <c r="S1141" s="5">
        <f t="shared" si="138"/>
        <v>0.40909090909090912</v>
      </c>
      <c r="T1141" s="5">
        <f t="shared" si="139"/>
        <v>0.1111111111111111</v>
      </c>
      <c r="U1141" s="5">
        <f t="shared" si="140"/>
        <v>2.05761316872428E-3</v>
      </c>
      <c r="V1141" s="6">
        <f t="shared" si="141"/>
        <v>4.9366666666666665</v>
      </c>
      <c r="W1141" s="7">
        <f t="shared" si="142"/>
        <v>2.0195454545454545</v>
      </c>
      <c r="X1141" s="5">
        <f t="shared" si="143"/>
        <v>22.419536349313528</v>
      </c>
    </row>
    <row r="1142" spans="1:24" x14ac:dyDescent="0.35">
      <c r="A1142" s="3">
        <v>46211</v>
      </c>
      <c r="B1142" t="s">
        <v>1591</v>
      </c>
      <c r="C1142" t="s">
        <v>1631</v>
      </c>
      <c r="D1142" t="s">
        <v>34</v>
      </c>
      <c r="E1142" t="s">
        <v>56</v>
      </c>
      <c r="F1142" t="s">
        <v>20</v>
      </c>
      <c r="G1142" t="s">
        <v>41</v>
      </c>
      <c r="H1142" t="s">
        <v>22</v>
      </c>
      <c r="I1142">
        <v>1013</v>
      </c>
      <c r="J1142">
        <v>912</v>
      </c>
      <c r="K1142">
        <v>868</v>
      </c>
      <c r="L1142">
        <v>48</v>
      </c>
      <c r="M1142">
        <v>22</v>
      </c>
      <c r="N1142">
        <v>1</v>
      </c>
      <c r="O1142">
        <v>85.71</v>
      </c>
      <c r="P1142">
        <v>916.13</v>
      </c>
      <c r="Q1142" s="5">
        <f t="shared" si="136"/>
        <v>0.95175438596491224</v>
      </c>
      <c r="R1142" s="5">
        <f t="shared" si="137"/>
        <v>5.5299539170506916E-2</v>
      </c>
      <c r="S1142" s="5">
        <f t="shared" si="138"/>
        <v>0.45833333333333331</v>
      </c>
      <c r="T1142" s="5">
        <f t="shared" si="139"/>
        <v>4.5454545454545456E-2</v>
      </c>
      <c r="U1142" s="5">
        <f t="shared" si="140"/>
        <v>1.152073732718894E-3</v>
      </c>
      <c r="V1142" s="6">
        <f t="shared" si="141"/>
        <v>3.8959090909090905</v>
      </c>
      <c r="W1142" s="7">
        <f t="shared" si="142"/>
        <v>1.7856249999999998</v>
      </c>
      <c r="X1142" s="5">
        <f t="shared" si="143"/>
        <v>9.6887177692217943</v>
      </c>
    </row>
    <row r="1143" spans="1:24" x14ac:dyDescent="0.35">
      <c r="A1143" s="3">
        <v>46211</v>
      </c>
      <c r="B1143" t="s">
        <v>1632</v>
      </c>
      <c r="C1143" t="s">
        <v>1633</v>
      </c>
      <c r="D1143" t="s">
        <v>34</v>
      </c>
      <c r="E1143" t="s">
        <v>19</v>
      </c>
      <c r="F1143" t="s">
        <v>20</v>
      </c>
      <c r="G1143" t="s">
        <v>59</v>
      </c>
      <c r="H1143" t="s">
        <v>37</v>
      </c>
      <c r="I1143">
        <v>4059</v>
      </c>
      <c r="J1143">
        <v>3450</v>
      </c>
      <c r="K1143">
        <v>3223</v>
      </c>
      <c r="L1143">
        <v>29</v>
      </c>
      <c r="M1143">
        <v>13</v>
      </c>
      <c r="N1143">
        <v>0</v>
      </c>
      <c r="O1143">
        <v>326.19</v>
      </c>
      <c r="P1143">
        <v>0</v>
      </c>
      <c r="Q1143" s="5">
        <f t="shared" si="136"/>
        <v>0.93420289855072469</v>
      </c>
      <c r="R1143" s="5">
        <f t="shared" si="137"/>
        <v>8.9978281104560968E-3</v>
      </c>
      <c r="S1143" s="5">
        <f t="shared" si="138"/>
        <v>0.44827586206896552</v>
      </c>
      <c r="T1143" s="5">
        <f t="shared" si="139"/>
        <v>0</v>
      </c>
      <c r="U1143" s="5">
        <f t="shared" si="140"/>
        <v>0</v>
      </c>
      <c r="V1143" s="6">
        <f t="shared" si="141"/>
        <v>25.091538461538462</v>
      </c>
      <c r="W1143" s="7">
        <f t="shared" si="142"/>
        <v>11.247931034482759</v>
      </c>
      <c r="X1143" s="5">
        <f t="shared" si="143"/>
        <v>-1</v>
      </c>
    </row>
    <row r="1144" spans="1:24" x14ac:dyDescent="0.35">
      <c r="A1144" s="3">
        <v>46211</v>
      </c>
      <c r="B1144" t="s">
        <v>1634</v>
      </c>
      <c r="C1144" t="s">
        <v>1635</v>
      </c>
      <c r="D1144" t="s">
        <v>34</v>
      </c>
      <c r="E1144" t="s">
        <v>19</v>
      </c>
      <c r="F1144" t="s">
        <v>26</v>
      </c>
      <c r="G1144" t="s">
        <v>36</v>
      </c>
      <c r="H1144" t="s">
        <v>22</v>
      </c>
      <c r="I1144">
        <v>573</v>
      </c>
      <c r="J1144">
        <v>421</v>
      </c>
      <c r="K1144">
        <v>406</v>
      </c>
      <c r="L1144">
        <v>12</v>
      </c>
      <c r="M1144">
        <v>7</v>
      </c>
      <c r="N1144">
        <v>0</v>
      </c>
      <c r="O1144">
        <v>34.01</v>
      </c>
      <c r="P1144">
        <v>0</v>
      </c>
      <c r="Q1144" s="5">
        <f t="shared" si="136"/>
        <v>0.96437054631828978</v>
      </c>
      <c r="R1144" s="5">
        <f t="shared" si="137"/>
        <v>2.9556650246305417E-2</v>
      </c>
      <c r="S1144" s="5">
        <f t="shared" si="138"/>
        <v>0.58333333333333337</v>
      </c>
      <c r="T1144" s="5">
        <f t="shared" si="139"/>
        <v>0</v>
      </c>
      <c r="U1144" s="5">
        <f t="shared" si="140"/>
        <v>0</v>
      </c>
      <c r="V1144" s="6">
        <f t="shared" si="141"/>
        <v>4.8585714285714285</v>
      </c>
      <c r="W1144" s="7">
        <f t="shared" si="142"/>
        <v>2.8341666666666665</v>
      </c>
      <c r="X1144" s="5">
        <f t="shared" si="143"/>
        <v>-1</v>
      </c>
    </row>
    <row r="1145" spans="1:24" x14ac:dyDescent="0.35">
      <c r="A1145" s="3">
        <v>46212</v>
      </c>
      <c r="B1145" t="s">
        <v>1636</v>
      </c>
      <c r="C1145" t="s">
        <v>1637</v>
      </c>
      <c r="D1145" t="s">
        <v>34</v>
      </c>
      <c r="E1145" t="s">
        <v>35</v>
      </c>
      <c r="F1145" t="s">
        <v>26</v>
      </c>
      <c r="G1145" t="s">
        <v>41</v>
      </c>
      <c r="H1145" t="s">
        <v>48</v>
      </c>
      <c r="I1145">
        <v>2995</v>
      </c>
      <c r="J1145">
        <v>2993</v>
      </c>
      <c r="K1145">
        <v>2821</v>
      </c>
      <c r="L1145">
        <v>285</v>
      </c>
      <c r="M1145">
        <v>164</v>
      </c>
      <c r="N1145">
        <v>16</v>
      </c>
      <c r="O1145">
        <v>264.11</v>
      </c>
      <c r="P1145">
        <v>25289.14</v>
      </c>
      <c r="Q1145" s="5">
        <f t="shared" si="136"/>
        <v>0.94253257601069163</v>
      </c>
      <c r="R1145" s="5">
        <f t="shared" si="137"/>
        <v>0.1010280042538107</v>
      </c>
      <c r="S1145" s="5">
        <f t="shared" si="138"/>
        <v>0.57543859649122808</v>
      </c>
      <c r="T1145" s="5">
        <f t="shared" si="139"/>
        <v>9.7560975609756101E-2</v>
      </c>
      <c r="U1145" s="5">
        <f t="shared" si="140"/>
        <v>5.6717476072314782E-3</v>
      </c>
      <c r="V1145" s="6">
        <f t="shared" si="141"/>
        <v>1.6104268292682928</v>
      </c>
      <c r="W1145" s="7">
        <f t="shared" si="142"/>
        <v>0.92670175438596492</v>
      </c>
      <c r="X1145" s="5">
        <f t="shared" si="143"/>
        <v>94.752300177956144</v>
      </c>
    </row>
    <row r="1146" spans="1:24" x14ac:dyDescent="0.35">
      <c r="A1146" s="3">
        <v>46212</v>
      </c>
      <c r="B1146" t="s">
        <v>1553</v>
      </c>
      <c r="C1146" t="s">
        <v>1638</v>
      </c>
      <c r="D1146" t="s">
        <v>34</v>
      </c>
      <c r="E1146" t="s">
        <v>25</v>
      </c>
      <c r="F1146" t="s">
        <v>20</v>
      </c>
      <c r="G1146" t="s">
        <v>21</v>
      </c>
      <c r="H1146" t="s">
        <v>48</v>
      </c>
      <c r="I1146">
        <v>1532</v>
      </c>
      <c r="J1146">
        <v>1377</v>
      </c>
      <c r="K1146">
        <v>1358</v>
      </c>
      <c r="L1146">
        <v>47</v>
      </c>
      <c r="M1146">
        <v>21</v>
      </c>
      <c r="N1146">
        <v>1</v>
      </c>
      <c r="O1146">
        <v>113.56</v>
      </c>
      <c r="P1146">
        <v>1374.07</v>
      </c>
      <c r="Q1146" s="5">
        <f t="shared" si="136"/>
        <v>0.98620188816267251</v>
      </c>
      <c r="R1146" s="5">
        <f t="shared" si="137"/>
        <v>3.4609720176730488E-2</v>
      </c>
      <c r="S1146" s="5">
        <f t="shared" si="138"/>
        <v>0.44680851063829785</v>
      </c>
      <c r="T1146" s="5">
        <f t="shared" si="139"/>
        <v>4.7619047619047616E-2</v>
      </c>
      <c r="U1146" s="5">
        <f t="shared" si="140"/>
        <v>7.3637702503681884E-4</v>
      </c>
      <c r="V1146" s="6">
        <f t="shared" si="141"/>
        <v>5.4076190476190478</v>
      </c>
      <c r="W1146" s="7">
        <f t="shared" si="142"/>
        <v>2.4161702127659574</v>
      </c>
      <c r="X1146" s="5">
        <f t="shared" si="143"/>
        <v>11.099947164494541</v>
      </c>
    </row>
    <row r="1147" spans="1:24" x14ac:dyDescent="0.35">
      <c r="A1147" s="3">
        <v>46212</v>
      </c>
      <c r="B1147" t="s">
        <v>1593</v>
      </c>
      <c r="C1147" t="s">
        <v>1639</v>
      </c>
      <c r="D1147" t="s">
        <v>34</v>
      </c>
      <c r="E1147" t="s">
        <v>25</v>
      </c>
      <c r="F1147" t="s">
        <v>20</v>
      </c>
      <c r="G1147" t="s">
        <v>59</v>
      </c>
      <c r="H1147" t="s">
        <v>28</v>
      </c>
      <c r="I1147">
        <v>4957</v>
      </c>
      <c r="J1147">
        <v>4161</v>
      </c>
      <c r="K1147">
        <v>3837</v>
      </c>
      <c r="L1147">
        <v>77</v>
      </c>
      <c r="M1147">
        <v>38</v>
      </c>
      <c r="N1147">
        <v>1</v>
      </c>
      <c r="O1147">
        <v>371.28</v>
      </c>
      <c r="P1147">
        <v>1308.49</v>
      </c>
      <c r="Q1147" s="5">
        <f t="shared" si="136"/>
        <v>0.92213410237923576</v>
      </c>
      <c r="R1147" s="5">
        <f t="shared" si="137"/>
        <v>2.006776127182695E-2</v>
      </c>
      <c r="S1147" s="5">
        <f t="shared" si="138"/>
        <v>0.4935064935064935</v>
      </c>
      <c r="T1147" s="5">
        <f t="shared" si="139"/>
        <v>2.6315789473684209E-2</v>
      </c>
      <c r="U1147" s="5">
        <f t="shared" si="140"/>
        <v>2.6062027625749283E-4</v>
      </c>
      <c r="V1147" s="6">
        <f t="shared" si="141"/>
        <v>9.7705263157894731</v>
      </c>
      <c r="W1147" s="7">
        <f t="shared" si="142"/>
        <v>4.8218181818181813</v>
      </c>
      <c r="X1147" s="5">
        <f t="shared" si="143"/>
        <v>2.5242673992673996</v>
      </c>
    </row>
    <row r="1148" spans="1:24" x14ac:dyDescent="0.35">
      <c r="A1148" s="3">
        <v>46212</v>
      </c>
      <c r="B1148" t="s">
        <v>1640</v>
      </c>
      <c r="C1148" t="s">
        <v>1641</v>
      </c>
      <c r="D1148" t="s">
        <v>31</v>
      </c>
      <c r="E1148" t="s">
        <v>56</v>
      </c>
      <c r="F1148" t="s">
        <v>20</v>
      </c>
      <c r="G1148" t="s">
        <v>59</v>
      </c>
      <c r="H1148" t="s">
        <v>22</v>
      </c>
      <c r="I1148">
        <v>4577</v>
      </c>
      <c r="J1148">
        <v>3864</v>
      </c>
      <c r="K1148">
        <v>3797</v>
      </c>
      <c r="L1148">
        <v>187</v>
      </c>
      <c r="M1148">
        <v>71</v>
      </c>
      <c r="N1148">
        <v>5</v>
      </c>
      <c r="O1148">
        <v>833.68</v>
      </c>
      <c r="P1148">
        <v>3487.89</v>
      </c>
      <c r="Q1148" s="5">
        <f t="shared" si="136"/>
        <v>0.98266045548654246</v>
      </c>
      <c r="R1148" s="5">
        <f t="shared" si="137"/>
        <v>4.9249407426915984E-2</v>
      </c>
      <c r="S1148" s="5">
        <f t="shared" si="138"/>
        <v>0.37967914438502676</v>
      </c>
      <c r="T1148" s="5">
        <f t="shared" si="139"/>
        <v>7.0422535211267609E-2</v>
      </c>
      <c r="U1148" s="5">
        <f t="shared" si="140"/>
        <v>1.3168290755859889E-3</v>
      </c>
      <c r="V1148" s="6">
        <f t="shared" si="141"/>
        <v>11.741971830985914</v>
      </c>
      <c r="W1148" s="7">
        <f t="shared" si="142"/>
        <v>4.458181818181818</v>
      </c>
      <c r="X1148" s="5">
        <f t="shared" si="143"/>
        <v>3.1837275693311584</v>
      </c>
    </row>
    <row r="1149" spans="1:24" x14ac:dyDescent="0.35">
      <c r="A1149" s="3">
        <v>46212</v>
      </c>
      <c r="B1149" t="s">
        <v>1621</v>
      </c>
      <c r="C1149" t="s">
        <v>1642</v>
      </c>
      <c r="D1149" t="s">
        <v>34</v>
      </c>
      <c r="E1149" t="s">
        <v>56</v>
      </c>
      <c r="F1149" t="s">
        <v>20</v>
      </c>
      <c r="G1149" t="s">
        <v>41</v>
      </c>
      <c r="H1149" t="s">
        <v>51</v>
      </c>
      <c r="I1149">
        <v>2815</v>
      </c>
      <c r="J1149">
        <v>2291</v>
      </c>
      <c r="K1149">
        <v>2157</v>
      </c>
      <c r="L1149">
        <v>93</v>
      </c>
      <c r="M1149">
        <v>45</v>
      </c>
      <c r="N1149">
        <v>1</v>
      </c>
      <c r="O1149">
        <v>218.47</v>
      </c>
      <c r="P1149">
        <v>739.05</v>
      </c>
      <c r="Q1149" s="5">
        <f t="shared" si="136"/>
        <v>0.94151025752946316</v>
      </c>
      <c r="R1149" s="5">
        <f t="shared" si="137"/>
        <v>4.3115438108484005E-2</v>
      </c>
      <c r="S1149" s="5">
        <f t="shared" si="138"/>
        <v>0.4838709677419355</v>
      </c>
      <c r="T1149" s="5">
        <f t="shared" si="139"/>
        <v>2.2222222222222223E-2</v>
      </c>
      <c r="U1149" s="5">
        <f t="shared" si="140"/>
        <v>4.6360686138154843E-4</v>
      </c>
      <c r="V1149" s="6">
        <f t="shared" si="141"/>
        <v>4.8548888888888886</v>
      </c>
      <c r="W1149" s="7">
        <f t="shared" si="142"/>
        <v>2.3491397849462365</v>
      </c>
      <c r="X1149" s="5">
        <f t="shared" si="143"/>
        <v>2.3828443264521439</v>
      </c>
    </row>
    <row r="1150" spans="1:24" x14ac:dyDescent="0.35">
      <c r="A1150" s="3">
        <v>46212</v>
      </c>
      <c r="B1150" t="s">
        <v>1643</v>
      </c>
      <c r="C1150" t="s">
        <v>1644</v>
      </c>
      <c r="D1150" t="s">
        <v>34</v>
      </c>
      <c r="E1150" t="s">
        <v>35</v>
      </c>
      <c r="F1150" t="s">
        <v>20</v>
      </c>
      <c r="G1150" t="s">
        <v>41</v>
      </c>
      <c r="H1150" t="s">
        <v>22</v>
      </c>
      <c r="I1150">
        <v>2606</v>
      </c>
      <c r="J1150">
        <v>2575</v>
      </c>
      <c r="K1150">
        <v>2434</v>
      </c>
      <c r="L1150">
        <v>159</v>
      </c>
      <c r="M1150">
        <v>82</v>
      </c>
      <c r="N1150">
        <v>7</v>
      </c>
      <c r="O1150">
        <v>204.17</v>
      </c>
      <c r="P1150">
        <v>9815.0400000000009</v>
      </c>
      <c r="Q1150" s="5">
        <f t="shared" si="136"/>
        <v>0.9452427184466019</v>
      </c>
      <c r="R1150" s="5">
        <f t="shared" si="137"/>
        <v>6.5324568611339354E-2</v>
      </c>
      <c r="S1150" s="5">
        <f t="shared" si="138"/>
        <v>0.51572327044025157</v>
      </c>
      <c r="T1150" s="5">
        <f t="shared" si="139"/>
        <v>8.5365853658536592E-2</v>
      </c>
      <c r="U1150" s="5">
        <f t="shared" si="140"/>
        <v>2.8759244042728021E-3</v>
      </c>
      <c r="V1150" s="6">
        <f t="shared" si="141"/>
        <v>2.4898780487804877</v>
      </c>
      <c r="W1150" s="7">
        <f t="shared" si="142"/>
        <v>1.2840880503144654</v>
      </c>
      <c r="X1150" s="5">
        <f t="shared" si="143"/>
        <v>47.072880442768287</v>
      </c>
    </row>
    <row r="1151" spans="1:24" x14ac:dyDescent="0.35">
      <c r="A1151" s="3">
        <v>46212</v>
      </c>
      <c r="B1151" t="s">
        <v>1584</v>
      </c>
      <c r="C1151" t="s">
        <v>1645</v>
      </c>
      <c r="D1151" t="s">
        <v>31</v>
      </c>
      <c r="E1151" t="s">
        <v>35</v>
      </c>
      <c r="F1151" t="s">
        <v>20</v>
      </c>
      <c r="G1151" t="s">
        <v>27</v>
      </c>
      <c r="H1151" t="s">
        <v>37</v>
      </c>
      <c r="I1151">
        <v>1382</v>
      </c>
      <c r="J1151">
        <v>1125</v>
      </c>
      <c r="K1151">
        <v>1093</v>
      </c>
      <c r="L1151">
        <v>53</v>
      </c>
      <c r="M1151">
        <v>20</v>
      </c>
      <c r="N1151">
        <v>1</v>
      </c>
      <c r="O1151">
        <v>179.68</v>
      </c>
      <c r="P1151">
        <v>1037.6400000000001</v>
      </c>
      <c r="Q1151" s="5">
        <f t="shared" si="136"/>
        <v>0.97155555555555551</v>
      </c>
      <c r="R1151" s="5">
        <f t="shared" si="137"/>
        <v>4.8490393412625801E-2</v>
      </c>
      <c r="S1151" s="5">
        <f t="shared" si="138"/>
        <v>0.37735849056603776</v>
      </c>
      <c r="T1151" s="5">
        <f t="shared" si="139"/>
        <v>0.05</v>
      </c>
      <c r="U1151" s="5">
        <f t="shared" si="140"/>
        <v>9.1491308325709062E-4</v>
      </c>
      <c r="V1151" s="6">
        <f t="shared" si="141"/>
        <v>8.984</v>
      </c>
      <c r="W1151" s="7">
        <f t="shared" si="142"/>
        <v>3.3901886792452833</v>
      </c>
      <c r="X1151" s="5">
        <f t="shared" si="143"/>
        <v>4.77493321460374</v>
      </c>
    </row>
    <row r="1152" spans="1:24" x14ac:dyDescent="0.35">
      <c r="A1152" s="3">
        <v>46212</v>
      </c>
      <c r="B1152" t="s">
        <v>1646</v>
      </c>
      <c r="C1152" t="s">
        <v>1647</v>
      </c>
      <c r="D1152" t="s">
        <v>40</v>
      </c>
      <c r="E1152" t="s">
        <v>19</v>
      </c>
      <c r="F1152" t="s">
        <v>20</v>
      </c>
      <c r="G1152" t="s">
        <v>59</v>
      </c>
      <c r="H1152" t="s">
        <v>51</v>
      </c>
      <c r="I1152">
        <v>3284</v>
      </c>
      <c r="J1152">
        <v>3250</v>
      </c>
      <c r="K1152">
        <v>2992</v>
      </c>
      <c r="L1152">
        <v>22</v>
      </c>
      <c r="M1152">
        <v>9</v>
      </c>
      <c r="N1152">
        <v>0</v>
      </c>
      <c r="O1152">
        <v>481.61</v>
      </c>
      <c r="P1152">
        <v>0</v>
      </c>
      <c r="Q1152" s="5">
        <f t="shared" si="136"/>
        <v>0.92061538461538461</v>
      </c>
      <c r="R1152" s="5">
        <f t="shared" si="137"/>
        <v>7.3529411764705881E-3</v>
      </c>
      <c r="S1152" s="5">
        <f t="shared" si="138"/>
        <v>0.40909090909090912</v>
      </c>
      <c r="T1152" s="5">
        <f t="shared" si="139"/>
        <v>0</v>
      </c>
      <c r="U1152" s="5">
        <f t="shared" si="140"/>
        <v>0</v>
      </c>
      <c r="V1152" s="6">
        <f t="shared" si="141"/>
        <v>53.512222222222221</v>
      </c>
      <c r="W1152" s="7">
        <f t="shared" si="142"/>
        <v>21.891363636363636</v>
      </c>
      <c r="X1152" s="5">
        <f t="shared" si="143"/>
        <v>-1</v>
      </c>
    </row>
    <row r="1153" spans="1:24" x14ac:dyDescent="0.35">
      <c r="A1153" s="3">
        <v>46212</v>
      </c>
      <c r="B1153" t="s">
        <v>1574</v>
      </c>
      <c r="C1153" t="s">
        <v>1648</v>
      </c>
      <c r="D1153" t="s">
        <v>34</v>
      </c>
      <c r="E1153" t="s">
        <v>19</v>
      </c>
      <c r="F1153" t="s">
        <v>20</v>
      </c>
      <c r="G1153" t="s">
        <v>27</v>
      </c>
      <c r="H1153" t="s">
        <v>28</v>
      </c>
      <c r="I1153">
        <v>1348</v>
      </c>
      <c r="J1153">
        <v>1215</v>
      </c>
      <c r="K1153">
        <v>1186</v>
      </c>
      <c r="L1153">
        <v>18</v>
      </c>
      <c r="M1153">
        <v>8</v>
      </c>
      <c r="N1153">
        <v>0</v>
      </c>
      <c r="O1153">
        <v>101.11</v>
      </c>
      <c r="P1153">
        <v>0</v>
      </c>
      <c r="Q1153" s="5">
        <f t="shared" si="136"/>
        <v>0.97613168724279831</v>
      </c>
      <c r="R1153" s="5">
        <f t="shared" si="137"/>
        <v>1.5177065767284991E-2</v>
      </c>
      <c r="S1153" s="5">
        <f t="shared" si="138"/>
        <v>0.44444444444444442</v>
      </c>
      <c r="T1153" s="5">
        <f t="shared" si="139"/>
        <v>0</v>
      </c>
      <c r="U1153" s="5">
        <f t="shared" si="140"/>
        <v>0</v>
      </c>
      <c r="V1153" s="6">
        <f t="shared" si="141"/>
        <v>12.63875</v>
      </c>
      <c r="W1153" s="7">
        <f t="shared" si="142"/>
        <v>5.6172222222222219</v>
      </c>
      <c r="X1153" s="5">
        <f t="shared" si="143"/>
        <v>-1</v>
      </c>
    </row>
    <row r="1154" spans="1:24" x14ac:dyDescent="0.35">
      <c r="A1154" s="3">
        <v>46213</v>
      </c>
      <c r="B1154" t="s">
        <v>1636</v>
      </c>
      <c r="C1154" t="s">
        <v>1649</v>
      </c>
      <c r="D1154" t="s">
        <v>34</v>
      </c>
      <c r="E1154" t="s">
        <v>25</v>
      </c>
      <c r="F1154" t="s">
        <v>20</v>
      </c>
      <c r="G1154" t="s">
        <v>59</v>
      </c>
      <c r="H1154" t="s">
        <v>22</v>
      </c>
      <c r="I1154">
        <v>2154</v>
      </c>
      <c r="J1154">
        <v>1682</v>
      </c>
      <c r="K1154">
        <v>1595</v>
      </c>
      <c r="L1154">
        <v>67</v>
      </c>
      <c r="M1154">
        <v>26</v>
      </c>
      <c r="N1154">
        <v>1</v>
      </c>
      <c r="O1154">
        <v>141.59</v>
      </c>
      <c r="P1154">
        <v>896.3</v>
      </c>
      <c r="Q1154" s="5">
        <f t="shared" si="136"/>
        <v>0.94827586206896552</v>
      </c>
      <c r="R1154" s="5">
        <f t="shared" si="137"/>
        <v>4.200626959247649E-2</v>
      </c>
      <c r="S1154" s="5">
        <f t="shared" si="138"/>
        <v>0.38805970149253732</v>
      </c>
      <c r="T1154" s="5">
        <f t="shared" si="139"/>
        <v>3.8461538461538464E-2</v>
      </c>
      <c r="U1154" s="5">
        <f t="shared" si="140"/>
        <v>6.2695924764890286E-4</v>
      </c>
      <c r="V1154" s="6">
        <f t="shared" si="141"/>
        <v>5.4457692307692307</v>
      </c>
      <c r="W1154" s="7">
        <f t="shared" si="142"/>
        <v>2.1132835820895521</v>
      </c>
      <c r="X1154" s="5">
        <f t="shared" si="143"/>
        <v>5.3302493113920466</v>
      </c>
    </row>
    <row r="1155" spans="1:24" x14ac:dyDescent="0.35">
      <c r="A1155" s="3">
        <v>46213</v>
      </c>
      <c r="B1155" t="s">
        <v>1560</v>
      </c>
      <c r="C1155" t="s">
        <v>1650</v>
      </c>
      <c r="D1155" t="s">
        <v>34</v>
      </c>
      <c r="E1155" t="s">
        <v>19</v>
      </c>
      <c r="F1155" t="s">
        <v>26</v>
      </c>
      <c r="G1155" t="s">
        <v>27</v>
      </c>
      <c r="H1155" t="s">
        <v>28</v>
      </c>
      <c r="I1155">
        <v>4849</v>
      </c>
      <c r="J1155">
        <v>4471</v>
      </c>
      <c r="K1155">
        <v>4159</v>
      </c>
      <c r="L1155">
        <v>42</v>
      </c>
      <c r="M1155">
        <v>26</v>
      </c>
      <c r="N1155">
        <v>1</v>
      </c>
      <c r="O1155">
        <v>378.33</v>
      </c>
      <c r="P1155">
        <v>1298.8</v>
      </c>
      <c r="Q1155" s="5">
        <f t="shared" ref="Q1155:Q1218" si="144">K1155/J1155</f>
        <v>0.93021695370163271</v>
      </c>
      <c r="R1155" s="5">
        <f t="shared" ref="R1155:R1218" si="145">L1155/K1155</f>
        <v>1.0098581389757152E-2</v>
      </c>
      <c r="S1155" s="5">
        <f t="shared" ref="S1155:S1218" si="146">M1155/L1155</f>
        <v>0.61904761904761907</v>
      </c>
      <c r="T1155" s="5">
        <f t="shared" ref="T1155:T1218" si="147">N1155/M1155</f>
        <v>3.8461538461538464E-2</v>
      </c>
      <c r="U1155" s="5">
        <f t="shared" ref="U1155:U1218" si="148">N1155/K1155</f>
        <v>2.4044241404183698E-4</v>
      </c>
      <c r="V1155" s="6">
        <f t="shared" ref="V1155:V1218" si="149">O1155/M1155</f>
        <v>14.551153846153845</v>
      </c>
      <c r="W1155" s="7">
        <f t="shared" ref="W1155:W1218" si="150">O1155/L1155</f>
        <v>9.0078571428571426</v>
      </c>
      <c r="X1155" s="5">
        <f t="shared" ref="X1155:X1218" si="151">(P1155-O1155)/O1155</f>
        <v>2.4329817883858009</v>
      </c>
    </row>
    <row r="1156" spans="1:24" x14ac:dyDescent="0.35">
      <c r="A1156" s="3">
        <v>46213</v>
      </c>
      <c r="B1156" t="s">
        <v>1596</v>
      </c>
      <c r="C1156" t="s">
        <v>1651</v>
      </c>
      <c r="D1156" t="s">
        <v>34</v>
      </c>
      <c r="E1156" t="s">
        <v>56</v>
      </c>
      <c r="F1156" t="s">
        <v>20</v>
      </c>
      <c r="G1156" t="s">
        <v>59</v>
      </c>
      <c r="H1156" t="s">
        <v>37</v>
      </c>
      <c r="I1156">
        <v>1051</v>
      </c>
      <c r="J1156">
        <v>866</v>
      </c>
      <c r="K1156">
        <v>829</v>
      </c>
      <c r="L1156">
        <v>48</v>
      </c>
      <c r="M1156">
        <v>22</v>
      </c>
      <c r="N1156">
        <v>1</v>
      </c>
      <c r="O1156">
        <v>72.819999999999993</v>
      </c>
      <c r="P1156">
        <v>716.93</v>
      </c>
      <c r="Q1156" s="5">
        <f t="shared" si="144"/>
        <v>0.95727482678983833</v>
      </c>
      <c r="R1156" s="5">
        <f t="shared" si="145"/>
        <v>5.790108564535585E-2</v>
      </c>
      <c r="S1156" s="5">
        <f t="shared" si="146"/>
        <v>0.45833333333333331</v>
      </c>
      <c r="T1156" s="5">
        <f t="shared" si="147"/>
        <v>4.5454545454545456E-2</v>
      </c>
      <c r="U1156" s="5">
        <f t="shared" si="148"/>
        <v>1.2062726176115801E-3</v>
      </c>
      <c r="V1156" s="6">
        <f t="shared" si="149"/>
        <v>3.3099999999999996</v>
      </c>
      <c r="W1156" s="7">
        <f t="shared" si="150"/>
        <v>1.5170833333333331</v>
      </c>
      <c r="X1156" s="5">
        <f t="shared" si="151"/>
        <v>8.8452348255973625</v>
      </c>
    </row>
    <row r="1157" spans="1:24" x14ac:dyDescent="0.35">
      <c r="A1157" s="3">
        <v>46213</v>
      </c>
      <c r="B1157" t="s">
        <v>1578</v>
      </c>
      <c r="C1157" t="s">
        <v>1652</v>
      </c>
      <c r="D1157" t="s">
        <v>40</v>
      </c>
      <c r="E1157" t="s">
        <v>25</v>
      </c>
      <c r="F1157" t="s">
        <v>26</v>
      </c>
      <c r="G1157" t="s">
        <v>36</v>
      </c>
      <c r="H1157" t="s">
        <v>37</v>
      </c>
      <c r="I1157">
        <v>2901</v>
      </c>
      <c r="J1157">
        <v>2579</v>
      </c>
      <c r="K1157">
        <v>2341</v>
      </c>
      <c r="L1157">
        <v>115</v>
      </c>
      <c r="M1157">
        <v>71</v>
      </c>
      <c r="N1157">
        <v>4</v>
      </c>
      <c r="O1157">
        <v>360.68</v>
      </c>
      <c r="P1157">
        <v>3414.15</v>
      </c>
      <c r="Q1157" s="5">
        <f t="shared" si="144"/>
        <v>0.9077161690577743</v>
      </c>
      <c r="R1157" s="5">
        <f t="shared" si="145"/>
        <v>4.9124305852199915E-2</v>
      </c>
      <c r="S1157" s="5">
        <f t="shared" si="146"/>
        <v>0.61739130434782608</v>
      </c>
      <c r="T1157" s="5">
        <f t="shared" si="147"/>
        <v>5.6338028169014086E-2</v>
      </c>
      <c r="U1157" s="5">
        <f t="shared" si="148"/>
        <v>1.7086715079026058E-3</v>
      </c>
      <c r="V1157" s="6">
        <f t="shared" si="149"/>
        <v>5.08</v>
      </c>
      <c r="W1157" s="7">
        <f t="shared" si="150"/>
        <v>3.1363478260869564</v>
      </c>
      <c r="X1157" s="5">
        <f t="shared" si="151"/>
        <v>8.4658700232893427</v>
      </c>
    </row>
    <row r="1158" spans="1:24" x14ac:dyDescent="0.35">
      <c r="A1158" s="3">
        <v>46213</v>
      </c>
      <c r="B1158" t="s">
        <v>1653</v>
      </c>
      <c r="C1158" t="s">
        <v>1654</v>
      </c>
      <c r="D1158" t="s">
        <v>31</v>
      </c>
      <c r="E1158" t="s">
        <v>19</v>
      </c>
      <c r="F1158" t="s">
        <v>20</v>
      </c>
      <c r="G1158" t="s">
        <v>59</v>
      </c>
      <c r="H1158" t="s">
        <v>48</v>
      </c>
      <c r="I1158">
        <v>3341</v>
      </c>
      <c r="J1158">
        <v>3214</v>
      </c>
      <c r="K1158">
        <v>3088</v>
      </c>
      <c r="L1158">
        <v>9</v>
      </c>
      <c r="M1158">
        <v>3</v>
      </c>
      <c r="N1158">
        <v>0</v>
      </c>
      <c r="O1158">
        <v>586.52</v>
      </c>
      <c r="P1158">
        <v>0</v>
      </c>
      <c r="Q1158" s="5">
        <f t="shared" si="144"/>
        <v>0.96079651524579968</v>
      </c>
      <c r="R1158" s="5">
        <f t="shared" si="145"/>
        <v>2.9145077720207253E-3</v>
      </c>
      <c r="S1158" s="5">
        <f t="shared" si="146"/>
        <v>0.33333333333333331</v>
      </c>
      <c r="T1158" s="5">
        <f t="shared" si="147"/>
        <v>0</v>
      </c>
      <c r="U1158" s="5">
        <f t="shared" si="148"/>
        <v>0</v>
      </c>
      <c r="V1158" s="6">
        <f t="shared" si="149"/>
        <v>195.50666666666666</v>
      </c>
      <c r="W1158" s="7">
        <f t="shared" si="150"/>
        <v>65.168888888888887</v>
      </c>
      <c r="X1158" s="5">
        <f t="shared" si="151"/>
        <v>-1</v>
      </c>
    </row>
    <row r="1159" spans="1:24" x14ac:dyDescent="0.35">
      <c r="A1159" s="3">
        <v>46213</v>
      </c>
      <c r="B1159" t="s">
        <v>1568</v>
      </c>
      <c r="C1159" t="s">
        <v>1655</v>
      </c>
      <c r="D1159" t="s">
        <v>18</v>
      </c>
      <c r="E1159" t="s">
        <v>35</v>
      </c>
      <c r="F1159" t="s">
        <v>20</v>
      </c>
      <c r="G1159" t="s">
        <v>21</v>
      </c>
      <c r="H1159" t="s">
        <v>51</v>
      </c>
      <c r="I1159">
        <v>2489</v>
      </c>
      <c r="J1159">
        <v>2061</v>
      </c>
      <c r="K1159">
        <v>1950</v>
      </c>
      <c r="L1159">
        <v>163</v>
      </c>
      <c r="M1159">
        <v>80</v>
      </c>
      <c r="N1159">
        <v>5</v>
      </c>
      <c r="O1159">
        <v>218.92</v>
      </c>
      <c r="P1159">
        <v>6947.05</v>
      </c>
      <c r="Q1159" s="5">
        <f t="shared" si="144"/>
        <v>0.94614264919941771</v>
      </c>
      <c r="R1159" s="5">
        <f t="shared" si="145"/>
        <v>8.3589743589743595E-2</v>
      </c>
      <c r="S1159" s="5">
        <f t="shared" si="146"/>
        <v>0.49079754601226994</v>
      </c>
      <c r="T1159" s="5">
        <f t="shared" si="147"/>
        <v>6.25E-2</v>
      </c>
      <c r="U1159" s="5">
        <f t="shared" si="148"/>
        <v>2.5641025641025641E-3</v>
      </c>
      <c r="V1159" s="6">
        <f t="shared" si="149"/>
        <v>2.7364999999999999</v>
      </c>
      <c r="W1159" s="7">
        <f t="shared" si="150"/>
        <v>1.3430674846625765</v>
      </c>
      <c r="X1159" s="5">
        <f t="shared" si="151"/>
        <v>30.733281564041661</v>
      </c>
    </row>
    <row r="1160" spans="1:24" x14ac:dyDescent="0.35">
      <c r="A1160" s="3">
        <v>46213</v>
      </c>
      <c r="B1160" t="s">
        <v>1582</v>
      </c>
      <c r="C1160" t="s">
        <v>1656</v>
      </c>
      <c r="D1160" t="s">
        <v>40</v>
      </c>
      <c r="E1160" t="s">
        <v>25</v>
      </c>
      <c r="F1160" t="s">
        <v>20</v>
      </c>
      <c r="G1160" t="s">
        <v>27</v>
      </c>
      <c r="H1160" t="s">
        <v>37</v>
      </c>
      <c r="I1160">
        <v>2598</v>
      </c>
      <c r="J1160">
        <v>1903</v>
      </c>
      <c r="K1160">
        <v>1775</v>
      </c>
      <c r="L1160">
        <v>71</v>
      </c>
      <c r="M1160">
        <v>36</v>
      </c>
      <c r="N1160">
        <v>2</v>
      </c>
      <c r="O1160">
        <v>317.33999999999997</v>
      </c>
      <c r="P1160">
        <v>2005.79</v>
      </c>
      <c r="Q1160" s="5">
        <f t="shared" si="144"/>
        <v>0.93273778244876515</v>
      </c>
      <c r="R1160" s="5">
        <f t="shared" si="145"/>
        <v>0.04</v>
      </c>
      <c r="S1160" s="5">
        <f t="shared" si="146"/>
        <v>0.50704225352112675</v>
      </c>
      <c r="T1160" s="5">
        <f t="shared" si="147"/>
        <v>5.5555555555555552E-2</v>
      </c>
      <c r="U1160" s="5">
        <f t="shared" si="148"/>
        <v>1.1267605633802818E-3</v>
      </c>
      <c r="V1160" s="6">
        <f t="shared" si="149"/>
        <v>8.8149999999999995</v>
      </c>
      <c r="W1160" s="7">
        <f t="shared" si="150"/>
        <v>4.4695774647887321</v>
      </c>
      <c r="X1160" s="5">
        <f t="shared" si="151"/>
        <v>5.3206340202936921</v>
      </c>
    </row>
    <row r="1161" spans="1:24" x14ac:dyDescent="0.35">
      <c r="A1161" s="3">
        <v>46213</v>
      </c>
      <c r="B1161" t="s">
        <v>1657</v>
      </c>
      <c r="C1161" t="s">
        <v>1658</v>
      </c>
      <c r="D1161" t="s">
        <v>34</v>
      </c>
      <c r="E1161" t="s">
        <v>35</v>
      </c>
      <c r="F1161" t="s">
        <v>20</v>
      </c>
      <c r="G1161" t="s">
        <v>27</v>
      </c>
      <c r="H1161" t="s">
        <v>51</v>
      </c>
      <c r="I1161">
        <v>969</v>
      </c>
      <c r="J1161">
        <v>950</v>
      </c>
      <c r="K1161">
        <v>877</v>
      </c>
      <c r="L1161">
        <v>69</v>
      </c>
      <c r="M1161">
        <v>28</v>
      </c>
      <c r="N1161">
        <v>2</v>
      </c>
      <c r="O1161">
        <v>73.180000000000007</v>
      </c>
      <c r="P1161">
        <v>2976.82</v>
      </c>
      <c r="Q1161" s="5">
        <f t="shared" si="144"/>
        <v>0.92315789473684207</v>
      </c>
      <c r="R1161" s="5">
        <f t="shared" si="145"/>
        <v>7.8677309007981755E-2</v>
      </c>
      <c r="S1161" s="5">
        <f t="shared" si="146"/>
        <v>0.40579710144927539</v>
      </c>
      <c r="T1161" s="5">
        <f t="shared" si="147"/>
        <v>7.1428571428571425E-2</v>
      </c>
      <c r="U1161" s="5">
        <f t="shared" si="148"/>
        <v>2.2805017103762829E-3</v>
      </c>
      <c r="V1161" s="6">
        <f t="shared" si="149"/>
        <v>2.6135714285714289</v>
      </c>
      <c r="W1161" s="7">
        <f t="shared" si="150"/>
        <v>1.0605797101449277</v>
      </c>
      <c r="X1161" s="5">
        <f t="shared" si="151"/>
        <v>39.67805411314567</v>
      </c>
    </row>
    <row r="1162" spans="1:24" x14ac:dyDescent="0.35">
      <c r="A1162" s="3">
        <v>46214</v>
      </c>
      <c r="B1162" t="s">
        <v>1659</v>
      </c>
      <c r="C1162" t="s">
        <v>1660</v>
      </c>
      <c r="D1162" t="s">
        <v>40</v>
      </c>
      <c r="E1162" t="s">
        <v>56</v>
      </c>
      <c r="F1162" t="s">
        <v>20</v>
      </c>
      <c r="G1162" t="s">
        <v>21</v>
      </c>
      <c r="H1162" t="s">
        <v>28</v>
      </c>
      <c r="I1162">
        <v>3896</v>
      </c>
      <c r="J1162">
        <v>2856</v>
      </c>
      <c r="K1162">
        <v>2628</v>
      </c>
      <c r="L1162">
        <v>154</v>
      </c>
      <c r="M1162">
        <v>72</v>
      </c>
      <c r="N1162">
        <v>2</v>
      </c>
      <c r="O1162">
        <v>431.57</v>
      </c>
      <c r="P1162">
        <v>2132.91</v>
      </c>
      <c r="Q1162" s="5">
        <f t="shared" si="144"/>
        <v>0.92016806722689071</v>
      </c>
      <c r="R1162" s="5">
        <f t="shared" si="145"/>
        <v>5.8599695585996953E-2</v>
      </c>
      <c r="S1162" s="5">
        <f t="shared" si="146"/>
        <v>0.46753246753246752</v>
      </c>
      <c r="T1162" s="5">
        <f t="shared" si="147"/>
        <v>2.7777777777777776E-2</v>
      </c>
      <c r="U1162" s="5">
        <f t="shared" si="148"/>
        <v>7.6103500761035003E-4</v>
      </c>
      <c r="V1162" s="6">
        <f t="shared" si="149"/>
        <v>5.9940277777777773</v>
      </c>
      <c r="W1162" s="7">
        <f t="shared" si="150"/>
        <v>2.8024025974025975</v>
      </c>
      <c r="X1162" s="5">
        <f t="shared" si="151"/>
        <v>3.9422109970572561</v>
      </c>
    </row>
    <row r="1163" spans="1:24" x14ac:dyDescent="0.35">
      <c r="A1163" s="3">
        <v>46214</v>
      </c>
      <c r="B1163" t="s">
        <v>1591</v>
      </c>
      <c r="C1163" t="s">
        <v>1661</v>
      </c>
      <c r="D1163" t="s">
        <v>40</v>
      </c>
      <c r="E1163" t="s">
        <v>56</v>
      </c>
      <c r="F1163" t="s">
        <v>20</v>
      </c>
      <c r="G1163" t="s">
        <v>59</v>
      </c>
      <c r="H1163" t="s">
        <v>37</v>
      </c>
      <c r="I1163">
        <v>747</v>
      </c>
      <c r="J1163">
        <v>631</v>
      </c>
      <c r="K1163">
        <v>592</v>
      </c>
      <c r="L1163">
        <v>38</v>
      </c>
      <c r="M1163">
        <v>14</v>
      </c>
      <c r="N1163">
        <v>0</v>
      </c>
      <c r="O1163">
        <v>105.08</v>
      </c>
      <c r="P1163">
        <v>0</v>
      </c>
      <c r="Q1163" s="5">
        <f t="shared" si="144"/>
        <v>0.93819334389857367</v>
      </c>
      <c r="R1163" s="5">
        <f t="shared" si="145"/>
        <v>6.4189189189189186E-2</v>
      </c>
      <c r="S1163" s="5">
        <f t="shared" si="146"/>
        <v>0.36842105263157893</v>
      </c>
      <c r="T1163" s="5">
        <f t="shared" si="147"/>
        <v>0</v>
      </c>
      <c r="U1163" s="5">
        <f t="shared" si="148"/>
        <v>0</v>
      </c>
      <c r="V1163" s="6">
        <f t="shared" si="149"/>
        <v>7.5057142857142853</v>
      </c>
      <c r="W1163" s="7">
        <f t="shared" si="150"/>
        <v>2.7652631578947369</v>
      </c>
      <c r="X1163" s="5">
        <f t="shared" si="151"/>
        <v>-1</v>
      </c>
    </row>
    <row r="1164" spans="1:24" x14ac:dyDescent="0.35">
      <c r="A1164" s="3">
        <v>46214</v>
      </c>
      <c r="B1164" t="s">
        <v>1593</v>
      </c>
      <c r="C1164" t="s">
        <v>1662</v>
      </c>
      <c r="D1164" t="s">
        <v>34</v>
      </c>
      <c r="E1164" t="s">
        <v>56</v>
      </c>
      <c r="F1164" t="s">
        <v>20</v>
      </c>
      <c r="G1164" t="s">
        <v>59</v>
      </c>
      <c r="H1164" t="s">
        <v>48</v>
      </c>
      <c r="I1164">
        <v>2460</v>
      </c>
      <c r="J1164">
        <v>1857</v>
      </c>
      <c r="K1164">
        <v>1722</v>
      </c>
      <c r="L1164">
        <v>85</v>
      </c>
      <c r="M1164">
        <v>41</v>
      </c>
      <c r="N1164">
        <v>2</v>
      </c>
      <c r="O1164">
        <v>171.26</v>
      </c>
      <c r="P1164">
        <v>2584.56</v>
      </c>
      <c r="Q1164" s="5">
        <f t="shared" si="144"/>
        <v>0.9273021001615509</v>
      </c>
      <c r="R1164" s="5">
        <f t="shared" si="145"/>
        <v>4.9361207897793261E-2</v>
      </c>
      <c r="S1164" s="5">
        <f t="shared" si="146"/>
        <v>0.4823529411764706</v>
      </c>
      <c r="T1164" s="5">
        <f t="shared" si="147"/>
        <v>4.878048780487805E-2</v>
      </c>
      <c r="U1164" s="5">
        <f t="shared" si="148"/>
        <v>1.1614401858304297E-3</v>
      </c>
      <c r="V1164" s="6">
        <f t="shared" si="149"/>
        <v>4.177073170731707</v>
      </c>
      <c r="W1164" s="7">
        <f t="shared" si="150"/>
        <v>2.0148235294117645</v>
      </c>
      <c r="X1164" s="5">
        <f t="shared" si="151"/>
        <v>14.09143991591732</v>
      </c>
    </row>
    <row r="1165" spans="1:24" x14ac:dyDescent="0.35">
      <c r="A1165" s="3">
        <v>46214</v>
      </c>
      <c r="B1165" t="s">
        <v>1653</v>
      </c>
      <c r="C1165" t="s">
        <v>1663</v>
      </c>
      <c r="D1165" t="s">
        <v>31</v>
      </c>
      <c r="E1165" t="s">
        <v>25</v>
      </c>
      <c r="F1165" t="s">
        <v>20</v>
      </c>
      <c r="G1165" t="s">
        <v>59</v>
      </c>
      <c r="H1165" t="s">
        <v>51</v>
      </c>
      <c r="I1165">
        <v>2702</v>
      </c>
      <c r="J1165">
        <v>2245</v>
      </c>
      <c r="K1165">
        <v>2141</v>
      </c>
      <c r="L1165">
        <v>78</v>
      </c>
      <c r="M1165">
        <v>35</v>
      </c>
      <c r="N1165">
        <v>0</v>
      </c>
      <c r="O1165">
        <v>461.13</v>
      </c>
      <c r="P1165">
        <v>0</v>
      </c>
      <c r="Q1165" s="5">
        <f t="shared" si="144"/>
        <v>0.95367483296213806</v>
      </c>
      <c r="R1165" s="5">
        <f t="shared" si="145"/>
        <v>3.6431574030826717E-2</v>
      </c>
      <c r="S1165" s="5">
        <f t="shared" si="146"/>
        <v>0.44871794871794873</v>
      </c>
      <c r="T1165" s="5">
        <f t="shared" si="147"/>
        <v>0</v>
      </c>
      <c r="U1165" s="5">
        <f t="shared" si="148"/>
        <v>0</v>
      </c>
      <c r="V1165" s="6">
        <f t="shared" si="149"/>
        <v>13.175142857142857</v>
      </c>
      <c r="W1165" s="7">
        <f t="shared" si="150"/>
        <v>5.9119230769230766</v>
      </c>
      <c r="X1165" s="5">
        <f t="shared" si="151"/>
        <v>-1</v>
      </c>
    </row>
    <row r="1166" spans="1:24" x14ac:dyDescent="0.35">
      <c r="A1166" s="3">
        <v>46214</v>
      </c>
      <c r="B1166" t="s">
        <v>1664</v>
      </c>
      <c r="C1166" t="s">
        <v>1665</v>
      </c>
      <c r="D1166" t="s">
        <v>34</v>
      </c>
      <c r="E1166" t="s">
        <v>25</v>
      </c>
      <c r="F1166" t="s">
        <v>20</v>
      </c>
      <c r="G1166" t="s">
        <v>59</v>
      </c>
      <c r="H1166" t="s">
        <v>51</v>
      </c>
      <c r="I1166">
        <v>4200</v>
      </c>
      <c r="J1166">
        <v>3989</v>
      </c>
      <c r="K1166">
        <v>3727</v>
      </c>
      <c r="L1166">
        <v>118</v>
      </c>
      <c r="M1166">
        <v>49</v>
      </c>
      <c r="N1166">
        <v>2</v>
      </c>
      <c r="O1166">
        <v>352.69</v>
      </c>
      <c r="P1166">
        <v>1703.05</v>
      </c>
      <c r="Q1166" s="5">
        <f t="shared" si="144"/>
        <v>0.93431937829029832</v>
      </c>
      <c r="R1166" s="5">
        <f t="shared" si="145"/>
        <v>3.1660853233163401E-2</v>
      </c>
      <c r="S1166" s="5">
        <f t="shared" si="146"/>
        <v>0.4152542372881356</v>
      </c>
      <c r="T1166" s="5">
        <f t="shared" si="147"/>
        <v>4.0816326530612242E-2</v>
      </c>
      <c r="U1166" s="5">
        <f t="shared" si="148"/>
        <v>5.3662463107056611E-4</v>
      </c>
      <c r="V1166" s="6">
        <f t="shared" si="149"/>
        <v>7.1977551020408166</v>
      </c>
      <c r="W1166" s="7">
        <f t="shared" si="150"/>
        <v>2.9888983050847457</v>
      </c>
      <c r="X1166" s="5">
        <f t="shared" si="151"/>
        <v>3.8287447900422467</v>
      </c>
    </row>
    <row r="1167" spans="1:24" x14ac:dyDescent="0.35">
      <c r="A1167" s="3">
        <v>46215</v>
      </c>
      <c r="B1167" t="s">
        <v>1596</v>
      </c>
      <c r="C1167" t="s">
        <v>1666</v>
      </c>
      <c r="D1167" t="s">
        <v>40</v>
      </c>
      <c r="E1167" t="s">
        <v>56</v>
      </c>
      <c r="F1167" t="s">
        <v>20</v>
      </c>
      <c r="G1167" t="s">
        <v>21</v>
      </c>
      <c r="H1167" t="s">
        <v>22</v>
      </c>
      <c r="I1167">
        <v>3454</v>
      </c>
      <c r="J1167">
        <v>2556</v>
      </c>
      <c r="K1167">
        <v>2313</v>
      </c>
      <c r="L1167">
        <v>109</v>
      </c>
      <c r="M1167">
        <v>56</v>
      </c>
      <c r="N1167">
        <v>4</v>
      </c>
      <c r="O1167">
        <v>374.81</v>
      </c>
      <c r="P1167">
        <v>3297.26</v>
      </c>
      <c r="Q1167" s="5">
        <f t="shared" si="144"/>
        <v>0.90492957746478875</v>
      </c>
      <c r="R1167" s="5">
        <f t="shared" si="145"/>
        <v>4.7124945957630782E-2</v>
      </c>
      <c r="S1167" s="5">
        <f t="shared" si="146"/>
        <v>0.51376146788990829</v>
      </c>
      <c r="T1167" s="5">
        <f t="shared" si="147"/>
        <v>7.1428571428571425E-2</v>
      </c>
      <c r="U1167" s="5">
        <f t="shared" si="148"/>
        <v>1.7293558149589277E-3</v>
      </c>
      <c r="V1167" s="6">
        <f t="shared" si="149"/>
        <v>6.6930357142857142</v>
      </c>
      <c r="W1167" s="7">
        <f t="shared" si="150"/>
        <v>3.4386238532110092</v>
      </c>
      <c r="X1167" s="5">
        <f t="shared" si="151"/>
        <v>7.7971505562818502</v>
      </c>
    </row>
    <row r="1168" spans="1:24" x14ac:dyDescent="0.35">
      <c r="A1168" s="3">
        <v>46215</v>
      </c>
      <c r="B1168" t="s">
        <v>1564</v>
      </c>
      <c r="C1168" t="s">
        <v>1667</v>
      </c>
      <c r="D1168" t="s">
        <v>18</v>
      </c>
      <c r="E1168" t="s">
        <v>56</v>
      </c>
      <c r="F1168" t="s">
        <v>20</v>
      </c>
      <c r="G1168" t="s">
        <v>41</v>
      </c>
      <c r="H1168" t="s">
        <v>48</v>
      </c>
      <c r="I1168">
        <v>3796</v>
      </c>
      <c r="J1168">
        <v>3277</v>
      </c>
      <c r="K1168">
        <v>2955</v>
      </c>
      <c r="L1168">
        <v>117</v>
      </c>
      <c r="M1168">
        <v>63</v>
      </c>
      <c r="N1168">
        <v>3</v>
      </c>
      <c r="O1168">
        <v>362.74</v>
      </c>
      <c r="P1168">
        <v>4153.66</v>
      </c>
      <c r="Q1168" s="5">
        <f t="shared" si="144"/>
        <v>0.90173939578883122</v>
      </c>
      <c r="R1168" s="5">
        <f t="shared" si="145"/>
        <v>3.9593908629441621E-2</v>
      </c>
      <c r="S1168" s="5">
        <f t="shared" si="146"/>
        <v>0.53846153846153844</v>
      </c>
      <c r="T1168" s="5">
        <f t="shared" si="147"/>
        <v>4.7619047619047616E-2</v>
      </c>
      <c r="U1168" s="5">
        <f t="shared" si="148"/>
        <v>1.0152284263959391E-3</v>
      </c>
      <c r="V1168" s="6">
        <f t="shared" si="149"/>
        <v>5.7577777777777781</v>
      </c>
      <c r="W1168" s="7">
        <f t="shared" si="150"/>
        <v>3.1003418803418805</v>
      </c>
      <c r="X1168" s="5">
        <f t="shared" si="151"/>
        <v>10.45079120030876</v>
      </c>
    </row>
    <row r="1169" spans="1:24" x14ac:dyDescent="0.35">
      <c r="A1169" s="3">
        <v>46216</v>
      </c>
      <c r="B1169" t="s">
        <v>1601</v>
      </c>
      <c r="C1169" t="s">
        <v>1668</v>
      </c>
      <c r="D1169" t="s">
        <v>31</v>
      </c>
      <c r="E1169" t="s">
        <v>25</v>
      </c>
      <c r="F1169" t="s">
        <v>20</v>
      </c>
      <c r="G1169" t="s">
        <v>27</v>
      </c>
      <c r="H1169" t="s">
        <v>48</v>
      </c>
      <c r="I1169">
        <v>2061</v>
      </c>
      <c r="J1169">
        <v>1683</v>
      </c>
      <c r="K1169">
        <v>1606</v>
      </c>
      <c r="L1169">
        <v>34</v>
      </c>
      <c r="M1169">
        <v>12</v>
      </c>
      <c r="N1169">
        <v>0</v>
      </c>
      <c r="O1169">
        <v>270.10000000000002</v>
      </c>
      <c r="P1169">
        <v>0</v>
      </c>
      <c r="Q1169" s="5">
        <f t="shared" si="144"/>
        <v>0.95424836601307195</v>
      </c>
      <c r="R1169" s="5">
        <f t="shared" si="145"/>
        <v>2.1170610211706103E-2</v>
      </c>
      <c r="S1169" s="5">
        <f t="shared" si="146"/>
        <v>0.35294117647058826</v>
      </c>
      <c r="T1169" s="5">
        <f t="shared" si="147"/>
        <v>0</v>
      </c>
      <c r="U1169" s="5">
        <f t="shared" si="148"/>
        <v>0</v>
      </c>
      <c r="V1169" s="6">
        <f t="shared" si="149"/>
        <v>22.508333333333336</v>
      </c>
      <c r="W1169" s="7">
        <f t="shared" si="150"/>
        <v>7.9441176470588246</v>
      </c>
      <c r="X1169" s="5">
        <f t="shared" si="151"/>
        <v>-1</v>
      </c>
    </row>
    <row r="1170" spans="1:24" x14ac:dyDescent="0.35">
      <c r="A1170" s="3">
        <v>46216</v>
      </c>
      <c r="B1170" t="s">
        <v>1614</v>
      </c>
      <c r="C1170" t="s">
        <v>1669</v>
      </c>
      <c r="D1170" t="s">
        <v>34</v>
      </c>
      <c r="E1170" t="s">
        <v>25</v>
      </c>
      <c r="F1170" t="s">
        <v>20</v>
      </c>
      <c r="G1170" t="s">
        <v>36</v>
      </c>
      <c r="H1170" t="s">
        <v>22</v>
      </c>
      <c r="I1170">
        <v>2182</v>
      </c>
      <c r="J1170">
        <v>1643</v>
      </c>
      <c r="K1170">
        <v>1555</v>
      </c>
      <c r="L1170">
        <v>74</v>
      </c>
      <c r="M1170">
        <v>27</v>
      </c>
      <c r="N1170">
        <v>1</v>
      </c>
      <c r="O1170">
        <v>118.84</v>
      </c>
      <c r="P1170">
        <v>815.24</v>
      </c>
      <c r="Q1170" s="5">
        <f t="shared" si="144"/>
        <v>0.9464394400486914</v>
      </c>
      <c r="R1170" s="5">
        <f t="shared" si="145"/>
        <v>4.7588424437299034E-2</v>
      </c>
      <c r="S1170" s="5">
        <f t="shared" si="146"/>
        <v>0.36486486486486486</v>
      </c>
      <c r="T1170" s="5">
        <f t="shared" si="147"/>
        <v>3.7037037037037035E-2</v>
      </c>
      <c r="U1170" s="5">
        <f t="shared" si="148"/>
        <v>6.4308681672025725E-4</v>
      </c>
      <c r="V1170" s="6">
        <f t="shared" si="149"/>
        <v>4.4014814814814818</v>
      </c>
      <c r="W1170" s="7">
        <f t="shared" si="150"/>
        <v>1.605945945945946</v>
      </c>
      <c r="X1170" s="5">
        <f t="shared" si="151"/>
        <v>5.8599798047795355</v>
      </c>
    </row>
    <row r="1171" spans="1:24" x14ac:dyDescent="0.35">
      <c r="A1171" s="3">
        <v>46216</v>
      </c>
      <c r="B1171" t="s">
        <v>1578</v>
      </c>
      <c r="C1171" t="s">
        <v>1670</v>
      </c>
      <c r="D1171" t="s">
        <v>18</v>
      </c>
      <c r="E1171" t="s">
        <v>25</v>
      </c>
      <c r="F1171" t="s">
        <v>20</v>
      </c>
      <c r="G1171" t="s">
        <v>59</v>
      </c>
      <c r="H1171" t="s">
        <v>37</v>
      </c>
      <c r="I1171">
        <v>487</v>
      </c>
      <c r="J1171">
        <v>370</v>
      </c>
      <c r="K1171">
        <v>337</v>
      </c>
      <c r="L1171">
        <v>14</v>
      </c>
      <c r="M1171">
        <v>8</v>
      </c>
      <c r="N1171">
        <v>0</v>
      </c>
      <c r="O1171">
        <v>45.86</v>
      </c>
      <c r="P1171">
        <v>0</v>
      </c>
      <c r="Q1171" s="5">
        <f t="shared" si="144"/>
        <v>0.91081081081081083</v>
      </c>
      <c r="R1171" s="5">
        <f t="shared" si="145"/>
        <v>4.1543026706231452E-2</v>
      </c>
      <c r="S1171" s="5">
        <f t="shared" si="146"/>
        <v>0.5714285714285714</v>
      </c>
      <c r="T1171" s="5">
        <f t="shared" si="147"/>
        <v>0</v>
      </c>
      <c r="U1171" s="5">
        <f t="shared" si="148"/>
        <v>0</v>
      </c>
      <c r="V1171" s="6">
        <f t="shared" si="149"/>
        <v>5.7324999999999999</v>
      </c>
      <c r="W1171" s="7">
        <f t="shared" si="150"/>
        <v>3.2757142857142858</v>
      </c>
      <c r="X1171" s="5">
        <f t="shared" si="151"/>
        <v>-1</v>
      </c>
    </row>
    <row r="1172" spans="1:24" x14ac:dyDescent="0.35">
      <c r="A1172" s="3">
        <v>46216</v>
      </c>
      <c r="B1172" t="s">
        <v>1671</v>
      </c>
      <c r="C1172" t="s">
        <v>1672</v>
      </c>
      <c r="D1172" t="s">
        <v>40</v>
      </c>
      <c r="E1172" t="s">
        <v>25</v>
      </c>
      <c r="F1172" t="s">
        <v>20</v>
      </c>
      <c r="G1172" t="s">
        <v>59</v>
      </c>
      <c r="H1172" t="s">
        <v>51</v>
      </c>
      <c r="I1172">
        <v>1545</v>
      </c>
      <c r="J1172">
        <v>1534</v>
      </c>
      <c r="K1172">
        <v>1409</v>
      </c>
      <c r="L1172">
        <v>70</v>
      </c>
      <c r="M1172">
        <v>36</v>
      </c>
      <c r="N1172">
        <v>2</v>
      </c>
      <c r="O1172">
        <v>196.56</v>
      </c>
      <c r="P1172">
        <v>2716.35</v>
      </c>
      <c r="Q1172" s="5">
        <f t="shared" si="144"/>
        <v>0.91851368970013036</v>
      </c>
      <c r="R1172" s="5">
        <f t="shared" si="145"/>
        <v>4.9680624556422998E-2</v>
      </c>
      <c r="S1172" s="5">
        <f t="shared" si="146"/>
        <v>0.51428571428571423</v>
      </c>
      <c r="T1172" s="5">
        <f t="shared" si="147"/>
        <v>5.5555555555555552E-2</v>
      </c>
      <c r="U1172" s="5">
        <f t="shared" si="148"/>
        <v>1.4194464158977999E-3</v>
      </c>
      <c r="V1172" s="6">
        <f t="shared" si="149"/>
        <v>5.46</v>
      </c>
      <c r="W1172" s="7">
        <f t="shared" si="150"/>
        <v>2.8079999999999998</v>
      </c>
      <c r="X1172" s="5">
        <f t="shared" si="151"/>
        <v>12.819444444444445</v>
      </c>
    </row>
    <row r="1173" spans="1:24" x14ac:dyDescent="0.35">
      <c r="A1173" s="3">
        <v>46216</v>
      </c>
      <c r="B1173" t="s">
        <v>1673</v>
      </c>
      <c r="C1173" t="s">
        <v>1674</v>
      </c>
      <c r="D1173" t="s">
        <v>18</v>
      </c>
      <c r="E1173" t="s">
        <v>25</v>
      </c>
      <c r="F1173" t="s">
        <v>20</v>
      </c>
      <c r="G1173" t="s">
        <v>59</v>
      </c>
      <c r="H1173" t="s">
        <v>28</v>
      </c>
      <c r="I1173">
        <v>1541</v>
      </c>
      <c r="J1173">
        <v>1416</v>
      </c>
      <c r="K1173">
        <v>1302</v>
      </c>
      <c r="L1173">
        <v>43</v>
      </c>
      <c r="M1173">
        <v>26</v>
      </c>
      <c r="N1173">
        <v>1</v>
      </c>
      <c r="O1173">
        <v>190.09</v>
      </c>
      <c r="P1173">
        <v>719.83</v>
      </c>
      <c r="Q1173" s="5">
        <f t="shared" si="144"/>
        <v>0.91949152542372881</v>
      </c>
      <c r="R1173" s="5">
        <f t="shared" si="145"/>
        <v>3.3026113671274962E-2</v>
      </c>
      <c r="S1173" s="5">
        <f t="shared" si="146"/>
        <v>0.60465116279069764</v>
      </c>
      <c r="T1173" s="5">
        <f t="shared" si="147"/>
        <v>3.8461538461538464E-2</v>
      </c>
      <c r="U1173" s="5">
        <f t="shared" si="148"/>
        <v>7.6804915514592934E-4</v>
      </c>
      <c r="V1173" s="6">
        <f t="shared" si="149"/>
        <v>7.3111538461538466</v>
      </c>
      <c r="W1173" s="7">
        <f t="shared" si="150"/>
        <v>4.4206976744186051</v>
      </c>
      <c r="X1173" s="5">
        <f t="shared" si="151"/>
        <v>2.786785207007207</v>
      </c>
    </row>
    <row r="1174" spans="1:24" x14ac:dyDescent="0.35">
      <c r="A1174" s="3">
        <v>46216</v>
      </c>
      <c r="B1174" t="s">
        <v>1675</v>
      </c>
      <c r="C1174" t="s">
        <v>1676</v>
      </c>
      <c r="D1174" t="s">
        <v>18</v>
      </c>
      <c r="E1174" t="s">
        <v>35</v>
      </c>
      <c r="F1174" t="s">
        <v>20</v>
      </c>
      <c r="G1174" t="s">
        <v>21</v>
      </c>
      <c r="H1174" t="s">
        <v>51</v>
      </c>
      <c r="I1174">
        <v>1126</v>
      </c>
      <c r="J1174">
        <v>1028</v>
      </c>
      <c r="K1174">
        <v>942</v>
      </c>
      <c r="L1174">
        <v>74</v>
      </c>
      <c r="M1174">
        <v>37</v>
      </c>
      <c r="N1174">
        <v>3</v>
      </c>
      <c r="O1174">
        <v>136.69999999999999</v>
      </c>
      <c r="P1174">
        <v>2528.4299999999998</v>
      </c>
      <c r="Q1174" s="5">
        <f t="shared" si="144"/>
        <v>0.91634241245136183</v>
      </c>
      <c r="R1174" s="5">
        <f t="shared" si="145"/>
        <v>7.8556263269639062E-2</v>
      </c>
      <c r="S1174" s="5">
        <f t="shared" si="146"/>
        <v>0.5</v>
      </c>
      <c r="T1174" s="5">
        <f t="shared" si="147"/>
        <v>8.1081081081081086E-2</v>
      </c>
      <c r="U1174" s="5">
        <f t="shared" si="148"/>
        <v>3.1847133757961785E-3</v>
      </c>
      <c r="V1174" s="6">
        <f t="shared" si="149"/>
        <v>3.6945945945945944</v>
      </c>
      <c r="W1174" s="7">
        <f t="shared" si="150"/>
        <v>1.8472972972972972</v>
      </c>
      <c r="X1174" s="5">
        <f t="shared" si="151"/>
        <v>17.496196049743965</v>
      </c>
    </row>
    <row r="1175" spans="1:24" x14ac:dyDescent="0.35">
      <c r="A1175" s="3">
        <v>46216</v>
      </c>
      <c r="B1175" t="s">
        <v>1677</v>
      </c>
      <c r="C1175" t="s">
        <v>1678</v>
      </c>
      <c r="D1175" t="s">
        <v>34</v>
      </c>
      <c r="E1175" t="s">
        <v>56</v>
      </c>
      <c r="F1175" t="s">
        <v>20</v>
      </c>
      <c r="G1175" t="s">
        <v>41</v>
      </c>
      <c r="H1175" t="s">
        <v>22</v>
      </c>
      <c r="I1175">
        <v>4528</v>
      </c>
      <c r="J1175">
        <v>3746</v>
      </c>
      <c r="K1175">
        <v>3530</v>
      </c>
      <c r="L1175">
        <v>185</v>
      </c>
      <c r="M1175">
        <v>80</v>
      </c>
      <c r="N1175">
        <v>5</v>
      </c>
      <c r="O1175">
        <v>259.26</v>
      </c>
      <c r="P1175">
        <v>7147.27</v>
      </c>
      <c r="Q1175" s="5">
        <f t="shared" si="144"/>
        <v>0.94233849439402029</v>
      </c>
      <c r="R1175" s="5">
        <f t="shared" si="145"/>
        <v>5.2407932011331447E-2</v>
      </c>
      <c r="S1175" s="5">
        <f t="shared" si="146"/>
        <v>0.43243243243243246</v>
      </c>
      <c r="T1175" s="5">
        <f t="shared" si="147"/>
        <v>6.25E-2</v>
      </c>
      <c r="U1175" s="5">
        <f t="shared" si="148"/>
        <v>1.4164305949008499E-3</v>
      </c>
      <c r="V1175" s="6">
        <f t="shared" si="149"/>
        <v>3.2407499999999998</v>
      </c>
      <c r="W1175" s="7">
        <f t="shared" si="150"/>
        <v>1.4014054054054053</v>
      </c>
      <c r="X1175" s="5">
        <f t="shared" si="151"/>
        <v>26.567962662963822</v>
      </c>
    </row>
    <row r="1176" spans="1:24" x14ac:dyDescent="0.35">
      <c r="A1176" s="3">
        <v>46216</v>
      </c>
      <c r="B1176" t="s">
        <v>1677</v>
      </c>
      <c r="C1176" t="s">
        <v>1679</v>
      </c>
      <c r="D1176" t="s">
        <v>40</v>
      </c>
      <c r="E1176" t="s">
        <v>56</v>
      </c>
      <c r="F1176" t="s">
        <v>20</v>
      </c>
      <c r="G1176" t="s">
        <v>59</v>
      </c>
      <c r="H1176" t="s">
        <v>51</v>
      </c>
      <c r="I1176">
        <v>2425</v>
      </c>
      <c r="J1176">
        <v>1927</v>
      </c>
      <c r="K1176">
        <v>1789</v>
      </c>
      <c r="L1176">
        <v>93</v>
      </c>
      <c r="M1176">
        <v>39</v>
      </c>
      <c r="N1176">
        <v>2</v>
      </c>
      <c r="O1176">
        <v>293.39999999999998</v>
      </c>
      <c r="P1176">
        <v>2303.7399999999998</v>
      </c>
      <c r="Q1176" s="5">
        <f t="shared" si="144"/>
        <v>0.928386092371562</v>
      </c>
      <c r="R1176" s="5">
        <f t="shared" si="145"/>
        <v>5.1984348798211288E-2</v>
      </c>
      <c r="S1176" s="5">
        <f t="shared" si="146"/>
        <v>0.41935483870967744</v>
      </c>
      <c r="T1176" s="5">
        <f t="shared" si="147"/>
        <v>5.128205128205128E-2</v>
      </c>
      <c r="U1176" s="5">
        <f t="shared" si="148"/>
        <v>1.1179429849077697E-3</v>
      </c>
      <c r="V1176" s="6">
        <f t="shared" si="149"/>
        <v>7.5230769230769221</v>
      </c>
      <c r="W1176" s="7">
        <f t="shared" si="150"/>
        <v>3.1548387096774193</v>
      </c>
      <c r="X1176" s="5">
        <f t="shared" si="151"/>
        <v>6.8518745739604627</v>
      </c>
    </row>
    <row r="1177" spans="1:24" x14ac:dyDescent="0.35">
      <c r="A1177" s="3">
        <v>46217</v>
      </c>
      <c r="B1177" t="s">
        <v>1588</v>
      </c>
      <c r="C1177" t="s">
        <v>1680</v>
      </c>
      <c r="D1177" t="s">
        <v>31</v>
      </c>
      <c r="E1177" t="s">
        <v>56</v>
      </c>
      <c r="F1177" t="s">
        <v>26</v>
      </c>
      <c r="G1177" t="s">
        <v>59</v>
      </c>
      <c r="H1177" t="s">
        <v>48</v>
      </c>
      <c r="I1177">
        <v>4088</v>
      </c>
      <c r="J1177">
        <v>3681</v>
      </c>
      <c r="K1177">
        <v>3548</v>
      </c>
      <c r="L1177">
        <v>190</v>
      </c>
      <c r="M1177">
        <v>94</v>
      </c>
      <c r="N1177">
        <v>7</v>
      </c>
      <c r="O1177">
        <v>788.04</v>
      </c>
      <c r="P1177">
        <v>8224.24</v>
      </c>
      <c r="Q1177" s="5">
        <f t="shared" si="144"/>
        <v>0.96386851399076334</v>
      </c>
      <c r="R1177" s="5">
        <f t="shared" si="145"/>
        <v>5.355129650507328E-2</v>
      </c>
      <c r="S1177" s="5">
        <f t="shared" si="146"/>
        <v>0.49473684210526314</v>
      </c>
      <c r="T1177" s="5">
        <f t="shared" si="147"/>
        <v>7.4468085106382975E-2</v>
      </c>
      <c r="U1177" s="5">
        <f t="shared" si="148"/>
        <v>1.9729425028184892E-3</v>
      </c>
      <c r="V1177" s="6">
        <f t="shared" si="149"/>
        <v>8.3834042553191477</v>
      </c>
      <c r="W1177" s="7">
        <f t="shared" si="150"/>
        <v>4.1475789473684213</v>
      </c>
      <c r="X1177" s="5">
        <f t="shared" si="151"/>
        <v>9.4363230292878537</v>
      </c>
    </row>
    <row r="1178" spans="1:24" x14ac:dyDescent="0.35">
      <c r="A1178" s="3">
        <v>46217</v>
      </c>
      <c r="B1178" t="s">
        <v>1681</v>
      </c>
      <c r="C1178" t="s">
        <v>1682</v>
      </c>
      <c r="D1178" t="s">
        <v>34</v>
      </c>
      <c r="E1178" t="s">
        <v>19</v>
      </c>
      <c r="F1178" t="s">
        <v>20</v>
      </c>
      <c r="G1178" t="s">
        <v>21</v>
      </c>
      <c r="H1178" t="s">
        <v>48</v>
      </c>
      <c r="I1178">
        <v>555</v>
      </c>
      <c r="J1178">
        <v>448</v>
      </c>
      <c r="K1178">
        <v>424</v>
      </c>
      <c r="L1178">
        <v>11</v>
      </c>
      <c r="M1178">
        <v>6</v>
      </c>
      <c r="N1178">
        <v>0</v>
      </c>
      <c r="O1178">
        <v>37.700000000000003</v>
      </c>
      <c r="P1178">
        <v>0</v>
      </c>
      <c r="Q1178" s="5">
        <f t="shared" si="144"/>
        <v>0.9464285714285714</v>
      </c>
      <c r="R1178" s="5">
        <f t="shared" si="145"/>
        <v>2.5943396226415096E-2</v>
      </c>
      <c r="S1178" s="5">
        <f t="shared" si="146"/>
        <v>0.54545454545454541</v>
      </c>
      <c r="T1178" s="5">
        <f t="shared" si="147"/>
        <v>0</v>
      </c>
      <c r="U1178" s="5">
        <f t="shared" si="148"/>
        <v>0</v>
      </c>
      <c r="V1178" s="6">
        <f t="shared" si="149"/>
        <v>6.2833333333333341</v>
      </c>
      <c r="W1178" s="7">
        <f t="shared" si="150"/>
        <v>3.4272727272727277</v>
      </c>
      <c r="X1178" s="5">
        <f t="shared" si="151"/>
        <v>-1</v>
      </c>
    </row>
    <row r="1179" spans="1:24" x14ac:dyDescent="0.35">
      <c r="A1179" s="3">
        <v>46217</v>
      </c>
      <c r="B1179" t="s">
        <v>1683</v>
      </c>
      <c r="C1179" t="s">
        <v>1684</v>
      </c>
      <c r="D1179" t="s">
        <v>34</v>
      </c>
      <c r="E1179" t="s">
        <v>56</v>
      </c>
      <c r="F1179" t="s">
        <v>26</v>
      </c>
      <c r="G1179" t="s">
        <v>59</v>
      </c>
      <c r="H1179" t="s">
        <v>37</v>
      </c>
      <c r="I1179">
        <v>3518</v>
      </c>
      <c r="J1179">
        <v>2573</v>
      </c>
      <c r="K1179">
        <v>2436</v>
      </c>
      <c r="L1179">
        <v>183</v>
      </c>
      <c r="M1179">
        <v>97</v>
      </c>
      <c r="N1179">
        <v>6</v>
      </c>
      <c r="O1179">
        <v>210.38</v>
      </c>
      <c r="P1179">
        <v>6666.48</v>
      </c>
      <c r="Q1179" s="5">
        <f t="shared" si="144"/>
        <v>0.94675476097940148</v>
      </c>
      <c r="R1179" s="5">
        <f t="shared" si="145"/>
        <v>7.5123152709359611E-2</v>
      </c>
      <c r="S1179" s="5">
        <f t="shared" si="146"/>
        <v>0.5300546448087432</v>
      </c>
      <c r="T1179" s="5">
        <f t="shared" si="147"/>
        <v>6.1855670103092786E-2</v>
      </c>
      <c r="U1179" s="5">
        <f t="shared" si="148"/>
        <v>2.4630541871921183E-3</v>
      </c>
      <c r="V1179" s="6">
        <f t="shared" si="149"/>
        <v>2.1688659793814433</v>
      </c>
      <c r="W1179" s="7">
        <f t="shared" si="150"/>
        <v>1.1496174863387978</v>
      </c>
      <c r="X1179" s="5">
        <f t="shared" si="151"/>
        <v>30.687803023101054</v>
      </c>
    </row>
    <row r="1180" spans="1:24" x14ac:dyDescent="0.35">
      <c r="A1180" s="3">
        <v>46217</v>
      </c>
      <c r="B1180" t="s">
        <v>1634</v>
      </c>
      <c r="C1180" t="s">
        <v>1685</v>
      </c>
      <c r="D1180" t="s">
        <v>18</v>
      </c>
      <c r="E1180" t="s">
        <v>25</v>
      </c>
      <c r="F1180" t="s">
        <v>26</v>
      </c>
      <c r="G1180" t="s">
        <v>36</v>
      </c>
      <c r="H1180" t="s">
        <v>51</v>
      </c>
      <c r="I1180">
        <v>1866</v>
      </c>
      <c r="J1180">
        <v>1767</v>
      </c>
      <c r="K1180">
        <v>1562</v>
      </c>
      <c r="L1180">
        <v>98</v>
      </c>
      <c r="M1180">
        <v>63</v>
      </c>
      <c r="N1180">
        <v>3</v>
      </c>
      <c r="O1180">
        <v>209.02</v>
      </c>
      <c r="P1180">
        <v>2367.9899999999998</v>
      </c>
      <c r="Q1180" s="5">
        <f t="shared" si="144"/>
        <v>0.88398415393322016</v>
      </c>
      <c r="R1180" s="5">
        <f t="shared" si="145"/>
        <v>6.2740076824583865E-2</v>
      </c>
      <c r="S1180" s="5">
        <f t="shared" si="146"/>
        <v>0.6428571428571429</v>
      </c>
      <c r="T1180" s="5">
        <f t="shared" si="147"/>
        <v>4.7619047619047616E-2</v>
      </c>
      <c r="U1180" s="5">
        <f t="shared" si="148"/>
        <v>1.9206145966709346E-3</v>
      </c>
      <c r="V1180" s="6">
        <f t="shared" si="149"/>
        <v>3.3177777777777782</v>
      </c>
      <c r="W1180" s="7">
        <f t="shared" si="150"/>
        <v>2.132857142857143</v>
      </c>
      <c r="X1180" s="5">
        <f t="shared" si="151"/>
        <v>10.32901157783944</v>
      </c>
    </row>
    <row r="1181" spans="1:24" x14ac:dyDescent="0.35">
      <c r="A1181" s="3">
        <v>46218</v>
      </c>
      <c r="B1181" t="s">
        <v>1576</v>
      </c>
      <c r="C1181" t="s">
        <v>1686</v>
      </c>
      <c r="D1181" t="s">
        <v>31</v>
      </c>
      <c r="E1181" t="s">
        <v>19</v>
      </c>
      <c r="F1181" t="s">
        <v>20</v>
      </c>
      <c r="G1181" t="s">
        <v>41</v>
      </c>
      <c r="H1181" t="s">
        <v>48</v>
      </c>
      <c r="I1181">
        <v>3947</v>
      </c>
      <c r="J1181">
        <v>3790</v>
      </c>
      <c r="K1181">
        <v>3648</v>
      </c>
      <c r="L1181">
        <v>81</v>
      </c>
      <c r="M1181">
        <v>27</v>
      </c>
      <c r="N1181">
        <v>1</v>
      </c>
      <c r="O1181">
        <v>692.37</v>
      </c>
      <c r="P1181">
        <v>1150.43</v>
      </c>
      <c r="Q1181" s="5">
        <f t="shared" si="144"/>
        <v>0.96253298153034306</v>
      </c>
      <c r="R1181" s="5">
        <f t="shared" si="145"/>
        <v>2.2203947368421052E-2</v>
      </c>
      <c r="S1181" s="5">
        <f t="shared" si="146"/>
        <v>0.33333333333333331</v>
      </c>
      <c r="T1181" s="5">
        <f t="shared" si="147"/>
        <v>3.7037037037037035E-2</v>
      </c>
      <c r="U1181" s="5">
        <f t="shared" si="148"/>
        <v>2.7412280701754384E-4</v>
      </c>
      <c r="V1181" s="6">
        <f t="shared" si="149"/>
        <v>25.643333333333334</v>
      </c>
      <c r="W1181" s="7">
        <f t="shared" si="150"/>
        <v>8.5477777777777781</v>
      </c>
      <c r="X1181" s="5">
        <f t="shared" si="151"/>
        <v>0.66158267978104202</v>
      </c>
    </row>
    <row r="1182" spans="1:24" x14ac:dyDescent="0.35">
      <c r="A1182" s="3">
        <v>46218</v>
      </c>
      <c r="B1182" t="s">
        <v>1687</v>
      </c>
      <c r="C1182" t="s">
        <v>1688</v>
      </c>
      <c r="D1182" t="s">
        <v>40</v>
      </c>
      <c r="E1182" t="s">
        <v>35</v>
      </c>
      <c r="F1182" t="s">
        <v>26</v>
      </c>
      <c r="G1182" t="s">
        <v>36</v>
      </c>
      <c r="H1182" t="s">
        <v>37</v>
      </c>
      <c r="I1182">
        <v>942</v>
      </c>
      <c r="J1182">
        <v>747</v>
      </c>
      <c r="K1182">
        <v>699</v>
      </c>
      <c r="L1182">
        <v>69</v>
      </c>
      <c r="M1182">
        <v>46</v>
      </c>
      <c r="N1182">
        <v>4</v>
      </c>
      <c r="O1182">
        <v>132.77000000000001</v>
      </c>
      <c r="P1182">
        <v>5637.86</v>
      </c>
      <c r="Q1182" s="5">
        <f t="shared" si="144"/>
        <v>0.93574297188755018</v>
      </c>
      <c r="R1182" s="5">
        <f t="shared" si="145"/>
        <v>9.8712446351931327E-2</v>
      </c>
      <c r="S1182" s="5">
        <f t="shared" si="146"/>
        <v>0.66666666666666663</v>
      </c>
      <c r="T1182" s="5">
        <f t="shared" si="147"/>
        <v>8.6956521739130432E-2</v>
      </c>
      <c r="U1182" s="5">
        <f t="shared" si="148"/>
        <v>5.7224606580829757E-3</v>
      </c>
      <c r="V1182" s="6">
        <f t="shared" si="149"/>
        <v>2.886304347826087</v>
      </c>
      <c r="W1182" s="7">
        <f t="shared" si="150"/>
        <v>1.9242028985507247</v>
      </c>
      <c r="X1182" s="5">
        <f t="shared" si="151"/>
        <v>41.463357686224292</v>
      </c>
    </row>
    <row r="1183" spans="1:24" x14ac:dyDescent="0.35">
      <c r="A1183" s="3">
        <v>46218</v>
      </c>
      <c r="B1183" t="s">
        <v>1689</v>
      </c>
      <c r="C1183" t="s">
        <v>1690</v>
      </c>
      <c r="D1183" t="s">
        <v>31</v>
      </c>
      <c r="E1183" t="s">
        <v>25</v>
      </c>
      <c r="F1183" t="s">
        <v>20</v>
      </c>
      <c r="G1183" t="s">
        <v>27</v>
      </c>
      <c r="H1183" t="s">
        <v>48</v>
      </c>
      <c r="I1183">
        <v>4581</v>
      </c>
      <c r="J1183">
        <v>4006</v>
      </c>
      <c r="K1183">
        <v>3816</v>
      </c>
      <c r="L1183">
        <v>40</v>
      </c>
      <c r="M1183">
        <v>15</v>
      </c>
      <c r="N1183">
        <v>0</v>
      </c>
      <c r="O1183">
        <v>625.12</v>
      </c>
      <c r="P1183">
        <v>0</v>
      </c>
      <c r="Q1183" s="5">
        <f t="shared" si="144"/>
        <v>0.95257114328507242</v>
      </c>
      <c r="R1183" s="5">
        <f t="shared" si="145"/>
        <v>1.0482180293501049E-2</v>
      </c>
      <c r="S1183" s="5">
        <f t="shared" si="146"/>
        <v>0.375</v>
      </c>
      <c r="T1183" s="5">
        <f t="shared" si="147"/>
        <v>0</v>
      </c>
      <c r="U1183" s="5">
        <f t="shared" si="148"/>
        <v>0</v>
      </c>
      <c r="V1183" s="6">
        <f t="shared" si="149"/>
        <v>41.674666666666667</v>
      </c>
      <c r="W1183" s="7">
        <f t="shared" si="150"/>
        <v>15.628</v>
      </c>
      <c r="X1183" s="5">
        <f t="shared" si="151"/>
        <v>-1</v>
      </c>
    </row>
    <row r="1184" spans="1:24" x14ac:dyDescent="0.35">
      <c r="A1184" s="3">
        <v>46218</v>
      </c>
      <c r="B1184" t="s">
        <v>1596</v>
      </c>
      <c r="C1184" t="s">
        <v>1691</v>
      </c>
      <c r="D1184" t="s">
        <v>31</v>
      </c>
      <c r="E1184" t="s">
        <v>35</v>
      </c>
      <c r="F1184" t="s">
        <v>20</v>
      </c>
      <c r="G1184" t="s">
        <v>41</v>
      </c>
      <c r="H1184" t="s">
        <v>51</v>
      </c>
      <c r="I1184">
        <v>1218</v>
      </c>
      <c r="J1184">
        <v>951</v>
      </c>
      <c r="K1184">
        <v>906</v>
      </c>
      <c r="L1184">
        <v>36</v>
      </c>
      <c r="M1184">
        <v>12</v>
      </c>
      <c r="N1184">
        <v>1</v>
      </c>
      <c r="O1184">
        <v>156.51</v>
      </c>
      <c r="P1184">
        <v>736.92</v>
      </c>
      <c r="Q1184" s="5">
        <f t="shared" si="144"/>
        <v>0.95268138801261826</v>
      </c>
      <c r="R1184" s="5">
        <f t="shared" si="145"/>
        <v>3.9735099337748346E-2</v>
      </c>
      <c r="S1184" s="5">
        <f t="shared" si="146"/>
        <v>0.33333333333333331</v>
      </c>
      <c r="T1184" s="5">
        <f t="shared" si="147"/>
        <v>8.3333333333333329E-2</v>
      </c>
      <c r="U1184" s="5">
        <f t="shared" si="148"/>
        <v>1.1037527593818985E-3</v>
      </c>
      <c r="V1184" s="6">
        <f t="shared" si="149"/>
        <v>13.042499999999999</v>
      </c>
      <c r="W1184" s="7">
        <f t="shared" si="150"/>
        <v>4.3475000000000001</v>
      </c>
      <c r="X1184" s="5">
        <f t="shared" si="151"/>
        <v>3.7084531339850488</v>
      </c>
    </row>
    <row r="1185" spans="1:24" x14ac:dyDescent="0.35">
      <c r="A1185" s="3">
        <v>46218</v>
      </c>
      <c r="B1185" t="s">
        <v>1692</v>
      </c>
      <c r="C1185" t="s">
        <v>1693</v>
      </c>
      <c r="D1185" t="s">
        <v>31</v>
      </c>
      <c r="E1185" t="s">
        <v>35</v>
      </c>
      <c r="F1185" t="s">
        <v>26</v>
      </c>
      <c r="G1185" t="s">
        <v>41</v>
      </c>
      <c r="H1185" t="s">
        <v>22</v>
      </c>
      <c r="I1185">
        <v>3911</v>
      </c>
      <c r="J1185">
        <v>3272</v>
      </c>
      <c r="K1185">
        <v>3095</v>
      </c>
      <c r="L1185">
        <v>170</v>
      </c>
      <c r="M1185">
        <v>78</v>
      </c>
      <c r="N1185">
        <v>7</v>
      </c>
      <c r="O1185">
        <v>603.36</v>
      </c>
      <c r="P1185">
        <v>8852.0499999999993</v>
      </c>
      <c r="Q1185" s="5">
        <f t="shared" si="144"/>
        <v>0.94590464547677267</v>
      </c>
      <c r="R1185" s="5">
        <f t="shared" si="145"/>
        <v>5.492730210016155E-2</v>
      </c>
      <c r="S1185" s="5">
        <f t="shared" si="146"/>
        <v>0.45882352941176469</v>
      </c>
      <c r="T1185" s="5">
        <f t="shared" si="147"/>
        <v>8.9743589743589744E-2</v>
      </c>
      <c r="U1185" s="5">
        <f t="shared" si="148"/>
        <v>2.2617124394184169E-3</v>
      </c>
      <c r="V1185" s="6">
        <f t="shared" si="149"/>
        <v>7.735384615384616</v>
      </c>
      <c r="W1185" s="7">
        <f t="shared" si="150"/>
        <v>3.5491764705882352</v>
      </c>
      <c r="X1185" s="5">
        <f t="shared" si="151"/>
        <v>13.671257623972419</v>
      </c>
    </row>
    <row r="1186" spans="1:24" x14ac:dyDescent="0.35">
      <c r="A1186" s="3">
        <v>46218</v>
      </c>
      <c r="B1186" t="s">
        <v>1568</v>
      </c>
      <c r="C1186" t="s">
        <v>1694</v>
      </c>
      <c r="D1186" t="s">
        <v>18</v>
      </c>
      <c r="E1186" t="s">
        <v>35</v>
      </c>
      <c r="F1186" t="s">
        <v>20</v>
      </c>
      <c r="G1186" t="s">
        <v>21</v>
      </c>
      <c r="H1186" t="s">
        <v>37</v>
      </c>
      <c r="I1186">
        <v>868</v>
      </c>
      <c r="J1186">
        <v>688</v>
      </c>
      <c r="K1186">
        <v>616</v>
      </c>
      <c r="L1186">
        <v>38</v>
      </c>
      <c r="M1186">
        <v>19</v>
      </c>
      <c r="N1186">
        <v>1</v>
      </c>
      <c r="O1186">
        <v>93.6</v>
      </c>
      <c r="P1186">
        <v>1469.94</v>
      </c>
      <c r="Q1186" s="5">
        <f t="shared" si="144"/>
        <v>0.89534883720930236</v>
      </c>
      <c r="R1186" s="5">
        <f t="shared" si="145"/>
        <v>6.1688311688311688E-2</v>
      </c>
      <c r="S1186" s="5">
        <f t="shared" si="146"/>
        <v>0.5</v>
      </c>
      <c r="T1186" s="5">
        <f t="shared" si="147"/>
        <v>5.2631578947368418E-2</v>
      </c>
      <c r="U1186" s="5">
        <f t="shared" si="148"/>
        <v>1.6233766233766235E-3</v>
      </c>
      <c r="V1186" s="6">
        <f t="shared" si="149"/>
        <v>4.9263157894736835</v>
      </c>
      <c r="W1186" s="7">
        <f t="shared" si="150"/>
        <v>2.4631578947368418</v>
      </c>
      <c r="X1186" s="5">
        <f t="shared" si="151"/>
        <v>14.704487179487183</v>
      </c>
    </row>
    <row r="1187" spans="1:24" x14ac:dyDescent="0.35">
      <c r="A1187" s="3">
        <v>46218</v>
      </c>
      <c r="B1187" t="s">
        <v>1621</v>
      </c>
      <c r="C1187" t="s">
        <v>1695</v>
      </c>
      <c r="D1187" t="s">
        <v>34</v>
      </c>
      <c r="E1187" t="s">
        <v>25</v>
      </c>
      <c r="F1187" t="s">
        <v>26</v>
      </c>
      <c r="G1187" t="s">
        <v>27</v>
      </c>
      <c r="H1187" t="s">
        <v>28</v>
      </c>
      <c r="I1187">
        <v>2112</v>
      </c>
      <c r="J1187">
        <v>2073</v>
      </c>
      <c r="K1187">
        <v>1931</v>
      </c>
      <c r="L1187">
        <v>80</v>
      </c>
      <c r="M1187">
        <v>39</v>
      </c>
      <c r="N1187">
        <v>1</v>
      </c>
      <c r="O1187">
        <v>187.09</v>
      </c>
      <c r="P1187">
        <v>1096.26</v>
      </c>
      <c r="Q1187" s="5">
        <f t="shared" si="144"/>
        <v>0.93150024119633379</v>
      </c>
      <c r="R1187" s="5">
        <f t="shared" si="145"/>
        <v>4.1429311237700675E-2</v>
      </c>
      <c r="S1187" s="5">
        <f t="shared" si="146"/>
        <v>0.48749999999999999</v>
      </c>
      <c r="T1187" s="5">
        <f t="shared" si="147"/>
        <v>2.564102564102564E-2</v>
      </c>
      <c r="U1187" s="5">
        <f t="shared" si="148"/>
        <v>5.1786639047125837E-4</v>
      </c>
      <c r="V1187" s="6">
        <f t="shared" si="149"/>
        <v>4.7971794871794868</v>
      </c>
      <c r="W1187" s="7">
        <f t="shared" si="150"/>
        <v>2.338625</v>
      </c>
      <c r="X1187" s="5">
        <f t="shared" si="151"/>
        <v>4.8595328451547379</v>
      </c>
    </row>
    <row r="1188" spans="1:24" x14ac:dyDescent="0.35">
      <c r="A1188" s="3">
        <v>46218</v>
      </c>
      <c r="B1188" t="s">
        <v>1696</v>
      </c>
      <c r="C1188" t="s">
        <v>1697</v>
      </c>
      <c r="D1188" t="s">
        <v>34</v>
      </c>
      <c r="E1188" t="s">
        <v>19</v>
      </c>
      <c r="F1188" t="s">
        <v>20</v>
      </c>
      <c r="G1188" t="s">
        <v>36</v>
      </c>
      <c r="H1188" t="s">
        <v>48</v>
      </c>
      <c r="I1188">
        <v>4117</v>
      </c>
      <c r="J1188">
        <v>3675</v>
      </c>
      <c r="K1188">
        <v>3474</v>
      </c>
      <c r="L1188">
        <v>97</v>
      </c>
      <c r="M1188">
        <v>39</v>
      </c>
      <c r="N1188">
        <v>1</v>
      </c>
      <c r="O1188">
        <v>285.20999999999998</v>
      </c>
      <c r="P1188">
        <v>1047.75</v>
      </c>
      <c r="Q1188" s="5">
        <f t="shared" si="144"/>
        <v>0.9453061224489796</v>
      </c>
      <c r="R1188" s="5">
        <f t="shared" si="145"/>
        <v>2.7921704087507198E-2</v>
      </c>
      <c r="S1188" s="5">
        <f t="shared" si="146"/>
        <v>0.40206185567010311</v>
      </c>
      <c r="T1188" s="5">
        <f t="shared" si="147"/>
        <v>2.564102564102564E-2</v>
      </c>
      <c r="U1188" s="5">
        <f t="shared" si="148"/>
        <v>2.878526194588371E-4</v>
      </c>
      <c r="V1188" s="6">
        <f t="shared" si="149"/>
        <v>7.3130769230769221</v>
      </c>
      <c r="W1188" s="7">
        <f t="shared" si="150"/>
        <v>2.9403092783505151</v>
      </c>
      <c r="X1188" s="5">
        <f t="shared" si="151"/>
        <v>2.673608919743347</v>
      </c>
    </row>
    <row r="1189" spans="1:24" x14ac:dyDescent="0.35">
      <c r="A1189" s="3">
        <v>46218</v>
      </c>
      <c r="B1189" t="s">
        <v>1664</v>
      </c>
      <c r="C1189" t="s">
        <v>1698</v>
      </c>
      <c r="D1189" t="s">
        <v>31</v>
      </c>
      <c r="E1189" t="s">
        <v>19</v>
      </c>
      <c r="F1189" t="s">
        <v>20</v>
      </c>
      <c r="G1189" t="s">
        <v>41</v>
      </c>
      <c r="H1189" t="s">
        <v>48</v>
      </c>
      <c r="I1189">
        <v>3722</v>
      </c>
      <c r="J1189">
        <v>2983</v>
      </c>
      <c r="K1189">
        <v>2938</v>
      </c>
      <c r="L1189">
        <v>9</v>
      </c>
      <c r="M1189">
        <v>3</v>
      </c>
      <c r="N1189">
        <v>0</v>
      </c>
      <c r="O1189">
        <v>545.38</v>
      </c>
      <c r="P1189">
        <v>0</v>
      </c>
      <c r="Q1189" s="5">
        <f t="shared" si="144"/>
        <v>0.98491451558833387</v>
      </c>
      <c r="R1189" s="5">
        <f t="shared" si="145"/>
        <v>3.0633083730428863E-3</v>
      </c>
      <c r="S1189" s="5">
        <f t="shared" si="146"/>
        <v>0.33333333333333331</v>
      </c>
      <c r="T1189" s="5">
        <f t="shared" si="147"/>
        <v>0</v>
      </c>
      <c r="U1189" s="5">
        <f t="shared" si="148"/>
        <v>0</v>
      </c>
      <c r="V1189" s="6">
        <f t="shared" si="149"/>
        <v>181.79333333333332</v>
      </c>
      <c r="W1189" s="7">
        <f t="shared" si="150"/>
        <v>60.597777777777779</v>
      </c>
      <c r="X1189" s="5">
        <f t="shared" si="151"/>
        <v>-1</v>
      </c>
    </row>
    <row r="1190" spans="1:24" x14ac:dyDescent="0.35">
      <c r="A1190" s="3">
        <v>46218</v>
      </c>
      <c r="B1190" t="s">
        <v>1646</v>
      </c>
      <c r="C1190" t="s">
        <v>1699</v>
      </c>
      <c r="D1190" t="s">
        <v>34</v>
      </c>
      <c r="E1190" t="s">
        <v>25</v>
      </c>
      <c r="F1190" t="s">
        <v>20</v>
      </c>
      <c r="G1190" t="s">
        <v>59</v>
      </c>
      <c r="H1190" t="s">
        <v>51</v>
      </c>
      <c r="I1190">
        <v>3387</v>
      </c>
      <c r="J1190">
        <v>3136</v>
      </c>
      <c r="K1190">
        <v>2937</v>
      </c>
      <c r="L1190">
        <v>85</v>
      </c>
      <c r="M1190">
        <v>37</v>
      </c>
      <c r="N1190">
        <v>2</v>
      </c>
      <c r="O1190">
        <v>223.39</v>
      </c>
      <c r="P1190">
        <v>1821.77</v>
      </c>
      <c r="Q1190" s="5">
        <f t="shared" si="144"/>
        <v>0.93654336734693877</v>
      </c>
      <c r="R1190" s="5">
        <f t="shared" si="145"/>
        <v>2.8941096356826693E-2</v>
      </c>
      <c r="S1190" s="5">
        <f t="shared" si="146"/>
        <v>0.43529411764705883</v>
      </c>
      <c r="T1190" s="5">
        <f t="shared" si="147"/>
        <v>5.4054054054054057E-2</v>
      </c>
      <c r="U1190" s="5">
        <f t="shared" si="148"/>
        <v>6.8096697310180451E-4</v>
      </c>
      <c r="V1190" s="6">
        <f t="shared" si="149"/>
        <v>6.0375675675675673</v>
      </c>
      <c r="W1190" s="7">
        <f t="shared" si="150"/>
        <v>2.6281176470588234</v>
      </c>
      <c r="X1190" s="5">
        <f t="shared" si="151"/>
        <v>7.155109897488698</v>
      </c>
    </row>
    <row r="1191" spans="1:24" x14ac:dyDescent="0.35">
      <c r="A1191" s="3">
        <v>46218</v>
      </c>
      <c r="B1191" t="s">
        <v>1700</v>
      </c>
      <c r="C1191" t="s">
        <v>1701</v>
      </c>
      <c r="D1191" t="s">
        <v>40</v>
      </c>
      <c r="E1191" t="s">
        <v>35</v>
      </c>
      <c r="F1191" t="s">
        <v>20</v>
      </c>
      <c r="G1191" t="s">
        <v>41</v>
      </c>
      <c r="H1191" t="s">
        <v>22</v>
      </c>
      <c r="I1191">
        <v>959</v>
      </c>
      <c r="J1191">
        <v>692</v>
      </c>
      <c r="K1191">
        <v>650</v>
      </c>
      <c r="L1191">
        <v>54</v>
      </c>
      <c r="M1191">
        <v>24</v>
      </c>
      <c r="N1191">
        <v>2</v>
      </c>
      <c r="O1191">
        <v>111.03</v>
      </c>
      <c r="P1191">
        <v>2147.02</v>
      </c>
      <c r="Q1191" s="5">
        <f t="shared" si="144"/>
        <v>0.93930635838150289</v>
      </c>
      <c r="R1191" s="5">
        <f t="shared" si="145"/>
        <v>8.3076923076923076E-2</v>
      </c>
      <c r="S1191" s="5">
        <f t="shared" si="146"/>
        <v>0.44444444444444442</v>
      </c>
      <c r="T1191" s="5">
        <f t="shared" si="147"/>
        <v>8.3333333333333329E-2</v>
      </c>
      <c r="U1191" s="5">
        <f t="shared" si="148"/>
        <v>3.0769230769230769E-3</v>
      </c>
      <c r="V1191" s="6">
        <f t="shared" si="149"/>
        <v>4.6262499999999998</v>
      </c>
      <c r="W1191" s="7">
        <f t="shared" si="150"/>
        <v>2.056111111111111</v>
      </c>
      <c r="X1191" s="5">
        <f t="shared" si="151"/>
        <v>18.337296226245158</v>
      </c>
    </row>
    <row r="1192" spans="1:24" x14ac:dyDescent="0.35">
      <c r="A1192" s="3">
        <v>46218</v>
      </c>
      <c r="B1192" t="s">
        <v>1700</v>
      </c>
      <c r="C1192" t="s">
        <v>1702</v>
      </c>
      <c r="D1192" t="s">
        <v>34</v>
      </c>
      <c r="E1192" t="s">
        <v>25</v>
      </c>
      <c r="F1192" t="s">
        <v>20</v>
      </c>
      <c r="G1192" t="s">
        <v>27</v>
      </c>
      <c r="H1192" t="s">
        <v>48</v>
      </c>
      <c r="I1192">
        <v>3939</v>
      </c>
      <c r="J1192">
        <v>2967</v>
      </c>
      <c r="K1192">
        <v>2762</v>
      </c>
      <c r="L1192">
        <v>122</v>
      </c>
      <c r="M1192">
        <v>55</v>
      </c>
      <c r="N1192">
        <v>3</v>
      </c>
      <c r="O1192">
        <v>263.12</v>
      </c>
      <c r="P1192">
        <v>4127.49</v>
      </c>
      <c r="Q1192" s="5">
        <f t="shared" si="144"/>
        <v>0.93090663970340415</v>
      </c>
      <c r="R1192" s="5">
        <f t="shared" si="145"/>
        <v>4.4170890658942794E-2</v>
      </c>
      <c r="S1192" s="5">
        <f t="shared" si="146"/>
        <v>0.45081967213114754</v>
      </c>
      <c r="T1192" s="5">
        <f t="shared" si="147"/>
        <v>5.4545454545454543E-2</v>
      </c>
      <c r="U1192" s="5">
        <f t="shared" si="148"/>
        <v>1.0861694424330196E-3</v>
      </c>
      <c r="V1192" s="6">
        <f t="shared" si="149"/>
        <v>4.7839999999999998</v>
      </c>
      <c r="W1192" s="7">
        <f t="shared" si="150"/>
        <v>2.15672131147541</v>
      </c>
      <c r="X1192" s="5">
        <f t="shared" si="151"/>
        <v>14.686720887807844</v>
      </c>
    </row>
    <row r="1193" spans="1:24" x14ac:dyDescent="0.35">
      <c r="A1193" s="3">
        <v>46219</v>
      </c>
      <c r="B1193" t="s">
        <v>1560</v>
      </c>
      <c r="C1193" t="s">
        <v>1703</v>
      </c>
      <c r="D1193" t="s">
        <v>40</v>
      </c>
      <c r="E1193" t="s">
        <v>35</v>
      </c>
      <c r="F1193" t="s">
        <v>20</v>
      </c>
      <c r="G1193" t="s">
        <v>59</v>
      </c>
      <c r="H1193" t="s">
        <v>51</v>
      </c>
      <c r="I1193">
        <v>1716</v>
      </c>
      <c r="J1193">
        <v>1355</v>
      </c>
      <c r="K1193">
        <v>1278</v>
      </c>
      <c r="L1193">
        <v>105</v>
      </c>
      <c r="M1193">
        <v>46</v>
      </c>
      <c r="N1193">
        <v>3</v>
      </c>
      <c r="O1193">
        <v>192.77</v>
      </c>
      <c r="P1193">
        <v>3289.11</v>
      </c>
      <c r="Q1193" s="5">
        <f t="shared" si="144"/>
        <v>0.94317343173431734</v>
      </c>
      <c r="R1193" s="5">
        <f t="shared" si="145"/>
        <v>8.2159624413145546E-2</v>
      </c>
      <c r="S1193" s="5">
        <f t="shared" si="146"/>
        <v>0.43809523809523809</v>
      </c>
      <c r="T1193" s="5">
        <f t="shared" si="147"/>
        <v>6.5217391304347824E-2</v>
      </c>
      <c r="U1193" s="5">
        <f t="shared" si="148"/>
        <v>2.3474178403755869E-3</v>
      </c>
      <c r="V1193" s="6">
        <f t="shared" si="149"/>
        <v>4.190652173913044</v>
      </c>
      <c r="W1193" s="7">
        <f t="shared" si="150"/>
        <v>1.8359047619047619</v>
      </c>
      <c r="X1193" s="5">
        <f t="shared" si="151"/>
        <v>16.062354100741818</v>
      </c>
    </row>
    <row r="1194" spans="1:24" x14ac:dyDescent="0.35">
      <c r="A1194" s="3">
        <v>46219</v>
      </c>
      <c r="B1194" t="s">
        <v>1704</v>
      </c>
      <c r="C1194" t="s">
        <v>1705</v>
      </c>
      <c r="D1194" t="s">
        <v>18</v>
      </c>
      <c r="E1194" t="s">
        <v>35</v>
      </c>
      <c r="F1194" t="s">
        <v>20</v>
      </c>
      <c r="G1194" t="s">
        <v>59</v>
      </c>
      <c r="H1194" t="s">
        <v>22</v>
      </c>
      <c r="I1194">
        <v>993</v>
      </c>
      <c r="J1194">
        <v>979</v>
      </c>
      <c r="K1194">
        <v>891</v>
      </c>
      <c r="L1194">
        <v>72</v>
      </c>
      <c r="M1194">
        <v>34</v>
      </c>
      <c r="N1194">
        <v>2</v>
      </c>
      <c r="O1194">
        <v>139.27000000000001</v>
      </c>
      <c r="P1194">
        <v>1710.34</v>
      </c>
      <c r="Q1194" s="5">
        <f t="shared" si="144"/>
        <v>0.9101123595505618</v>
      </c>
      <c r="R1194" s="5">
        <f t="shared" si="145"/>
        <v>8.0808080808080815E-2</v>
      </c>
      <c r="S1194" s="5">
        <f t="shared" si="146"/>
        <v>0.47222222222222221</v>
      </c>
      <c r="T1194" s="5">
        <f t="shared" si="147"/>
        <v>5.8823529411764705E-2</v>
      </c>
      <c r="U1194" s="5">
        <f t="shared" si="148"/>
        <v>2.2446689113355782E-3</v>
      </c>
      <c r="V1194" s="6">
        <f t="shared" si="149"/>
        <v>4.0961764705882358</v>
      </c>
      <c r="W1194" s="7">
        <f t="shared" si="150"/>
        <v>1.9343055555555557</v>
      </c>
      <c r="X1194" s="5">
        <f t="shared" si="151"/>
        <v>11.280749623034392</v>
      </c>
    </row>
    <row r="1195" spans="1:24" x14ac:dyDescent="0.35">
      <c r="A1195" s="3">
        <v>46219</v>
      </c>
      <c r="B1195" t="s">
        <v>1673</v>
      </c>
      <c r="C1195" t="s">
        <v>1706</v>
      </c>
      <c r="D1195" t="s">
        <v>40</v>
      </c>
      <c r="E1195" t="s">
        <v>25</v>
      </c>
      <c r="F1195" t="s">
        <v>20</v>
      </c>
      <c r="G1195" t="s">
        <v>27</v>
      </c>
      <c r="H1195" t="s">
        <v>22</v>
      </c>
      <c r="I1195">
        <v>591</v>
      </c>
      <c r="J1195">
        <v>584</v>
      </c>
      <c r="K1195">
        <v>548</v>
      </c>
      <c r="L1195">
        <v>17</v>
      </c>
      <c r="M1195">
        <v>9</v>
      </c>
      <c r="N1195">
        <v>0</v>
      </c>
      <c r="O1195">
        <v>85.23</v>
      </c>
      <c r="P1195">
        <v>0</v>
      </c>
      <c r="Q1195" s="5">
        <f t="shared" si="144"/>
        <v>0.93835616438356162</v>
      </c>
      <c r="R1195" s="5">
        <f t="shared" si="145"/>
        <v>3.1021897810218978E-2</v>
      </c>
      <c r="S1195" s="5">
        <f t="shared" si="146"/>
        <v>0.52941176470588236</v>
      </c>
      <c r="T1195" s="5">
        <f t="shared" si="147"/>
        <v>0</v>
      </c>
      <c r="U1195" s="5">
        <f t="shared" si="148"/>
        <v>0</v>
      </c>
      <c r="V1195" s="6">
        <f t="shared" si="149"/>
        <v>9.4700000000000006</v>
      </c>
      <c r="W1195" s="7">
        <f t="shared" si="150"/>
        <v>5.013529411764706</v>
      </c>
      <c r="X1195" s="5">
        <f t="shared" si="151"/>
        <v>-1</v>
      </c>
    </row>
    <row r="1196" spans="1:24" x14ac:dyDescent="0.35">
      <c r="A1196" s="3">
        <v>46219</v>
      </c>
      <c r="B1196" t="s">
        <v>1696</v>
      </c>
      <c r="C1196" t="s">
        <v>1707</v>
      </c>
      <c r="D1196" t="s">
        <v>31</v>
      </c>
      <c r="E1196" t="s">
        <v>35</v>
      </c>
      <c r="F1196" t="s">
        <v>20</v>
      </c>
      <c r="G1196" t="s">
        <v>27</v>
      </c>
      <c r="H1196" t="s">
        <v>28</v>
      </c>
      <c r="I1196">
        <v>3679</v>
      </c>
      <c r="J1196">
        <v>3672</v>
      </c>
      <c r="K1196">
        <v>3478</v>
      </c>
      <c r="L1196">
        <v>183</v>
      </c>
      <c r="M1196">
        <v>78</v>
      </c>
      <c r="N1196">
        <v>5</v>
      </c>
      <c r="O1196">
        <v>697.4</v>
      </c>
      <c r="P1196">
        <v>7146.66</v>
      </c>
      <c r="Q1196" s="5">
        <f t="shared" si="144"/>
        <v>0.94716775599128544</v>
      </c>
      <c r="R1196" s="5">
        <f t="shared" si="145"/>
        <v>5.2616446233467513E-2</v>
      </c>
      <c r="S1196" s="5">
        <f t="shared" si="146"/>
        <v>0.42622950819672129</v>
      </c>
      <c r="T1196" s="5">
        <f t="shared" si="147"/>
        <v>6.4102564102564097E-2</v>
      </c>
      <c r="U1196" s="5">
        <f t="shared" si="148"/>
        <v>1.4376078205865441E-3</v>
      </c>
      <c r="V1196" s="6">
        <f t="shared" si="149"/>
        <v>8.9410256410256412</v>
      </c>
      <c r="W1196" s="7">
        <f t="shared" si="150"/>
        <v>3.8109289617486337</v>
      </c>
      <c r="X1196" s="5">
        <f t="shared" si="151"/>
        <v>9.2475767135073141</v>
      </c>
    </row>
    <row r="1197" spans="1:24" x14ac:dyDescent="0.35">
      <c r="A1197" s="3">
        <v>46220</v>
      </c>
      <c r="B1197" t="s">
        <v>1671</v>
      </c>
      <c r="C1197" t="s">
        <v>1708</v>
      </c>
      <c r="D1197" t="s">
        <v>31</v>
      </c>
      <c r="E1197" t="s">
        <v>35</v>
      </c>
      <c r="F1197" t="s">
        <v>20</v>
      </c>
      <c r="G1197" t="s">
        <v>36</v>
      </c>
      <c r="H1197" t="s">
        <v>51</v>
      </c>
      <c r="I1197">
        <v>1348</v>
      </c>
      <c r="J1197">
        <v>1114</v>
      </c>
      <c r="K1197">
        <v>1079</v>
      </c>
      <c r="L1197">
        <v>62</v>
      </c>
      <c r="M1197">
        <v>30</v>
      </c>
      <c r="N1197">
        <v>2</v>
      </c>
      <c r="O1197">
        <v>174.15</v>
      </c>
      <c r="P1197">
        <v>1779.05</v>
      </c>
      <c r="Q1197" s="5">
        <f t="shared" si="144"/>
        <v>0.96858168761220831</v>
      </c>
      <c r="R1197" s="5">
        <f t="shared" si="145"/>
        <v>5.7460611677479144E-2</v>
      </c>
      <c r="S1197" s="5">
        <f t="shared" si="146"/>
        <v>0.4838709677419355</v>
      </c>
      <c r="T1197" s="5">
        <f t="shared" si="147"/>
        <v>6.6666666666666666E-2</v>
      </c>
      <c r="U1197" s="5">
        <f t="shared" si="148"/>
        <v>1.8535681186283596E-3</v>
      </c>
      <c r="V1197" s="6">
        <f t="shared" si="149"/>
        <v>5.8050000000000006</v>
      </c>
      <c r="W1197" s="7">
        <f t="shared" si="150"/>
        <v>2.8088709677419357</v>
      </c>
      <c r="X1197" s="5">
        <f t="shared" si="151"/>
        <v>9.215618719494687</v>
      </c>
    </row>
    <row r="1198" spans="1:24" x14ac:dyDescent="0.35">
      <c r="A1198" s="3">
        <v>46220</v>
      </c>
      <c r="B1198" t="s">
        <v>1709</v>
      </c>
      <c r="C1198" t="s">
        <v>1710</v>
      </c>
      <c r="D1198" t="s">
        <v>18</v>
      </c>
      <c r="E1198" t="s">
        <v>56</v>
      </c>
      <c r="F1198" t="s">
        <v>26</v>
      </c>
      <c r="G1198" t="s">
        <v>27</v>
      </c>
      <c r="H1198" t="s">
        <v>37</v>
      </c>
      <c r="I1198">
        <v>4405</v>
      </c>
      <c r="J1198">
        <v>4026</v>
      </c>
      <c r="K1198">
        <v>3773</v>
      </c>
      <c r="L1198">
        <v>314</v>
      </c>
      <c r="M1198">
        <v>186</v>
      </c>
      <c r="N1198">
        <v>12</v>
      </c>
      <c r="O1198">
        <v>523.23</v>
      </c>
      <c r="P1198">
        <v>13863.8</v>
      </c>
      <c r="Q1198" s="5">
        <f t="shared" si="144"/>
        <v>0.93715846994535523</v>
      </c>
      <c r="R1198" s="5">
        <f t="shared" si="145"/>
        <v>8.3222899549430157E-2</v>
      </c>
      <c r="S1198" s="5">
        <f t="shared" si="146"/>
        <v>0.59235668789808915</v>
      </c>
      <c r="T1198" s="5">
        <f t="shared" si="147"/>
        <v>6.4516129032258063E-2</v>
      </c>
      <c r="U1198" s="5">
        <f t="shared" si="148"/>
        <v>3.1804929764113437E-3</v>
      </c>
      <c r="V1198" s="6">
        <f t="shared" si="149"/>
        <v>2.8130645161290322</v>
      </c>
      <c r="W1198" s="7">
        <f t="shared" si="150"/>
        <v>1.6663375796178344</v>
      </c>
      <c r="X1198" s="5">
        <f t="shared" si="151"/>
        <v>25.496569386311947</v>
      </c>
    </row>
    <row r="1199" spans="1:24" x14ac:dyDescent="0.35">
      <c r="A1199" s="3">
        <v>46220</v>
      </c>
      <c r="B1199" t="s">
        <v>1692</v>
      </c>
      <c r="C1199" t="s">
        <v>1711</v>
      </c>
      <c r="D1199" t="s">
        <v>40</v>
      </c>
      <c r="E1199" t="s">
        <v>56</v>
      </c>
      <c r="F1199" t="s">
        <v>20</v>
      </c>
      <c r="G1199" t="s">
        <v>27</v>
      </c>
      <c r="H1199" t="s">
        <v>48</v>
      </c>
      <c r="I1199">
        <v>3219</v>
      </c>
      <c r="J1199">
        <v>2661</v>
      </c>
      <c r="K1199">
        <v>2461</v>
      </c>
      <c r="L1199">
        <v>113</v>
      </c>
      <c r="M1199">
        <v>54</v>
      </c>
      <c r="N1199">
        <v>2</v>
      </c>
      <c r="O1199">
        <v>346.38</v>
      </c>
      <c r="P1199">
        <v>2675.62</v>
      </c>
      <c r="Q1199" s="5">
        <f t="shared" si="144"/>
        <v>0.92484028560691467</v>
      </c>
      <c r="R1199" s="5">
        <f t="shared" si="145"/>
        <v>4.5916294189353918E-2</v>
      </c>
      <c r="S1199" s="5">
        <f t="shared" si="146"/>
        <v>0.47787610619469029</v>
      </c>
      <c r="T1199" s="5">
        <f t="shared" si="147"/>
        <v>3.7037037037037035E-2</v>
      </c>
      <c r="U1199" s="5">
        <f t="shared" si="148"/>
        <v>8.1267777326290123E-4</v>
      </c>
      <c r="V1199" s="6">
        <f t="shared" si="149"/>
        <v>6.4144444444444444</v>
      </c>
      <c r="W1199" s="7">
        <f t="shared" si="150"/>
        <v>3.0653097345132743</v>
      </c>
      <c r="X1199" s="5">
        <f t="shared" si="151"/>
        <v>6.7245222010508687</v>
      </c>
    </row>
    <row r="1200" spans="1:24" x14ac:dyDescent="0.35">
      <c r="A1200" s="3">
        <v>46220</v>
      </c>
      <c r="B1200" t="s">
        <v>1593</v>
      </c>
      <c r="C1200" t="s">
        <v>1712</v>
      </c>
      <c r="D1200" t="s">
        <v>31</v>
      </c>
      <c r="E1200" t="s">
        <v>25</v>
      </c>
      <c r="F1200" t="s">
        <v>20</v>
      </c>
      <c r="G1200" t="s">
        <v>27</v>
      </c>
      <c r="H1200" t="s">
        <v>51</v>
      </c>
      <c r="I1200">
        <v>3322</v>
      </c>
      <c r="J1200">
        <v>3145</v>
      </c>
      <c r="K1200">
        <v>3017</v>
      </c>
      <c r="L1200">
        <v>90</v>
      </c>
      <c r="M1200">
        <v>40</v>
      </c>
      <c r="N1200">
        <v>2</v>
      </c>
      <c r="O1200">
        <v>612.4</v>
      </c>
      <c r="P1200">
        <v>2175.38</v>
      </c>
      <c r="Q1200" s="5">
        <f t="shared" si="144"/>
        <v>0.95930047694753573</v>
      </c>
      <c r="R1200" s="5">
        <f t="shared" si="145"/>
        <v>2.9830957905203844E-2</v>
      </c>
      <c r="S1200" s="5">
        <f t="shared" si="146"/>
        <v>0.44444444444444442</v>
      </c>
      <c r="T1200" s="5">
        <f t="shared" si="147"/>
        <v>0.05</v>
      </c>
      <c r="U1200" s="5">
        <f t="shared" si="148"/>
        <v>6.6291017567119651E-4</v>
      </c>
      <c r="V1200" s="6">
        <f t="shared" si="149"/>
        <v>15.309999999999999</v>
      </c>
      <c r="W1200" s="7">
        <f t="shared" si="150"/>
        <v>6.8044444444444441</v>
      </c>
      <c r="X1200" s="5">
        <f t="shared" si="151"/>
        <v>2.5522207707380797</v>
      </c>
    </row>
    <row r="1201" spans="1:24" x14ac:dyDescent="0.35">
      <c r="A1201" s="3">
        <v>46220</v>
      </c>
      <c r="B1201" t="s">
        <v>1681</v>
      </c>
      <c r="C1201" t="s">
        <v>1713</v>
      </c>
      <c r="D1201" t="s">
        <v>18</v>
      </c>
      <c r="E1201" t="s">
        <v>35</v>
      </c>
      <c r="F1201" t="s">
        <v>26</v>
      </c>
      <c r="G1201" t="s">
        <v>41</v>
      </c>
      <c r="H1201" t="s">
        <v>28</v>
      </c>
      <c r="I1201">
        <v>2403</v>
      </c>
      <c r="J1201">
        <v>2270</v>
      </c>
      <c r="K1201">
        <v>2026</v>
      </c>
      <c r="L1201">
        <v>172</v>
      </c>
      <c r="M1201">
        <v>111</v>
      </c>
      <c r="N1201">
        <v>12</v>
      </c>
      <c r="O1201">
        <v>273.19</v>
      </c>
      <c r="P1201">
        <v>17906.05</v>
      </c>
      <c r="Q1201" s="5">
        <f t="shared" si="144"/>
        <v>0.89251101321585902</v>
      </c>
      <c r="R1201" s="5">
        <f t="shared" si="145"/>
        <v>8.489634748272458E-2</v>
      </c>
      <c r="S1201" s="5">
        <f t="shared" si="146"/>
        <v>0.64534883720930236</v>
      </c>
      <c r="T1201" s="5">
        <f t="shared" si="147"/>
        <v>0.10810810810810811</v>
      </c>
      <c r="U1201" s="5">
        <f t="shared" si="148"/>
        <v>5.9230009871668312E-3</v>
      </c>
      <c r="V1201" s="6">
        <f t="shared" si="149"/>
        <v>2.4611711711711712</v>
      </c>
      <c r="W1201" s="7">
        <f t="shared" si="150"/>
        <v>1.5883139534883721</v>
      </c>
      <c r="X1201" s="5">
        <f t="shared" si="151"/>
        <v>64.544309821003694</v>
      </c>
    </row>
    <row r="1202" spans="1:24" x14ac:dyDescent="0.35">
      <c r="A1202" s="3">
        <v>46220</v>
      </c>
      <c r="B1202" t="s">
        <v>1653</v>
      </c>
      <c r="C1202" t="s">
        <v>1714</v>
      </c>
      <c r="D1202" t="s">
        <v>31</v>
      </c>
      <c r="E1202" t="s">
        <v>35</v>
      </c>
      <c r="F1202" t="s">
        <v>26</v>
      </c>
      <c r="G1202" t="s">
        <v>21</v>
      </c>
      <c r="H1202" t="s">
        <v>22</v>
      </c>
      <c r="I1202">
        <v>1186</v>
      </c>
      <c r="J1202">
        <v>1122</v>
      </c>
      <c r="K1202">
        <v>1064</v>
      </c>
      <c r="L1202">
        <v>69</v>
      </c>
      <c r="M1202">
        <v>34</v>
      </c>
      <c r="N1202">
        <v>3</v>
      </c>
      <c r="O1202">
        <v>203.91</v>
      </c>
      <c r="P1202">
        <v>3513.47</v>
      </c>
      <c r="Q1202" s="5">
        <f t="shared" si="144"/>
        <v>0.94830659536541895</v>
      </c>
      <c r="R1202" s="5">
        <f t="shared" si="145"/>
        <v>6.4849624060150379E-2</v>
      </c>
      <c r="S1202" s="5">
        <f t="shared" si="146"/>
        <v>0.49275362318840582</v>
      </c>
      <c r="T1202" s="5">
        <f t="shared" si="147"/>
        <v>8.8235294117647065E-2</v>
      </c>
      <c r="U1202" s="5">
        <f t="shared" si="148"/>
        <v>2.819548872180451E-3</v>
      </c>
      <c r="V1202" s="6">
        <f t="shared" si="149"/>
        <v>5.9973529411764703</v>
      </c>
      <c r="W1202" s="7">
        <f t="shared" si="150"/>
        <v>2.9552173913043478</v>
      </c>
      <c r="X1202" s="5">
        <f t="shared" si="151"/>
        <v>16.230493845323917</v>
      </c>
    </row>
    <row r="1203" spans="1:24" x14ac:dyDescent="0.35">
      <c r="A1203" s="3">
        <v>46220</v>
      </c>
      <c r="B1203" t="s">
        <v>1675</v>
      </c>
      <c r="C1203" t="s">
        <v>1715</v>
      </c>
      <c r="D1203" t="s">
        <v>40</v>
      </c>
      <c r="E1203" t="s">
        <v>25</v>
      </c>
      <c r="F1203" t="s">
        <v>20</v>
      </c>
      <c r="G1203" t="s">
        <v>59</v>
      </c>
      <c r="H1203" t="s">
        <v>48</v>
      </c>
      <c r="I1203">
        <v>470</v>
      </c>
      <c r="J1203">
        <v>392</v>
      </c>
      <c r="K1203">
        <v>365</v>
      </c>
      <c r="L1203">
        <v>15</v>
      </c>
      <c r="M1203">
        <v>8</v>
      </c>
      <c r="N1203">
        <v>0</v>
      </c>
      <c r="O1203">
        <v>68.94</v>
      </c>
      <c r="P1203">
        <v>0</v>
      </c>
      <c r="Q1203" s="5">
        <f t="shared" si="144"/>
        <v>0.93112244897959184</v>
      </c>
      <c r="R1203" s="5">
        <f t="shared" si="145"/>
        <v>4.1095890410958902E-2</v>
      </c>
      <c r="S1203" s="5">
        <f t="shared" si="146"/>
        <v>0.53333333333333333</v>
      </c>
      <c r="T1203" s="5">
        <f t="shared" si="147"/>
        <v>0</v>
      </c>
      <c r="U1203" s="5">
        <f t="shared" si="148"/>
        <v>0</v>
      </c>
      <c r="V1203" s="6">
        <f t="shared" si="149"/>
        <v>8.6174999999999997</v>
      </c>
      <c r="W1203" s="7">
        <f t="shared" si="150"/>
        <v>4.5960000000000001</v>
      </c>
      <c r="X1203" s="5">
        <f t="shared" si="151"/>
        <v>-1</v>
      </c>
    </row>
    <row r="1204" spans="1:24" x14ac:dyDescent="0.35">
      <c r="A1204" s="3">
        <v>46220</v>
      </c>
      <c r="B1204" t="s">
        <v>1696</v>
      </c>
      <c r="C1204" t="s">
        <v>1716</v>
      </c>
      <c r="D1204" t="s">
        <v>18</v>
      </c>
      <c r="E1204" t="s">
        <v>19</v>
      </c>
      <c r="F1204" t="s">
        <v>20</v>
      </c>
      <c r="G1204" t="s">
        <v>27</v>
      </c>
      <c r="H1204" t="s">
        <v>48</v>
      </c>
      <c r="I1204">
        <v>4299</v>
      </c>
      <c r="J1204">
        <v>3857</v>
      </c>
      <c r="K1204">
        <v>3540</v>
      </c>
      <c r="L1204">
        <v>43</v>
      </c>
      <c r="M1204">
        <v>22</v>
      </c>
      <c r="N1204">
        <v>0</v>
      </c>
      <c r="O1204">
        <v>516.70000000000005</v>
      </c>
      <c r="P1204">
        <v>0</v>
      </c>
      <c r="Q1204" s="5">
        <f t="shared" si="144"/>
        <v>0.91781177080632614</v>
      </c>
      <c r="R1204" s="5">
        <f t="shared" si="145"/>
        <v>1.2146892655367232E-2</v>
      </c>
      <c r="S1204" s="5">
        <f t="shared" si="146"/>
        <v>0.51162790697674421</v>
      </c>
      <c r="T1204" s="5">
        <f t="shared" si="147"/>
        <v>0</v>
      </c>
      <c r="U1204" s="5">
        <f t="shared" si="148"/>
        <v>0</v>
      </c>
      <c r="V1204" s="6">
        <f t="shared" si="149"/>
        <v>23.486363636363638</v>
      </c>
      <c r="W1204" s="7">
        <f t="shared" si="150"/>
        <v>12.016279069767442</v>
      </c>
      <c r="X1204" s="5">
        <f t="shared" si="151"/>
        <v>-1</v>
      </c>
    </row>
    <row r="1205" spans="1:24" x14ac:dyDescent="0.35">
      <c r="A1205" s="3">
        <v>46220</v>
      </c>
      <c r="B1205" t="s">
        <v>1643</v>
      </c>
      <c r="C1205" t="s">
        <v>1717</v>
      </c>
      <c r="D1205" t="s">
        <v>34</v>
      </c>
      <c r="E1205" t="s">
        <v>19</v>
      </c>
      <c r="F1205" t="s">
        <v>20</v>
      </c>
      <c r="G1205" t="s">
        <v>36</v>
      </c>
      <c r="H1205" t="s">
        <v>22</v>
      </c>
      <c r="I1205">
        <v>3875</v>
      </c>
      <c r="J1205">
        <v>2935</v>
      </c>
      <c r="K1205">
        <v>2753</v>
      </c>
      <c r="L1205">
        <v>45</v>
      </c>
      <c r="M1205">
        <v>18</v>
      </c>
      <c r="N1205">
        <v>0</v>
      </c>
      <c r="O1205">
        <v>233.78</v>
      </c>
      <c r="P1205">
        <v>0</v>
      </c>
      <c r="Q1205" s="5">
        <f t="shared" si="144"/>
        <v>0.93798977853492338</v>
      </c>
      <c r="R1205" s="5">
        <f t="shared" si="145"/>
        <v>1.634580457682528E-2</v>
      </c>
      <c r="S1205" s="5">
        <f t="shared" si="146"/>
        <v>0.4</v>
      </c>
      <c r="T1205" s="5">
        <f t="shared" si="147"/>
        <v>0</v>
      </c>
      <c r="U1205" s="5">
        <f t="shared" si="148"/>
        <v>0</v>
      </c>
      <c r="V1205" s="6">
        <f t="shared" si="149"/>
        <v>12.987777777777778</v>
      </c>
      <c r="W1205" s="7">
        <f t="shared" si="150"/>
        <v>5.1951111111111112</v>
      </c>
      <c r="X1205" s="5">
        <f t="shared" si="151"/>
        <v>-1</v>
      </c>
    </row>
    <row r="1206" spans="1:24" x14ac:dyDescent="0.35">
      <c r="A1206" s="3">
        <v>46221</v>
      </c>
      <c r="B1206" t="s">
        <v>1591</v>
      </c>
      <c r="C1206" t="s">
        <v>1718</v>
      </c>
      <c r="D1206" t="s">
        <v>18</v>
      </c>
      <c r="E1206" t="s">
        <v>25</v>
      </c>
      <c r="F1206" t="s">
        <v>20</v>
      </c>
      <c r="G1206" t="s">
        <v>21</v>
      </c>
      <c r="H1206" t="s">
        <v>22</v>
      </c>
      <c r="I1206">
        <v>488</v>
      </c>
      <c r="J1206">
        <v>483</v>
      </c>
      <c r="K1206">
        <v>442</v>
      </c>
      <c r="L1206">
        <v>13</v>
      </c>
      <c r="M1206">
        <v>5</v>
      </c>
      <c r="N1206">
        <v>0</v>
      </c>
      <c r="O1206">
        <v>60.74</v>
      </c>
      <c r="P1206">
        <v>0</v>
      </c>
      <c r="Q1206" s="5">
        <f t="shared" si="144"/>
        <v>0.91511387163561075</v>
      </c>
      <c r="R1206" s="5">
        <f t="shared" si="145"/>
        <v>2.9411764705882353E-2</v>
      </c>
      <c r="S1206" s="5">
        <f t="shared" si="146"/>
        <v>0.38461538461538464</v>
      </c>
      <c r="T1206" s="5">
        <f t="shared" si="147"/>
        <v>0</v>
      </c>
      <c r="U1206" s="5">
        <f t="shared" si="148"/>
        <v>0</v>
      </c>
      <c r="V1206" s="6">
        <f t="shared" si="149"/>
        <v>12.148</v>
      </c>
      <c r="W1206" s="7">
        <f t="shared" si="150"/>
        <v>4.6723076923076921</v>
      </c>
      <c r="X1206" s="5">
        <f t="shared" si="151"/>
        <v>-1</v>
      </c>
    </row>
    <row r="1207" spans="1:24" x14ac:dyDescent="0.35">
      <c r="A1207" s="3">
        <v>46221</v>
      </c>
      <c r="B1207" t="s">
        <v>1570</v>
      </c>
      <c r="C1207" t="s">
        <v>1719</v>
      </c>
      <c r="D1207" t="s">
        <v>34</v>
      </c>
      <c r="E1207" t="s">
        <v>56</v>
      </c>
      <c r="F1207" t="s">
        <v>20</v>
      </c>
      <c r="G1207" t="s">
        <v>41</v>
      </c>
      <c r="H1207" t="s">
        <v>48</v>
      </c>
      <c r="I1207">
        <v>3348</v>
      </c>
      <c r="J1207">
        <v>3154</v>
      </c>
      <c r="K1207">
        <v>3022</v>
      </c>
      <c r="L1207">
        <v>179</v>
      </c>
      <c r="M1207">
        <v>82</v>
      </c>
      <c r="N1207">
        <v>6</v>
      </c>
      <c r="O1207">
        <v>246.56</v>
      </c>
      <c r="P1207">
        <v>7404.94</v>
      </c>
      <c r="Q1207" s="5">
        <f t="shared" si="144"/>
        <v>0.95814838300570704</v>
      </c>
      <c r="R1207" s="5">
        <f t="shared" si="145"/>
        <v>5.9232296492389147E-2</v>
      </c>
      <c r="S1207" s="5">
        <f t="shared" si="146"/>
        <v>0.45810055865921789</v>
      </c>
      <c r="T1207" s="5">
        <f t="shared" si="147"/>
        <v>7.3170731707317069E-2</v>
      </c>
      <c r="U1207" s="5">
        <f t="shared" si="148"/>
        <v>1.9854401058901389E-3</v>
      </c>
      <c r="V1207" s="6">
        <f t="shared" si="149"/>
        <v>3.0068292682926829</v>
      </c>
      <c r="W1207" s="7">
        <f t="shared" si="150"/>
        <v>1.3774301675977654</v>
      </c>
      <c r="X1207" s="5">
        <f t="shared" si="151"/>
        <v>29.033014276443865</v>
      </c>
    </row>
    <row r="1208" spans="1:24" x14ac:dyDescent="0.35">
      <c r="A1208" s="3">
        <v>46221</v>
      </c>
      <c r="B1208" t="s">
        <v>1609</v>
      </c>
      <c r="C1208" t="s">
        <v>1720</v>
      </c>
      <c r="D1208" t="s">
        <v>34</v>
      </c>
      <c r="E1208" t="s">
        <v>25</v>
      </c>
      <c r="F1208" t="s">
        <v>26</v>
      </c>
      <c r="G1208" t="s">
        <v>36</v>
      </c>
      <c r="H1208" t="s">
        <v>51</v>
      </c>
      <c r="I1208">
        <v>408</v>
      </c>
      <c r="J1208">
        <v>337</v>
      </c>
      <c r="K1208">
        <v>320</v>
      </c>
      <c r="L1208">
        <v>14</v>
      </c>
      <c r="M1208">
        <v>7</v>
      </c>
      <c r="N1208">
        <v>0</v>
      </c>
      <c r="O1208">
        <v>32.22</v>
      </c>
      <c r="P1208">
        <v>0</v>
      </c>
      <c r="Q1208" s="5">
        <f t="shared" si="144"/>
        <v>0.94955489614243327</v>
      </c>
      <c r="R1208" s="5">
        <f t="shared" si="145"/>
        <v>4.3749999999999997E-2</v>
      </c>
      <c r="S1208" s="5">
        <f t="shared" si="146"/>
        <v>0.5</v>
      </c>
      <c r="T1208" s="5">
        <f t="shared" si="147"/>
        <v>0</v>
      </c>
      <c r="U1208" s="5">
        <f t="shared" si="148"/>
        <v>0</v>
      </c>
      <c r="V1208" s="6">
        <f t="shared" si="149"/>
        <v>4.6028571428571423</v>
      </c>
      <c r="W1208" s="7">
        <f t="shared" si="150"/>
        <v>2.3014285714285712</v>
      </c>
      <c r="X1208" s="5">
        <f t="shared" si="151"/>
        <v>-1</v>
      </c>
    </row>
    <row r="1209" spans="1:24" x14ac:dyDescent="0.35">
      <c r="A1209" s="3">
        <v>46221</v>
      </c>
      <c r="B1209" t="s">
        <v>1675</v>
      </c>
      <c r="C1209" t="s">
        <v>1721</v>
      </c>
      <c r="D1209" t="s">
        <v>34</v>
      </c>
      <c r="E1209" t="s">
        <v>35</v>
      </c>
      <c r="F1209" t="s">
        <v>20</v>
      </c>
      <c r="G1209" t="s">
        <v>59</v>
      </c>
      <c r="H1209" t="s">
        <v>37</v>
      </c>
      <c r="I1209">
        <v>2530</v>
      </c>
      <c r="J1209">
        <v>1950</v>
      </c>
      <c r="K1209">
        <v>1826</v>
      </c>
      <c r="L1209">
        <v>117</v>
      </c>
      <c r="M1209">
        <v>51</v>
      </c>
      <c r="N1209">
        <v>3</v>
      </c>
      <c r="O1209">
        <v>137.65</v>
      </c>
      <c r="P1209">
        <v>3550.33</v>
      </c>
      <c r="Q1209" s="5">
        <f t="shared" si="144"/>
        <v>0.93641025641025644</v>
      </c>
      <c r="R1209" s="5">
        <f t="shared" si="145"/>
        <v>6.4074479737130333E-2</v>
      </c>
      <c r="S1209" s="5">
        <f t="shared" si="146"/>
        <v>0.4358974358974359</v>
      </c>
      <c r="T1209" s="5">
        <f t="shared" si="147"/>
        <v>5.8823529411764705E-2</v>
      </c>
      <c r="U1209" s="5">
        <f t="shared" si="148"/>
        <v>1.6429353778751369E-3</v>
      </c>
      <c r="V1209" s="6">
        <f t="shared" si="149"/>
        <v>2.6990196078431374</v>
      </c>
      <c r="W1209" s="7">
        <f t="shared" si="150"/>
        <v>1.1764957264957265</v>
      </c>
      <c r="X1209" s="5">
        <f t="shared" si="151"/>
        <v>24.792444605884487</v>
      </c>
    </row>
    <row r="1210" spans="1:24" x14ac:dyDescent="0.35">
      <c r="A1210" s="3">
        <v>46221</v>
      </c>
      <c r="B1210" t="s">
        <v>1664</v>
      </c>
      <c r="C1210" t="s">
        <v>1722</v>
      </c>
      <c r="D1210" t="s">
        <v>18</v>
      </c>
      <c r="E1210" t="s">
        <v>56</v>
      </c>
      <c r="F1210" t="s">
        <v>20</v>
      </c>
      <c r="G1210" t="s">
        <v>59</v>
      </c>
      <c r="H1210" t="s">
        <v>28</v>
      </c>
      <c r="I1210">
        <v>4279</v>
      </c>
      <c r="J1210">
        <v>3198</v>
      </c>
      <c r="K1210">
        <v>2862</v>
      </c>
      <c r="L1210">
        <v>192</v>
      </c>
      <c r="M1210">
        <v>101</v>
      </c>
      <c r="N1210">
        <v>5</v>
      </c>
      <c r="O1210">
        <v>359.57</v>
      </c>
      <c r="P1210">
        <v>5820.13</v>
      </c>
      <c r="Q1210" s="5">
        <f t="shared" si="144"/>
        <v>0.89493433395872424</v>
      </c>
      <c r="R1210" s="5">
        <f t="shared" si="145"/>
        <v>6.7085953878406712E-2</v>
      </c>
      <c r="S1210" s="5">
        <f t="shared" si="146"/>
        <v>0.52604166666666663</v>
      </c>
      <c r="T1210" s="5">
        <f t="shared" si="147"/>
        <v>4.9504950495049507E-2</v>
      </c>
      <c r="U1210" s="5">
        <f t="shared" si="148"/>
        <v>1.7470300489168414E-3</v>
      </c>
      <c r="V1210" s="6">
        <f t="shared" si="149"/>
        <v>3.5600990099009899</v>
      </c>
      <c r="W1210" s="7">
        <f t="shared" si="150"/>
        <v>1.8727604166666667</v>
      </c>
      <c r="X1210" s="5">
        <f t="shared" si="151"/>
        <v>15.186361487332093</v>
      </c>
    </row>
    <row r="1211" spans="1:24" x14ac:dyDescent="0.35">
      <c r="A1211" s="3">
        <v>46221</v>
      </c>
      <c r="B1211" t="s">
        <v>1632</v>
      </c>
      <c r="C1211" t="s">
        <v>1723</v>
      </c>
      <c r="D1211" t="s">
        <v>40</v>
      </c>
      <c r="E1211" t="s">
        <v>56</v>
      </c>
      <c r="F1211" t="s">
        <v>26</v>
      </c>
      <c r="G1211" t="s">
        <v>41</v>
      </c>
      <c r="H1211" t="s">
        <v>51</v>
      </c>
      <c r="I1211">
        <v>3044</v>
      </c>
      <c r="J1211">
        <v>2726</v>
      </c>
      <c r="K1211">
        <v>2551</v>
      </c>
      <c r="L1211">
        <v>195</v>
      </c>
      <c r="M1211">
        <v>119</v>
      </c>
      <c r="N1211">
        <v>10</v>
      </c>
      <c r="O1211">
        <v>386.61</v>
      </c>
      <c r="P1211">
        <v>14402.82</v>
      </c>
      <c r="Q1211" s="5">
        <f t="shared" si="144"/>
        <v>0.93580337490829058</v>
      </c>
      <c r="R1211" s="5">
        <f t="shared" si="145"/>
        <v>7.6440611524892205E-2</v>
      </c>
      <c r="S1211" s="5">
        <f t="shared" si="146"/>
        <v>0.61025641025641031</v>
      </c>
      <c r="T1211" s="5">
        <f t="shared" si="147"/>
        <v>8.4033613445378158E-2</v>
      </c>
      <c r="U1211" s="5">
        <f t="shared" si="148"/>
        <v>3.9200313602508821E-3</v>
      </c>
      <c r="V1211" s="6">
        <f t="shared" si="149"/>
        <v>3.2488235294117649</v>
      </c>
      <c r="W1211" s="7">
        <f t="shared" si="150"/>
        <v>1.9826153846153847</v>
      </c>
      <c r="X1211" s="5">
        <f t="shared" si="151"/>
        <v>36.254132071079376</v>
      </c>
    </row>
    <row r="1212" spans="1:24" x14ac:dyDescent="0.35">
      <c r="A1212" s="3">
        <v>46222</v>
      </c>
      <c r="B1212" t="s">
        <v>1614</v>
      </c>
      <c r="C1212" t="s">
        <v>1724</v>
      </c>
      <c r="D1212" t="s">
        <v>34</v>
      </c>
      <c r="E1212" t="s">
        <v>56</v>
      </c>
      <c r="F1212" t="s">
        <v>20</v>
      </c>
      <c r="G1212" t="s">
        <v>36</v>
      </c>
      <c r="H1212" t="s">
        <v>48</v>
      </c>
      <c r="I1212">
        <v>876</v>
      </c>
      <c r="J1212">
        <v>813</v>
      </c>
      <c r="K1212">
        <v>759</v>
      </c>
      <c r="L1212">
        <v>43</v>
      </c>
      <c r="M1212">
        <v>16</v>
      </c>
      <c r="N1212">
        <v>1</v>
      </c>
      <c r="O1212">
        <v>74.239999999999995</v>
      </c>
      <c r="P1212">
        <v>685.48</v>
      </c>
      <c r="Q1212" s="5">
        <f t="shared" si="144"/>
        <v>0.93357933579335795</v>
      </c>
      <c r="R1212" s="5">
        <f t="shared" si="145"/>
        <v>5.6653491436100128E-2</v>
      </c>
      <c r="S1212" s="5">
        <f t="shared" si="146"/>
        <v>0.37209302325581395</v>
      </c>
      <c r="T1212" s="5">
        <f t="shared" si="147"/>
        <v>6.25E-2</v>
      </c>
      <c r="U1212" s="5">
        <f t="shared" si="148"/>
        <v>1.3175230566534915E-3</v>
      </c>
      <c r="V1212" s="6">
        <f t="shared" si="149"/>
        <v>4.6399999999999997</v>
      </c>
      <c r="W1212" s="7">
        <f t="shared" si="150"/>
        <v>1.7265116279069765</v>
      </c>
      <c r="X1212" s="5">
        <f t="shared" si="151"/>
        <v>8.233297413793105</v>
      </c>
    </row>
    <row r="1213" spans="1:24" x14ac:dyDescent="0.35">
      <c r="A1213" s="3">
        <v>46222</v>
      </c>
      <c r="B1213" t="s">
        <v>1664</v>
      </c>
      <c r="C1213" t="s">
        <v>1725</v>
      </c>
      <c r="D1213" t="s">
        <v>18</v>
      </c>
      <c r="E1213" t="s">
        <v>35</v>
      </c>
      <c r="F1213" t="s">
        <v>26</v>
      </c>
      <c r="G1213" t="s">
        <v>41</v>
      </c>
      <c r="H1213" t="s">
        <v>51</v>
      </c>
      <c r="I1213">
        <v>2518</v>
      </c>
      <c r="J1213">
        <v>2237</v>
      </c>
      <c r="K1213">
        <v>2001</v>
      </c>
      <c r="L1213">
        <v>241</v>
      </c>
      <c r="M1213">
        <v>159</v>
      </c>
      <c r="N1213">
        <v>14</v>
      </c>
      <c r="O1213">
        <v>248.27</v>
      </c>
      <c r="P1213">
        <v>16668.28</v>
      </c>
      <c r="Q1213" s="5">
        <f t="shared" si="144"/>
        <v>0.89450156459544028</v>
      </c>
      <c r="R1213" s="5">
        <f t="shared" si="145"/>
        <v>0.12043978010994502</v>
      </c>
      <c r="S1213" s="5">
        <f t="shared" si="146"/>
        <v>0.65975103734439833</v>
      </c>
      <c r="T1213" s="5">
        <f t="shared" si="147"/>
        <v>8.8050314465408799E-2</v>
      </c>
      <c r="U1213" s="5">
        <f t="shared" si="148"/>
        <v>6.9965017491254375E-3</v>
      </c>
      <c r="V1213" s="6">
        <f t="shared" si="149"/>
        <v>1.5614465408805032</v>
      </c>
      <c r="W1213" s="7">
        <f t="shared" si="150"/>
        <v>1.0301659751037344</v>
      </c>
      <c r="X1213" s="5">
        <f t="shared" si="151"/>
        <v>66.137712973778534</v>
      </c>
    </row>
    <row r="1214" spans="1:24" x14ac:dyDescent="0.35">
      <c r="A1214" s="3">
        <v>46222</v>
      </c>
      <c r="B1214" t="s">
        <v>1574</v>
      </c>
      <c r="C1214" t="s">
        <v>1726</v>
      </c>
      <c r="D1214" t="s">
        <v>18</v>
      </c>
      <c r="E1214" t="s">
        <v>19</v>
      </c>
      <c r="F1214" t="s">
        <v>20</v>
      </c>
      <c r="G1214" t="s">
        <v>36</v>
      </c>
      <c r="H1214" t="s">
        <v>37</v>
      </c>
      <c r="I1214">
        <v>4974</v>
      </c>
      <c r="J1214">
        <v>3878</v>
      </c>
      <c r="K1214">
        <v>3437</v>
      </c>
      <c r="L1214">
        <v>38</v>
      </c>
      <c r="M1214">
        <v>18</v>
      </c>
      <c r="N1214">
        <v>0</v>
      </c>
      <c r="O1214">
        <v>433.47</v>
      </c>
      <c r="P1214">
        <v>0</v>
      </c>
      <c r="Q1214" s="5">
        <f t="shared" si="144"/>
        <v>0.88628158844765348</v>
      </c>
      <c r="R1214" s="5">
        <f t="shared" si="145"/>
        <v>1.1056153622345069E-2</v>
      </c>
      <c r="S1214" s="5">
        <f t="shared" si="146"/>
        <v>0.47368421052631576</v>
      </c>
      <c r="T1214" s="5">
        <f t="shared" si="147"/>
        <v>0</v>
      </c>
      <c r="U1214" s="5">
        <f t="shared" si="148"/>
        <v>0</v>
      </c>
      <c r="V1214" s="6">
        <f t="shared" si="149"/>
        <v>24.081666666666667</v>
      </c>
      <c r="W1214" s="7">
        <f t="shared" si="150"/>
        <v>11.407105263157895</v>
      </c>
      <c r="X1214" s="5">
        <f t="shared" si="151"/>
        <v>-1</v>
      </c>
    </row>
    <row r="1215" spans="1:24" x14ac:dyDescent="0.35">
      <c r="A1215" s="3">
        <v>46223</v>
      </c>
      <c r="B1215" t="s">
        <v>1560</v>
      </c>
      <c r="C1215" t="s">
        <v>1727</v>
      </c>
      <c r="D1215" t="s">
        <v>34</v>
      </c>
      <c r="E1215" t="s">
        <v>25</v>
      </c>
      <c r="F1215" t="s">
        <v>26</v>
      </c>
      <c r="G1215" t="s">
        <v>21</v>
      </c>
      <c r="H1215" t="s">
        <v>28</v>
      </c>
      <c r="I1215">
        <v>3563</v>
      </c>
      <c r="J1215">
        <v>3344</v>
      </c>
      <c r="K1215">
        <v>3175</v>
      </c>
      <c r="L1215">
        <v>151</v>
      </c>
      <c r="M1215">
        <v>83</v>
      </c>
      <c r="N1215">
        <v>4</v>
      </c>
      <c r="O1215">
        <v>268.51</v>
      </c>
      <c r="P1215">
        <v>4933.1499999999996</v>
      </c>
      <c r="Q1215" s="5">
        <f t="shared" si="144"/>
        <v>0.94946172248803828</v>
      </c>
      <c r="R1215" s="5">
        <f t="shared" si="145"/>
        <v>4.7559055118110233E-2</v>
      </c>
      <c r="S1215" s="5">
        <f t="shared" si="146"/>
        <v>0.54966887417218546</v>
      </c>
      <c r="T1215" s="5">
        <f t="shared" si="147"/>
        <v>4.8192771084337352E-2</v>
      </c>
      <c r="U1215" s="5">
        <f t="shared" si="148"/>
        <v>1.2598425196850393E-3</v>
      </c>
      <c r="V1215" s="6">
        <f t="shared" si="149"/>
        <v>3.2350602409638554</v>
      </c>
      <c r="W1215" s="7">
        <f t="shared" si="150"/>
        <v>1.7782119205298013</v>
      </c>
      <c r="X1215" s="5">
        <f t="shared" si="151"/>
        <v>17.372313880302407</v>
      </c>
    </row>
    <row r="1216" spans="1:24" x14ac:dyDescent="0.35">
      <c r="A1216" s="3">
        <v>46223</v>
      </c>
      <c r="B1216" t="s">
        <v>1704</v>
      </c>
      <c r="C1216" t="s">
        <v>1728</v>
      </c>
      <c r="D1216" t="s">
        <v>34</v>
      </c>
      <c r="E1216" t="s">
        <v>25</v>
      </c>
      <c r="F1216" t="s">
        <v>20</v>
      </c>
      <c r="G1216" t="s">
        <v>36</v>
      </c>
      <c r="H1216" t="s">
        <v>22</v>
      </c>
      <c r="I1216">
        <v>2454</v>
      </c>
      <c r="J1216">
        <v>2339</v>
      </c>
      <c r="K1216">
        <v>2212</v>
      </c>
      <c r="L1216">
        <v>58</v>
      </c>
      <c r="M1216">
        <v>27</v>
      </c>
      <c r="N1216">
        <v>2</v>
      </c>
      <c r="O1216">
        <v>206.9</v>
      </c>
      <c r="P1216">
        <v>1450.92</v>
      </c>
      <c r="Q1216" s="5">
        <f t="shared" si="144"/>
        <v>0.94570329200513037</v>
      </c>
      <c r="R1216" s="5">
        <f t="shared" si="145"/>
        <v>2.6220614828209764E-2</v>
      </c>
      <c r="S1216" s="5">
        <f t="shared" si="146"/>
        <v>0.46551724137931033</v>
      </c>
      <c r="T1216" s="5">
        <f t="shared" si="147"/>
        <v>7.407407407407407E-2</v>
      </c>
      <c r="U1216" s="5">
        <f t="shared" si="148"/>
        <v>9.0415913200723324E-4</v>
      </c>
      <c r="V1216" s="6">
        <f t="shared" si="149"/>
        <v>7.662962962962963</v>
      </c>
      <c r="W1216" s="7">
        <f t="shared" si="150"/>
        <v>3.567241379310345</v>
      </c>
      <c r="X1216" s="5">
        <f t="shared" si="151"/>
        <v>6.0126631222812952</v>
      </c>
    </row>
    <row r="1217" spans="1:24" x14ac:dyDescent="0.35">
      <c r="A1217" s="3">
        <v>46223</v>
      </c>
      <c r="B1217" t="s">
        <v>1616</v>
      </c>
      <c r="C1217" t="s">
        <v>1729</v>
      </c>
      <c r="D1217" t="s">
        <v>34</v>
      </c>
      <c r="E1217" t="s">
        <v>35</v>
      </c>
      <c r="F1217" t="s">
        <v>20</v>
      </c>
      <c r="G1217" t="s">
        <v>27</v>
      </c>
      <c r="H1217" t="s">
        <v>22</v>
      </c>
      <c r="I1217">
        <v>2016</v>
      </c>
      <c r="J1217">
        <v>1824</v>
      </c>
      <c r="K1217">
        <v>1680</v>
      </c>
      <c r="L1217">
        <v>114</v>
      </c>
      <c r="M1217">
        <v>51</v>
      </c>
      <c r="N1217">
        <v>4</v>
      </c>
      <c r="O1217">
        <v>129.49</v>
      </c>
      <c r="P1217">
        <v>4681.78</v>
      </c>
      <c r="Q1217" s="5">
        <f t="shared" si="144"/>
        <v>0.92105263157894735</v>
      </c>
      <c r="R1217" s="5">
        <f t="shared" si="145"/>
        <v>6.7857142857142852E-2</v>
      </c>
      <c r="S1217" s="5">
        <f t="shared" si="146"/>
        <v>0.44736842105263158</v>
      </c>
      <c r="T1217" s="5">
        <f t="shared" si="147"/>
        <v>7.8431372549019607E-2</v>
      </c>
      <c r="U1217" s="5">
        <f t="shared" si="148"/>
        <v>2.3809523809523812E-3</v>
      </c>
      <c r="V1217" s="6">
        <f t="shared" si="149"/>
        <v>2.5390196078431373</v>
      </c>
      <c r="W1217" s="7">
        <f t="shared" si="150"/>
        <v>1.1358771929824563</v>
      </c>
      <c r="X1217" s="5">
        <f t="shared" si="151"/>
        <v>35.155533245810481</v>
      </c>
    </row>
    <row r="1218" spans="1:24" x14ac:dyDescent="0.35">
      <c r="A1218" s="3">
        <v>46223</v>
      </c>
      <c r="B1218" t="s">
        <v>1730</v>
      </c>
      <c r="C1218" t="s">
        <v>1731</v>
      </c>
      <c r="D1218" t="s">
        <v>34</v>
      </c>
      <c r="E1218" t="s">
        <v>25</v>
      </c>
      <c r="F1218" t="s">
        <v>26</v>
      </c>
      <c r="G1218" t="s">
        <v>27</v>
      </c>
      <c r="H1218" t="s">
        <v>22</v>
      </c>
      <c r="I1218">
        <v>766</v>
      </c>
      <c r="J1218">
        <v>666</v>
      </c>
      <c r="K1218">
        <v>628</v>
      </c>
      <c r="L1218">
        <v>33</v>
      </c>
      <c r="M1218">
        <v>20</v>
      </c>
      <c r="N1218">
        <v>1</v>
      </c>
      <c r="O1218">
        <v>51.85</v>
      </c>
      <c r="P1218">
        <v>756.32</v>
      </c>
      <c r="Q1218" s="5">
        <f t="shared" si="144"/>
        <v>0.9429429429429429</v>
      </c>
      <c r="R1218" s="5">
        <f t="shared" si="145"/>
        <v>5.2547770700636945E-2</v>
      </c>
      <c r="S1218" s="5">
        <f t="shared" si="146"/>
        <v>0.60606060606060608</v>
      </c>
      <c r="T1218" s="5">
        <f t="shared" si="147"/>
        <v>0.05</v>
      </c>
      <c r="U1218" s="5">
        <f t="shared" si="148"/>
        <v>1.5923566878980893E-3</v>
      </c>
      <c r="V1218" s="6">
        <f t="shared" si="149"/>
        <v>2.5925000000000002</v>
      </c>
      <c r="W1218" s="7">
        <f t="shared" si="150"/>
        <v>1.5712121212121213</v>
      </c>
      <c r="X1218" s="5">
        <f t="shared" si="151"/>
        <v>13.586692381870781</v>
      </c>
    </row>
    <row r="1219" spans="1:24" x14ac:dyDescent="0.35">
      <c r="A1219" s="3">
        <v>46223</v>
      </c>
      <c r="B1219" t="s">
        <v>1732</v>
      </c>
      <c r="C1219" t="s">
        <v>1733</v>
      </c>
      <c r="D1219" t="s">
        <v>31</v>
      </c>
      <c r="E1219" t="s">
        <v>25</v>
      </c>
      <c r="F1219" t="s">
        <v>26</v>
      </c>
      <c r="G1219" t="s">
        <v>27</v>
      </c>
      <c r="H1219" t="s">
        <v>37</v>
      </c>
      <c r="I1219">
        <v>2341</v>
      </c>
      <c r="J1219">
        <v>1930</v>
      </c>
      <c r="K1219">
        <v>1863</v>
      </c>
      <c r="L1219">
        <v>41</v>
      </c>
      <c r="M1219">
        <v>19</v>
      </c>
      <c r="N1219">
        <v>1</v>
      </c>
      <c r="O1219">
        <v>406.36</v>
      </c>
      <c r="P1219">
        <v>1055.57</v>
      </c>
      <c r="Q1219" s="5">
        <f t="shared" ref="Q1219:Q1282" si="152">K1219/J1219</f>
        <v>0.9652849740932643</v>
      </c>
      <c r="R1219" s="5">
        <f t="shared" ref="R1219:R1282" si="153">L1219/K1219</f>
        <v>2.200751476113795E-2</v>
      </c>
      <c r="S1219" s="5">
        <f t="shared" ref="S1219:S1282" si="154">M1219/L1219</f>
        <v>0.46341463414634149</v>
      </c>
      <c r="T1219" s="5">
        <f t="shared" ref="T1219:T1282" si="155">N1219/M1219</f>
        <v>5.2631578947368418E-2</v>
      </c>
      <c r="U1219" s="5">
        <f t="shared" ref="U1219:U1282" si="156">N1219/K1219</f>
        <v>5.3676865271068169E-4</v>
      </c>
      <c r="V1219" s="6">
        <f t="shared" ref="V1219:V1282" si="157">O1219/M1219</f>
        <v>21.387368421052631</v>
      </c>
      <c r="W1219" s="7">
        <f t="shared" ref="W1219:W1282" si="158">O1219/L1219</f>
        <v>9.9112195121951228</v>
      </c>
      <c r="X1219" s="5">
        <f t="shared" ref="X1219:X1282" si="159">(P1219-O1219)/O1219</f>
        <v>1.5976227975194406</v>
      </c>
    </row>
    <row r="1220" spans="1:24" x14ac:dyDescent="0.35">
      <c r="A1220" s="3">
        <v>46224</v>
      </c>
      <c r="B1220" t="s">
        <v>1616</v>
      </c>
      <c r="C1220" t="s">
        <v>1734</v>
      </c>
      <c r="D1220" t="s">
        <v>34</v>
      </c>
      <c r="E1220" t="s">
        <v>35</v>
      </c>
      <c r="F1220" t="s">
        <v>26</v>
      </c>
      <c r="G1220" t="s">
        <v>27</v>
      </c>
      <c r="H1220" t="s">
        <v>28</v>
      </c>
      <c r="I1220">
        <v>3705</v>
      </c>
      <c r="J1220">
        <v>3576</v>
      </c>
      <c r="K1220">
        <v>3371</v>
      </c>
      <c r="L1220">
        <v>309</v>
      </c>
      <c r="M1220">
        <v>186</v>
      </c>
      <c r="N1220">
        <v>15</v>
      </c>
      <c r="O1220">
        <v>283.73</v>
      </c>
      <c r="P1220">
        <v>24458.41</v>
      </c>
      <c r="Q1220" s="5">
        <f t="shared" si="152"/>
        <v>0.94267337807606266</v>
      </c>
      <c r="R1220" s="5">
        <f t="shared" si="153"/>
        <v>9.1664194601008608E-2</v>
      </c>
      <c r="S1220" s="5">
        <f t="shared" si="154"/>
        <v>0.60194174757281549</v>
      </c>
      <c r="T1220" s="5">
        <f t="shared" si="155"/>
        <v>8.0645161290322578E-2</v>
      </c>
      <c r="U1220" s="5">
        <f t="shared" si="156"/>
        <v>4.4497181845149806E-3</v>
      </c>
      <c r="V1220" s="6">
        <f t="shared" si="157"/>
        <v>1.5254301075268819</v>
      </c>
      <c r="W1220" s="7">
        <f t="shared" si="158"/>
        <v>0.91822006472491913</v>
      </c>
      <c r="X1220" s="5">
        <f t="shared" si="159"/>
        <v>85.203115638106652</v>
      </c>
    </row>
    <row r="1221" spans="1:24" x14ac:dyDescent="0.35">
      <c r="A1221" s="3">
        <v>46224</v>
      </c>
      <c r="B1221" t="s">
        <v>1568</v>
      </c>
      <c r="C1221" t="s">
        <v>1735</v>
      </c>
      <c r="D1221" t="s">
        <v>34</v>
      </c>
      <c r="E1221" t="s">
        <v>56</v>
      </c>
      <c r="F1221" t="s">
        <v>26</v>
      </c>
      <c r="G1221" t="s">
        <v>59</v>
      </c>
      <c r="H1221" t="s">
        <v>37</v>
      </c>
      <c r="I1221">
        <v>4355</v>
      </c>
      <c r="J1221">
        <v>3336</v>
      </c>
      <c r="K1221">
        <v>3164</v>
      </c>
      <c r="L1221">
        <v>233</v>
      </c>
      <c r="M1221">
        <v>131</v>
      </c>
      <c r="N1221">
        <v>7</v>
      </c>
      <c r="O1221">
        <v>242.74</v>
      </c>
      <c r="P1221">
        <v>6454.55</v>
      </c>
      <c r="Q1221" s="5">
        <f t="shared" si="152"/>
        <v>0.94844124700239807</v>
      </c>
      <c r="R1221" s="5">
        <f t="shared" si="153"/>
        <v>7.3640960809102401E-2</v>
      </c>
      <c r="S1221" s="5">
        <f t="shared" si="154"/>
        <v>0.5622317596566524</v>
      </c>
      <c r="T1221" s="5">
        <f t="shared" si="155"/>
        <v>5.3435114503816793E-2</v>
      </c>
      <c r="U1221" s="5">
        <f t="shared" si="156"/>
        <v>2.2123893805309734E-3</v>
      </c>
      <c r="V1221" s="6">
        <f t="shared" si="157"/>
        <v>1.8529770992366412</v>
      </c>
      <c r="W1221" s="7">
        <f t="shared" si="158"/>
        <v>1.0418025751072961</v>
      </c>
      <c r="X1221" s="5">
        <f t="shared" si="159"/>
        <v>25.590384773832085</v>
      </c>
    </row>
    <row r="1222" spans="1:24" x14ac:dyDescent="0.35">
      <c r="A1222" s="3">
        <v>46225</v>
      </c>
      <c r="B1222" t="s">
        <v>1736</v>
      </c>
      <c r="C1222" t="s">
        <v>1737</v>
      </c>
      <c r="D1222" t="s">
        <v>40</v>
      </c>
      <c r="E1222" t="s">
        <v>25</v>
      </c>
      <c r="F1222" t="s">
        <v>20</v>
      </c>
      <c r="G1222" t="s">
        <v>27</v>
      </c>
      <c r="H1222" t="s">
        <v>37</v>
      </c>
      <c r="I1222">
        <v>4911</v>
      </c>
      <c r="J1222">
        <v>3946</v>
      </c>
      <c r="K1222">
        <v>3608</v>
      </c>
      <c r="L1222">
        <v>144</v>
      </c>
      <c r="M1222">
        <v>58</v>
      </c>
      <c r="N1222">
        <v>2</v>
      </c>
      <c r="O1222">
        <v>647.26</v>
      </c>
      <c r="P1222">
        <v>2810.73</v>
      </c>
      <c r="Q1222" s="5">
        <f t="shared" si="152"/>
        <v>0.91434363912823113</v>
      </c>
      <c r="R1222" s="5">
        <f t="shared" si="153"/>
        <v>3.9911308203991129E-2</v>
      </c>
      <c r="S1222" s="5">
        <f t="shared" si="154"/>
        <v>0.40277777777777779</v>
      </c>
      <c r="T1222" s="5">
        <f t="shared" si="155"/>
        <v>3.4482758620689655E-2</v>
      </c>
      <c r="U1222" s="5">
        <f t="shared" si="156"/>
        <v>5.5432372505543237E-4</v>
      </c>
      <c r="V1222" s="6">
        <f t="shared" si="157"/>
        <v>11.159655172413792</v>
      </c>
      <c r="W1222" s="7">
        <f t="shared" si="158"/>
        <v>4.4948611111111108</v>
      </c>
      <c r="X1222" s="5">
        <f t="shared" si="159"/>
        <v>3.3425053301609866</v>
      </c>
    </row>
    <row r="1223" spans="1:24" x14ac:dyDescent="0.35">
      <c r="A1223" s="3">
        <v>46226</v>
      </c>
      <c r="B1223" t="s">
        <v>1636</v>
      </c>
      <c r="C1223" t="s">
        <v>1738</v>
      </c>
      <c r="D1223" t="s">
        <v>31</v>
      </c>
      <c r="E1223" t="s">
        <v>19</v>
      </c>
      <c r="F1223" t="s">
        <v>26</v>
      </c>
      <c r="G1223" t="s">
        <v>27</v>
      </c>
      <c r="H1223" t="s">
        <v>28</v>
      </c>
      <c r="I1223">
        <v>975</v>
      </c>
      <c r="J1223">
        <v>797</v>
      </c>
      <c r="K1223">
        <v>767</v>
      </c>
      <c r="L1223">
        <v>14</v>
      </c>
      <c r="M1223">
        <v>6</v>
      </c>
      <c r="N1223">
        <v>0</v>
      </c>
      <c r="O1223">
        <v>139.44999999999999</v>
      </c>
      <c r="P1223">
        <v>0</v>
      </c>
      <c r="Q1223" s="5">
        <f t="shared" si="152"/>
        <v>0.96235884567126728</v>
      </c>
      <c r="R1223" s="5">
        <f t="shared" si="153"/>
        <v>1.8252933507170794E-2</v>
      </c>
      <c r="S1223" s="5">
        <f t="shared" si="154"/>
        <v>0.42857142857142855</v>
      </c>
      <c r="T1223" s="5">
        <f t="shared" si="155"/>
        <v>0</v>
      </c>
      <c r="U1223" s="5">
        <f t="shared" si="156"/>
        <v>0</v>
      </c>
      <c r="V1223" s="6">
        <f t="shared" si="157"/>
        <v>23.241666666666664</v>
      </c>
      <c r="W1223" s="7">
        <f t="shared" si="158"/>
        <v>9.9607142857142854</v>
      </c>
      <c r="X1223" s="5">
        <f t="shared" si="159"/>
        <v>-1</v>
      </c>
    </row>
    <row r="1224" spans="1:24" x14ac:dyDescent="0.35">
      <c r="A1224" s="3">
        <v>46226</v>
      </c>
      <c r="B1224" t="s">
        <v>1553</v>
      </c>
      <c r="C1224" t="s">
        <v>1739</v>
      </c>
      <c r="D1224" t="s">
        <v>18</v>
      </c>
      <c r="E1224" t="s">
        <v>35</v>
      </c>
      <c r="F1224" t="s">
        <v>26</v>
      </c>
      <c r="G1224" t="s">
        <v>27</v>
      </c>
      <c r="H1224" t="s">
        <v>28</v>
      </c>
      <c r="I1224">
        <v>1529</v>
      </c>
      <c r="J1224">
        <v>1160</v>
      </c>
      <c r="K1224">
        <v>1082</v>
      </c>
      <c r="L1224">
        <v>98</v>
      </c>
      <c r="M1224">
        <v>56</v>
      </c>
      <c r="N1224">
        <v>5</v>
      </c>
      <c r="O1224">
        <v>137.81</v>
      </c>
      <c r="P1224">
        <v>7697.12</v>
      </c>
      <c r="Q1224" s="5">
        <f t="shared" si="152"/>
        <v>0.9327586206896552</v>
      </c>
      <c r="R1224" s="5">
        <f t="shared" si="153"/>
        <v>9.0573012939001843E-2</v>
      </c>
      <c r="S1224" s="5">
        <f t="shared" si="154"/>
        <v>0.5714285714285714</v>
      </c>
      <c r="T1224" s="5">
        <f t="shared" si="155"/>
        <v>8.9285714285714288E-2</v>
      </c>
      <c r="U1224" s="5">
        <f t="shared" si="156"/>
        <v>4.6210720887245845E-3</v>
      </c>
      <c r="V1224" s="6">
        <f t="shared" si="157"/>
        <v>2.460892857142857</v>
      </c>
      <c r="W1224" s="7">
        <f t="shared" si="158"/>
        <v>1.4062244897959184</v>
      </c>
      <c r="X1224" s="5">
        <f t="shared" si="159"/>
        <v>54.853131122560043</v>
      </c>
    </row>
    <row r="1225" spans="1:24" x14ac:dyDescent="0.35">
      <c r="A1225" s="3">
        <v>46226</v>
      </c>
      <c r="B1225" t="s">
        <v>1740</v>
      </c>
      <c r="C1225" t="s">
        <v>1741</v>
      </c>
      <c r="D1225" t="s">
        <v>40</v>
      </c>
      <c r="E1225" t="s">
        <v>35</v>
      </c>
      <c r="F1225" t="s">
        <v>20</v>
      </c>
      <c r="G1225" t="s">
        <v>41</v>
      </c>
      <c r="H1225" t="s">
        <v>51</v>
      </c>
      <c r="I1225">
        <v>4169</v>
      </c>
      <c r="J1225">
        <v>3635</v>
      </c>
      <c r="K1225">
        <v>3418</v>
      </c>
      <c r="L1225">
        <v>205</v>
      </c>
      <c r="M1225">
        <v>91</v>
      </c>
      <c r="N1225">
        <v>7</v>
      </c>
      <c r="O1225">
        <v>487.71</v>
      </c>
      <c r="P1225">
        <v>8371.51</v>
      </c>
      <c r="Q1225" s="5">
        <f t="shared" si="152"/>
        <v>0.94030261348005506</v>
      </c>
      <c r="R1225" s="5">
        <f t="shared" si="153"/>
        <v>5.9976594499707429E-2</v>
      </c>
      <c r="S1225" s="5">
        <f t="shared" si="154"/>
        <v>0.44390243902439025</v>
      </c>
      <c r="T1225" s="5">
        <f t="shared" si="155"/>
        <v>7.6923076923076927E-2</v>
      </c>
      <c r="U1225" s="5">
        <f t="shared" si="156"/>
        <v>2.047981275599766E-3</v>
      </c>
      <c r="V1225" s="6">
        <f t="shared" si="157"/>
        <v>5.3594505494505489</v>
      </c>
      <c r="W1225" s="7">
        <f t="shared" si="158"/>
        <v>2.3790731707317074</v>
      </c>
      <c r="X1225" s="5">
        <f t="shared" si="159"/>
        <v>16.164934079678499</v>
      </c>
    </row>
    <row r="1226" spans="1:24" x14ac:dyDescent="0.35">
      <c r="A1226" s="3">
        <v>46226</v>
      </c>
      <c r="B1226" t="s">
        <v>1618</v>
      </c>
      <c r="C1226" t="s">
        <v>1742</v>
      </c>
      <c r="D1226" t="s">
        <v>40</v>
      </c>
      <c r="E1226" t="s">
        <v>35</v>
      </c>
      <c r="F1226" t="s">
        <v>20</v>
      </c>
      <c r="G1226" t="s">
        <v>27</v>
      </c>
      <c r="H1226" t="s">
        <v>37</v>
      </c>
      <c r="I1226">
        <v>892</v>
      </c>
      <c r="J1226">
        <v>699</v>
      </c>
      <c r="K1226">
        <v>667</v>
      </c>
      <c r="L1226">
        <v>54</v>
      </c>
      <c r="M1226">
        <v>23</v>
      </c>
      <c r="N1226">
        <v>2</v>
      </c>
      <c r="O1226">
        <v>91.66</v>
      </c>
      <c r="P1226">
        <v>1833.01</v>
      </c>
      <c r="Q1226" s="5">
        <f t="shared" si="152"/>
        <v>0.95422031473533619</v>
      </c>
      <c r="R1226" s="5">
        <f t="shared" si="153"/>
        <v>8.0959520239880053E-2</v>
      </c>
      <c r="S1226" s="5">
        <f t="shared" si="154"/>
        <v>0.42592592592592593</v>
      </c>
      <c r="T1226" s="5">
        <f t="shared" si="155"/>
        <v>8.6956521739130432E-2</v>
      </c>
      <c r="U1226" s="5">
        <f t="shared" si="156"/>
        <v>2.9985007496251873E-3</v>
      </c>
      <c r="V1226" s="6">
        <f t="shared" si="157"/>
        <v>3.9852173913043476</v>
      </c>
      <c r="W1226" s="7">
        <f t="shared" si="158"/>
        <v>1.6974074074074073</v>
      </c>
      <c r="X1226" s="5">
        <f t="shared" si="159"/>
        <v>18.997927121972506</v>
      </c>
    </row>
    <row r="1227" spans="1:24" x14ac:dyDescent="0.35">
      <c r="A1227" s="3">
        <v>46226</v>
      </c>
      <c r="B1227" t="s">
        <v>1736</v>
      </c>
      <c r="C1227" t="s">
        <v>1743</v>
      </c>
      <c r="D1227" t="s">
        <v>18</v>
      </c>
      <c r="E1227" t="s">
        <v>35</v>
      </c>
      <c r="F1227" t="s">
        <v>20</v>
      </c>
      <c r="G1227" t="s">
        <v>59</v>
      </c>
      <c r="H1227" t="s">
        <v>22</v>
      </c>
      <c r="I1227">
        <v>4050</v>
      </c>
      <c r="J1227">
        <v>4009</v>
      </c>
      <c r="K1227">
        <v>3622</v>
      </c>
      <c r="L1227">
        <v>278</v>
      </c>
      <c r="M1227">
        <v>139</v>
      </c>
      <c r="N1227">
        <v>9</v>
      </c>
      <c r="O1227">
        <v>435.86</v>
      </c>
      <c r="P1227">
        <v>6740.31</v>
      </c>
      <c r="Q1227" s="5">
        <f t="shared" si="152"/>
        <v>0.90346719880269399</v>
      </c>
      <c r="R1227" s="5">
        <f t="shared" si="153"/>
        <v>7.6753175041413588E-2</v>
      </c>
      <c r="S1227" s="5">
        <f t="shared" si="154"/>
        <v>0.5</v>
      </c>
      <c r="T1227" s="5">
        <f t="shared" si="155"/>
        <v>6.4748201438848921E-2</v>
      </c>
      <c r="U1227" s="5">
        <f t="shared" si="156"/>
        <v>2.4848150193263392E-3</v>
      </c>
      <c r="V1227" s="6">
        <f t="shared" si="157"/>
        <v>3.13568345323741</v>
      </c>
      <c r="W1227" s="7">
        <f t="shared" si="158"/>
        <v>1.567841726618705</v>
      </c>
      <c r="X1227" s="5">
        <f t="shared" si="159"/>
        <v>14.464392236039096</v>
      </c>
    </row>
    <row r="1228" spans="1:24" x14ac:dyDescent="0.35">
      <c r="A1228" s="3">
        <v>46226</v>
      </c>
      <c r="B1228" t="s">
        <v>1634</v>
      </c>
      <c r="C1228" t="s">
        <v>1744</v>
      </c>
      <c r="D1228" t="s">
        <v>34</v>
      </c>
      <c r="E1228" t="s">
        <v>35</v>
      </c>
      <c r="F1228" t="s">
        <v>20</v>
      </c>
      <c r="G1228" t="s">
        <v>21</v>
      </c>
      <c r="H1228" t="s">
        <v>37</v>
      </c>
      <c r="I1228">
        <v>4693</v>
      </c>
      <c r="J1228">
        <v>3508</v>
      </c>
      <c r="K1228">
        <v>3367</v>
      </c>
      <c r="L1228">
        <v>232</v>
      </c>
      <c r="M1228">
        <v>113</v>
      </c>
      <c r="N1228">
        <v>7</v>
      </c>
      <c r="O1228">
        <v>324.85000000000002</v>
      </c>
      <c r="P1228">
        <v>9251.1200000000008</v>
      </c>
      <c r="Q1228" s="5">
        <f t="shared" si="152"/>
        <v>0.95980615735461805</v>
      </c>
      <c r="R1228" s="5">
        <f t="shared" si="153"/>
        <v>6.8904068904068902E-2</v>
      </c>
      <c r="S1228" s="5">
        <f t="shared" si="154"/>
        <v>0.48706896551724138</v>
      </c>
      <c r="T1228" s="5">
        <f t="shared" si="155"/>
        <v>6.1946902654867256E-2</v>
      </c>
      <c r="U1228" s="5">
        <f t="shared" si="156"/>
        <v>2.0790020790020791E-3</v>
      </c>
      <c r="V1228" s="6">
        <f t="shared" si="157"/>
        <v>2.8747787610619473</v>
      </c>
      <c r="W1228" s="7">
        <f t="shared" si="158"/>
        <v>1.4002155172413795</v>
      </c>
      <c r="X1228" s="5">
        <f t="shared" si="159"/>
        <v>27.478128366938588</v>
      </c>
    </row>
    <row r="1229" spans="1:24" x14ac:dyDescent="0.35">
      <c r="A1229" s="3">
        <v>46226</v>
      </c>
      <c r="B1229" t="s">
        <v>1646</v>
      </c>
      <c r="C1229" t="s">
        <v>1745</v>
      </c>
      <c r="D1229" t="s">
        <v>34</v>
      </c>
      <c r="E1229" t="s">
        <v>56</v>
      </c>
      <c r="F1229" t="s">
        <v>20</v>
      </c>
      <c r="G1229" t="s">
        <v>36</v>
      </c>
      <c r="H1229" t="s">
        <v>22</v>
      </c>
      <c r="I1229">
        <v>1732</v>
      </c>
      <c r="J1229">
        <v>1345</v>
      </c>
      <c r="K1229">
        <v>1259</v>
      </c>
      <c r="L1229">
        <v>67</v>
      </c>
      <c r="M1229">
        <v>28</v>
      </c>
      <c r="N1229">
        <v>1</v>
      </c>
      <c r="O1229">
        <v>96.71</v>
      </c>
      <c r="P1229">
        <v>1055.82</v>
      </c>
      <c r="Q1229" s="5">
        <f t="shared" si="152"/>
        <v>0.93605947955390334</v>
      </c>
      <c r="R1229" s="5">
        <f t="shared" si="153"/>
        <v>5.3216838760921363E-2</v>
      </c>
      <c r="S1229" s="5">
        <f t="shared" si="154"/>
        <v>0.41791044776119401</v>
      </c>
      <c r="T1229" s="5">
        <f t="shared" si="155"/>
        <v>3.5714285714285712E-2</v>
      </c>
      <c r="U1229" s="5">
        <f t="shared" si="156"/>
        <v>7.9428117553613975E-4</v>
      </c>
      <c r="V1229" s="6">
        <f t="shared" si="157"/>
        <v>3.453928571428571</v>
      </c>
      <c r="W1229" s="7">
        <f t="shared" si="158"/>
        <v>1.4434328358208954</v>
      </c>
      <c r="X1229" s="5">
        <f t="shared" si="159"/>
        <v>9.9173818633026567</v>
      </c>
    </row>
    <row r="1230" spans="1:24" x14ac:dyDescent="0.35">
      <c r="A1230" s="3">
        <v>46227</v>
      </c>
      <c r="B1230" t="s">
        <v>1614</v>
      </c>
      <c r="C1230" t="s">
        <v>1746</v>
      </c>
      <c r="D1230" t="s">
        <v>18</v>
      </c>
      <c r="E1230" t="s">
        <v>25</v>
      </c>
      <c r="F1230" t="s">
        <v>20</v>
      </c>
      <c r="G1230" t="s">
        <v>36</v>
      </c>
      <c r="H1230" t="s">
        <v>48</v>
      </c>
      <c r="I1230">
        <v>1224</v>
      </c>
      <c r="J1230">
        <v>939</v>
      </c>
      <c r="K1230">
        <v>852</v>
      </c>
      <c r="L1230">
        <v>36</v>
      </c>
      <c r="M1230">
        <v>20</v>
      </c>
      <c r="N1230">
        <v>1</v>
      </c>
      <c r="O1230">
        <v>121.32</v>
      </c>
      <c r="P1230">
        <v>1218.1400000000001</v>
      </c>
      <c r="Q1230" s="5">
        <f t="shared" si="152"/>
        <v>0.90734824281150162</v>
      </c>
      <c r="R1230" s="5">
        <f t="shared" si="153"/>
        <v>4.2253521126760563E-2</v>
      </c>
      <c r="S1230" s="5">
        <f t="shared" si="154"/>
        <v>0.55555555555555558</v>
      </c>
      <c r="T1230" s="5">
        <f t="shared" si="155"/>
        <v>0.05</v>
      </c>
      <c r="U1230" s="5">
        <f t="shared" si="156"/>
        <v>1.1737089201877935E-3</v>
      </c>
      <c r="V1230" s="6">
        <f t="shared" si="157"/>
        <v>6.0659999999999998</v>
      </c>
      <c r="W1230" s="7">
        <f t="shared" si="158"/>
        <v>3.3699999999999997</v>
      </c>
      <c r="X1230" s="5">
        <f t="shared" si="159"/>
        <v>9.0407187603033314</v>
      </c>
    </row>
    <row r="1231" spans="1:24" x14ac:dyDescent="0.35">
      <c r="A1231" s="3">
        <v>46227</v>
      </c>
      <c r="B1231" t="s">
        <v>1659</v>
      </c>
      <c r="C1231" t="s">
        <v>1747</v>
      </c>
      <c r="D1231" t="s">
        <v>31</v>
      </c>
      <c r="E1231" t="s">
        <v>56</v>
      </c>
      <c r="F1231" t="s">
        <v>20</v>
      </c>
      <c r="G1231" t="s">
        <v>59</v>
      </c>
      <c r="H1231" t="s">
        <v>48</v>
      </c>
      <c r="I1231">
        <v>2373</v>
      </c>
      <c r="J1231">
        <v>2069</v>
      </c>
      <c r="K1231">
        <v>1983</v>
      </c>
      <c r="L1231">
        <v>75</v>
      </c>
      <c r="M1231">
        <v>28</v>
      </c>
      <c r="N1231">
        <v>1</v>
      </c>
      <c r="O1231">
        <v>383.73</v>
      </c>
      <c r="P1231">
        <v>651.09</v>
      </c>
      <c r="Q1231" s="5">
        <f t="shared" si="152"/>
        <v>0.95843402609956496</v>
      </c>
      <c r="R1231" s="5">
        <f t="shared" si="153"/>
        <v>3.7821482602118005E-2</v>
      </c>
      <c r="S1231" s="5">
        <f t="shared" si="154"/>
        <v>0.37333333333333335</v>
      </c>
      <c r="T1231" s="5">
        <f t="shared" si="155"/>
        <v>3.5714285714285712E-2</v>
      </c>
      <c r="U1231" s="5">
        <f t="shared" si="156"/>
        <v>5.0428643469490675E-4</v>
      </c>
      <c r="V1231" s="6">
        <f t="shared" si="157"/>
        <v>13.704642857142858</v>
      </c>
      <c r="W1231" s="7">
        <f t="shared" si="158"/>
        <v>5.1164000000000005</v>
      </c>
      <c r="X1231" s="5">
        <f t="shared" si="159"/>
        <v>0.69673989523883983</v>
      </c>
    </row>
    <row r="1232" spans="1:24" x14ac:dyDescent="0.35">
      <c r="A1232" s="3">
        <v>46227</v>
      </c>
      <c r="B1232" t="s">
        <v>1673</v>
      </c>
      <c r="C1232" t="s">
        <v>1748</v>
      </c>
      <c r="D1232" t="s">
        <v>18</v>
      </c>
      <c r="E1232" t="s">
        <v>56</v>
      </c>
      <c r="F1232" t="s">
        <v>20</v>
      </c>
      <c r="G1232" t="s">
        <v>21</v>
      </c>
      <c r="H1232" t="s">
        <v>28</v>
      </c>
      <c r="I1232">
        <v>1517</v>
      </c>
      <c r="J1232">
        <v>1114</v>
      </c>
      <c r="K1232">
        <v>1002</v>
      </c>
      <c r="L1232">
        <v>67</v>
      </c>
      <c r="M1232">
        <v>33</v>
      </c>
      <c r="N1232">
        <v>2</v>
      </c>
      <c r="O1232">
        <v>147.21</v>
      </c>
      <c r="P1232">
        <v>2803.3</v>
      </c>
      <c r="Q1232" s="5">
        <f t="shared" si="152"/>
        <v>0.89946140035906641</v>
      </c>
      <c r="R1232" s="5">
        <f t="shared" si="153"/>
        <v>6.6866267465069865E-2</v>
      </c>
      <c r="S1232" s="5">
        <f t="shared" si="154"/>
        <v>0.4925373134328358</v>
      </c>
      <c r="T1232" s="5">
        <f t="shared" si="155"/>
        <v>6.0606060606060608E-2</v>
      </c>
      <c r="U1232" s="5">
        <f t="shared" si="156"/>
        <v>1.996007984031936E-3</v>
      </c>
      <c r="V1232" s="6">
        <f t="shared" si="157"/>
        <v>4.4609090909090909</v>
      </c>
      <c r="W1232" s="7">
        <f t="shared" si="158"/>
        <v>2.1971641791044778</v>
      </c>
      <c r="X1232" s="5">
        <f t="shared" si="159"/>
        <v>18.042863935873921</v>
      </c>
    </row>
    <row r="1233" spans="1:24" x14ac:dyDescent="0.35">
      <c r="A1233" s="3">
        <v>46227</v>
      </c>
      <c r="B1233" t="s">
        <v>1749</v>
      </c>
      <c r="C1233" t="s">
        <v>1750</v>
      </c>
      <c r="D1233" t="s">
        <v>40</v>
      </c>
      <c r="E1233" t="s">
        <v>19</v>
      </c>
      <c r="F1233" t="s">
        <v>20</v>
      </c>
      <c r="G1233" t="s">
        <v>21</v>
      </c>
      <c r="H1233" t="s">
        <v>51</v>
      </c>
      <c r="I1233">
        <v>3137</v>
      </c>
      <c r="J1233">
        <v>2806</v>
      </c>
      <c r="K1233">
        <v>2659</v>
      </c>
      <c r="L1233">
        <v>34</v>
      </c>
      <c r="M1233">
        <v>17</v>
      </c>
      <c r="N1233">
        <v>0</v>
      </c>
      <c r="O1233">
        <v>392.48</v>
      </c>
      <c r="P1233">
        <v>0</v>
      </c>
      <c r="Q1233" s="5">
        <f t="shared" si="152"/>
        <v>0.94761225944404848</v>
      </c>
      <c r="R1233" s="5">
        <f t="shared" si="153"/>
        <v>1.2786761940579166E-2</v>
      </c>
      <c r="S1233" s="5">
        <f t="shared" si="154"/>
        <v>0.5</v>
      </c>
      <c r="T1233" s="5">
        <f t="shared" si="155"/>
        <v>0</v>
      </c>
      <c r="U1233" s="5">
        <f t="shared" si="156"/>
        <v>0</v>
      </c>
      <c r="V1233" s="6">
        <f t="shared" si="157"/>
        <v>23.087058823529414</v>
      </c>
      <c r="W1233" s="7">
        <f t="shared" si="158"/>
        <v>11.543529411764707</v>
      </c>
      <c r="X1233" s="5">
        <f t="shared" si="159"/>
        <v>-1</v>
      </c>
    </row>
    <row r="1234" spans="1:24" x14ac:dyDescent="0.35">
      <c r="A1234" s="3">
        <v>46227</v>
      </c>
      <c r="B1234" t="s">
        <v>1751</v>
      </c>
      <c r="C1234" t="s">
        <v>1752</v>
      </c>
      <c r="D1234" t="s">
        <v>34</v>
      </c>
      <c r="E1234" t="s">
        <v>19</v>
      </c>
      <c r="F1234" t="s">
        <v>20</v>
      </c>
      <c r="G1234" t="s">
        <v>36</v>
      </c>
      <c r="H1234" t="s">
        <v>51</v>
      </c>
      <c r="I1234">
        <v>4907</v>
      </c>
      <c r="J1234">
        <v>4479</v>
      </c>
      <c r="K1234">
        <v>4183</v>
      </c>
      <c r="L1234">
        <v>13</v>
      </c>
      <c r="M1234">
        <v>6</v>
      </c>
      <c r="N1234">
        <v>0</v>
      </c>
      <c r="O1234">
        <v>326.56</v>
      </c>
      <c r="P1234">
        <v>0</v>
      </c>
      <c r="Q1234" s="5">
        <f t="shared" si="152"/>
        <v>0.93391382004911816</v>
      </c>
      <c r="R1234" s="5">
        <f t="shared" si="153"/>
        <v>3.1078173559646186E-3</v>
      </c>
      <c r="S1234" s="5">
        <f t="shared" si="154"/>
        <v>0.46153846153846156</v>
      </c>
      <c r="T1234" s="5">
        <f t="shared" si="155"/>
        <v>0</v>
      </c>
      <c r="U1234" s="5">
        <f t="shared" si="156"/>
        <v>0</v>
      </c>
      <c r="V1234" s="6">
        <f t="shared" si="157"/>
        <v>54.426666666666669</v>
      </c>
      <c r="W1234" s="7">
        <f t="shared" si="158"/>
        <v>25.12</v>
      </c>
      <c r="X1234" s="5">
        <f t="shared" si="159"/>
        <v>-1</v>
      </c>
    </row>
    <row r="1235" spans="1:24" x14ac:dyDescent="0.35">
      <c r="A1235" s="3">
        <v>46228</v>
      </c>
      <c r="B1235" t="s">
        <v>1553</v>
      </c>
      <c r="C1235" t="s">
        <v>1753</v>
      </c>
      <c r="D1235" t="s">
        <v>34</v>
      </c>
      <c r="E1235" t="s">
        <v>19</v>
      </c>
      <c r="F1235" t="s">
        <v>20</v>
      </c>
      <c r="G1235" t="s">
        <v>21</v>
      </c>
      <c r="H1235" t="s">
        <v>48</v>
      </c>
      <c r="I1235">
        <v>2288</v>
      </c>
      <c r="J1235">
        <v>1753</v>
      </c>
      <c r="K1235">
        <v>1600</v>
      </c>
      <c r="L1235">
        <v>34</v>
      </c>
      <c r="M1235">
        <v>16</v>
      </c>
      <c r="N1235">
        <v>0</v>
      </c>
      <c r="O1235">
        <v>139.01</v>
      </c>
      <c r="P1235">
        <v>0</v>
      </c>
      <c r="Q1235" s="5">
        <f t="shared" si="152"/>
        <v>0.91272104962920708</v>
      </c>
      <c r="R1235" s="5">
        <f t="shared" si="153"/>
        <v>2.1250000000000002E-2</v>
      </c>
      <c r="S1235" s="5">
        <f t="shared" si="154"/>
        <v>0.47058823529411764</v>
      </c>
      <c r="T1235" s="5">
        <f t="shared" si="155"/>
        <v>0</v>
      </c>
      <c r="U1235" s="5">
        <f t="shared" si="156"/>
        <v>0</v>
      </c>
      <c r="V1235" s="6">
        <f t="shared" si="157"/>
        <v>8.6881249999999994</v>
      </c>
      <c r="W1235" s="7">
        <f t="shared" si="158"/>
        <v>4.0885294117647053</v>
      </c>
      <c r="X1235" s="5">
        <f t="shared" si="159"/>
        <v>-1</v>
      </c>
    </row>
    <row r="1236" spans="1:24" x14ac:dyDescent="0.35">
      <c r="A1236" s="3">
        <v>46228</v>
      </c>
      <c r="B1236" t="s">
        <v>1754</v>
      </c>
      <c r="C1236" t="s">
        <v>1755</v>
      </c>
      <c r="D1236" t="s">
        <v>31</v>
      </c>
      <c r="E1236" t="s">
        <v>56</v>
      </c>
      <c r="F1236" t="s">
        <v>26</v>
      </c>
      <c r="G1236" t="s">
        <v>41</v>
      </c>
      <c r="H1236" t="s">
        <v>37</v>
      </c>
      <c r="I1236">
        <v>4279</v>
      </c>
      <c r="J1236">
        <v>3161</v>
      </c>
      <c r="K1236">
        <v>3120</v>
      </c>
      <c r="L1236">
        <v>139</v>
      </c>
      <c r="M1236">
        <v>56</v>
      </c>
      <c r="N1236">
        <v>5</v>
      </c>
      <c r="O1236">
        <v>646.54999999999995</v>
      </c>
      <c r="P1236">
        <v>6941.93</v>
      </c>
      <c r="Q1236" s="5">
        <f t="shared" si="152"/>
        <v>0.98702942106928182</v>
      </c>
      <c r="R1236" s="5">
        <f t="shared" si="153"/>
        <v>4.4551282051282053E-2</v>
      </c>
      <c r="S1236" s="5">
        <f t="shared" si="154"/>
        <v>0.40287769784172661</v>
      </c>
      <c r="T1236" s="5">
        <f t="shared" si="155"/>
        <v>8.9285714285714288E-2</v>
      </c>
      <c r="U1236" s="5">
        <f t="shared" si="156"/>
        <v>1.6025641025641025E-3</v>
      </c>
      <c r="V1236" s="6">
        <f t="shared" si="157"/>
        <v>11.545535714285714</v>
      </c>
      <c r="W1236" s="7">
        <f t="shared" si="158"/>
        <v>4.6514388489208631</v>
      </c>
      <c r="X1236" s="5">
        <f t="shared" si="159"/>
        <v>9.7368803650143079</v>
      </c>
    </row>
    <row r="1237" spans="1:24" x14ac:dyDescent="0.35">
      <c r="A1237" s="3">
        <v>46228</v>
      </c>
      <c r="B1237" t="s">
        <v>1646</v>
      </c>
      <c r="C1237" t="s">
        <v>1756</v>
      </c>
      <c r="D1237" t="s">
        <v>31</v>
      </c>
      <c r="E1237" t="s">
        <v>25</v>
      </c>
      <c r="F1237" t="s">
        <v>20</v>
      </c>
      <c r="G1237" t="s">
        <v>59</v>
      </c>
      <c r="H1237" t="s">
        <v>48</v>
      </c>
      <c r="I1237">
        <v>1648</v>
      </c>
      <c r="J1237">
        <v>1407</v>
      </c>
      <c r="K1237">
        <v>1368</v>
      </c>
      <c r="L1237">
        <v>27</v>
      </c>
      <c r="M1237">
        <v>12</v>
      </c>
      <c r="N1237">
        <v>1</v>
      </c>
      <c r="O1237">
        <v>284.10000000000002</v>
      </c>
      <c r="P1237">
        <v>1273.6600000000001</v>
      </c>
      <c r="Q1237" s="5">
        <f t="shared" si="152"/>
        <v>0.97228144989339016</v>
      </c>
      <c r="R1237" s="5">
        <f t="shared" si="153"/>
        <v>1.9736842105263157E-2</v>
      </c>
      <c r="S1237" s="5">
        <f t="shared" si="154"/>
        <v>0.44444444444444442</v>
      </c>
      <c r="T1237" s="5">
        <f t="shared" si="155"/>
        <v>8.3333333333333329E-2</v>
      </c>
      <c r="U1237" s="5">
        <f t="shared" si="156"/>
        <v>7.3099415204678359E-4</v>
      </c>
      <c r="V1237" s="6">
        <f t="shared" si="157"/>
        <v>23.675000000000001</v>
      </c>
      <c r="W1237" s="7">
        <f t="shared" si="158"/>
        <v>10.522222222222224</v>
      </c>
      <c r="X1237" s="5">
        <f t="shared" si="159"/>
        <v>3.483139739528335</v>
      </c>
    </row>
    <row r="1238" spans="1:24" x14ac:dyDescent="0.35">
      <c r="A1238" s="3">
        <v>46229</v>
      </c>
      <c r="B1238" t="s">
        <v>1560</v>
      </c>
      <c r="C1238" t="s">
        <v>1757</v>
      </c>
      <c r="D1238" t="s">
        <v>18</v>
      </c>
      <c r="E1238" t="s">
        <v>56</v>
      </c>
      <c r="F1238" t="s">
        <v>20</v>
      </c>
      <c r="G1238" t="s">
        <v>41</v>
      </c>
      <c r="H1238" t="s">
        <v>28</v>
      </c>
      <c r="I1238">
        <v>2228</v>
      </c>
      <c r="J1238">
        <v>2095</v>
      </c>
      <c r="K1238">
        <v>1901</v>
      </c>
      <c r="L1238">
        <v>96</v>
      </c>
      <c r="M1238">
        <v>59</v>
      </c>
      <c r="N1238">
        <v>2</v>
      </c>
      <c r="O1238">
        <v>228.39</v>
      </c>
      <c r="P1238">
        <v>2885.87</v>
      </c>
      <c r="Q1238" s="5">
        <f t="shared" si="152"/>
        <v>0.90739856801909313</v>
      </c>
      <c r="R1238" s="5">
        <f t="shared" si="153"/>
        <v>5.0499736980536558E-2</v>
      </c>
      <c r="S1238" s="5">
        <f t="shared" si="154"/>
        <v>0.61458333333333337</v>
      </c>
      <c r="T1238" s="5">
        <f t="shared" si="155"/>
        <v>3.3898305084745763E-2</v>
      </c>
      <c r="U1238" s="5">
        <f t="shared" si="156"/>
        <v>1.0520778537611783E-3</v>
      </c>
      <c r="V1238" s="6">
        <f t="shared" si="157"/>
        <v>3.8710169491525424</v>
      </c>
      <c r="W1238" s="7">
        <f t="shared" si="158"/>
        <v>2.3790624999999999</v>
      </c>
      <c r="X1238" s="5">
        <f t="shared" si="159"/>
        <v>11.635710845483603</v>
      </c>
    </row>
    <row r="1239" spans="1:24" x14ac:dyDescent="0.35">
      <c r="A1239" s="3">
        <v>46229</v>
      </c>
      <c r="B1239" t="s">
        <v>1758</v>
      </c>
      <c r="C1239" t="s">
        <v>1759</v>
      </c>
      <c r="D1239" t="s">
        <v>40</v>
      </c>
      <c r="E1239" t="s">
        <v>25</v>
      </c>
      <c r="F1239" t="s">
        <v>20</v>
      </c>
      <c r="G1239" t="s">
        <v>36</v>
      </c>
      <c r="H1239" t="s">
        <v>51</v>
      </c>
      <c r="I1239">
        <v>3521</v>
      </c>
      <c r="J1239">
        <v>2583</v>
      </c>
      <c r="K1239">
        <v>2443</v>
      </c>
      <c r="L1239">
        <v>84</v>
      </c>
      <c r="M1239">
        <v>40</v>
      </c>
      <c r="N1239">
        <v>2</v>
      </c>
      <c r="O1239">
        <v>406.92</v>
      </c>
      <c r="P1239">
        <v>1507.83</v>
      </c>
      <c r="Q1239" s="5">
        <f t="shared" si="152"/>
        <v>0.94579945799457998</v>
      </c>
      <c r="R1239" s="5">
        <f t="shared" si="153"/>
        <v>3.4383954154727794E-2</v>
      </c>
      <c r="S1239" s="5">
        <f t="shared" si="154"/>
        <v>0.47619047619047616</v>
      </c>
      <c r="T1239" s="5">
        <f t="shared" si="155"/>
        <v>0.05</v>
      </c>
      <c r="U1239" s="5">
        <f t="shared" si="156"/>
        <v>8.1866557511256651E-4</v>
      </c>
      <c r="V1239" s="6">
        <f t="shared" si="157"/>
        <v>10.173</v>
      </c>
      <c r="W1239" s="7">
        <f t="shared" si="158"/>
        <v>4.8442857142857143</v>
      </c>
      <c r="X1239" s="5">
        <f t="shared" si="159"/>
        <v>2.7054703627248595</v>
      </c>
    </row>
    <row r="1240" spans="1:24" x14ac:dyDescent="0.35">
      <c r="A1240" s="3">
        <v>46229</v>
      </c>
      <c r="B1240" t="s">
        <v>1671</v>
      </c>
      <c r="C1240" t="s">
        <v>1760</v>
      </c>
      <c r="D1240" t="s">
        <v>18</v>
      </c>
      <c r="E1240" t="s">
        <v>35</v>
      </c>
      <c r="F1240" t="s">
        <v>20</v>
      </c>
      <c r="G1240" t="s">
        <v>41</v>
      </c>
      <c r="H1240" t="s">
        <v>28</v>
      </c>
      <c r="I1240">
        <v>4922</v>
      </c>
      <c r="J1240">
        <v>3918</v>
      </c>
      <c r="K1240">
        <v>3658</v>
      </c>
      <c r="L1240">
        <v>237</v>
      </c>
      <c r="M1240">
        <v>108</v>
      </c>
      <c r="N1240">
        <v>8</v>
      </c>
      <c r="O1240">
        <v>560.41</v>
      </c>
      <c r="P1240">
        <v>9728.93</v>
      </c>
      <c r="Q1240" s="5">
        <f t="shared" si="152"/>
        <v>0.93363961204696277</v>
      </c>
      <c r="R1240" s="5">
        <f t="shared" si="153"/>
        <v>6.4789502460360859E-2</v>
      </c>
      <c r="S1240" s="5">
        <f t="shared" si="154"/>
        <v>0.45569620253164556</v>
      </c>
      <c r="T1240" s="5">
        <f t="shared" si="155"/>
        <v>7.407407407407407E-2</v>
      </c>
      <c r="U1240" s="5">
        <f t="shared" si="156"/>
        <v>2.1869874248223072E-3</v>
      </c>
      <c r="V1240" s="6">
        <f t="shared" si="157"/>
        <v>5.1889814814814814</v>
      </c>
      <c r="W1240" s="7">
        <f t="shared" si="158"/>
        <v>2.3645991561181434</v>
      </c>
      <c r="X1240" s="5">
        <f t="shared" si="159"/>
        <v>16.360379008226122</v>
      </c>
    </row>
    <row r="1241" spans="1:24" x14ac:dyDescent="0.35">
      <c r="A1241" s="3">
        <v>46229</v>
      </c>
      <c r="B1241" t="s">
        <v>1553</v>
      </c>
      <c r="C1241" t="s">
        <v>1761</v>
      </c>
      <c r="D1241" t="s">
        <v>40</v>
      </c>
      <c r="E1241" t="s">
        <v>56</v>
      </c>
      <c r="F1241" t="s">
        <v>26</v>
      </c>
      <c r="G1241" t="s">
        <v>41</v>
      </c>
      <c r="H1241" t="s">
        <v>51</v>
      </c>
      <c r="I1241">
        <v>2172</v>
      </c>
      <c r="J1241">
        <v>1711</v>
      </c>
      <c r="K1241">
        <v>1543</v>
      </c>
      <c r="L1241">
        <v>105</v>
      </c>
      <c r="M1241">
        <v>64</v>
      </c>
      <c r="N1241">
        <v>4</v>
      </c>
      <c r="O1241">
        <v>274.37</v>
      </c>
      <c r="P1241">
        <v>3976.27</v>
      </c>
      <c r="Q1241" s="5">
        <f t="shared" si="152"/>
        <v>0.90181180596142607</v>
      </c>
      <c r="R1241" s="5">
        <f t="shared" si="153"/>
        <v>6.8049254698639011E-2</v>
      </c>
      <c r="S1241" s="5">
        <f t="shared" si="154"/>
        <v>0.60952380952380958</v>
      </c>
      <c r="T1241" s="5">
        <f t="shared" si="155"/>
        <v>6.25E-2</v>
      </c>
      <c r="U1241" s="5">
        <f t="shared" si="156"/>
        <v>2.592352559948153E-3</v>
      </c>
      <c r="V1241" s="6">
        <f t="shared" si="157"/>
        <v>4.2870312500000001</v>
      </c>
      <c r="W1241" s="7">
        <f t="shared" si="158"/>
        <v>2.6130476190476193</v>
      </c>
      <c r="X1241" s="5">
        <f t="shared" si="159"/>
        <v>13.492364325545797</v>
      </c>
    </row>
    <row r="1242" spans="1:24" x14ac:dyDescent="0.35">
      <c r="A1242" s="3">
        <v>46229</v>
      </c>
      <c r="B1242" t="s">
        <v>1591</v>
      </c>
      <c r="C1242" t="s">
        <v>1762</v>
      </c>
      <c r="D1242" t="s">
        <v>31</v>
      </c>
      <c r="E1242" t="s">
        <v>25</v>
      </c>
      <c r="F1242" t="s">
        <v>20</v>
      </c>
      <c r="G1242" t="s">
        <v>21</v>
      </c>
      <c r="H1242" t="s">
        <v>22</v>
      </c>
      <c r="I1242">
        <v>4704</v>
      </c>
      <c r="J1242">
        <v>3400</v>
      </c>
      <c r="K1242">
        <v>3366</v>
      </c>
      <c r="L1242">
        <v>73</v>
      </c>
      <c r="M1242">
        <v>27</v>
      </c>
      <c r="N1242">
        <v>1</v>
      </c>
      <c r="O1242">
        <v>609.86</v>
      </c>
      <c r="P1242">
        <v>1117.07</v>
      </c>
      <c r="Q1242" s="5">
        <f t="shared" si="152"/>
        <v>0.99</v>
      </c>
      <c r="R1242" s="5">
        <f t="shared" si="153"/>
        <v>2.1687462863933454E-2</v>
      </c>
      <c r="S1242" s="5">
        <f t="shared" si="154"/>
        <v>0.36986301369863012</v>
      </c>
      <c r="T1242" s="5">
        <f t="shared" si="155"/>
        <v>3.7037037037037035E-2</v>
      </c>
      <c r="U1242" s="5">
        <f t="shared" si="156"/>
        <v>2.9708853238265005E-4</v>
      </c>
      <c r="V1242" s="6">
        <f t="shared" si="157"/>
        <v>22.587407407407408</v>
      </c>
      <c r="W1242" s="7">
        <f t="shared" si="158"/>
        <v>8.3542465753424651</v>
      </c>
      <c r="X1242" s="5">
        <f t="shared" si="159"/>
        <v>0.83168268127111122</v>
      </c>
    </row>
    <row r="1243" spans="1:24" x14ac:dyDescent="0.35">
      <c r="A1243" s="3">
        <v>46229</v>
      </c>
      <c r="B1243" t="s">
        <v>1763</v>
      </c>
      <c r="C1243" t="s">
        <v>1764</v>
      </c>
      <c r="D1243" t="s">
        <v>34</v>
      </c>
      <c r="E1243" t="s">
        <v>19</v>
      </c>
      <c r="F1243" t="s">
        <v>20</v>
      </c>
      <c r="G1243" t="s">
        <v>59</v>
      </c>
      <c r="H1243" t="s">
        <v>48</v>
      </c>
      <c r="I1243">
        <v>4758</v>
      </c>
      <c r="J1243">
        <v>3851</v>
      </c>
      <c r="K1243">
        <v>3570</v>
      </c>
      <c r="L1243">
        <v>78</v>
      </c>
      <c r="M1243">
        <v>34</v>
      </c>
      <c r="N1243">
        <v>0</v>
      </c>
      <c r="O1243">
        <v>288.70999999999998</v>
      </c>
      <c r="P1243">
        <v>0</v>
      </c>
      <c r="Q1243" s="5">
        <f t="shared" si="152"/>
        <v>0.92703193975590759</v>
      </c>
      <c r="R1243" s="5">
        <f t="shared" si="153"/>
        <v>2.1848739495798318E-2</v>
      </c>
      <c r="S1243" s="5">
        <f t="shared" si="154"/>
        <v>0.4358974358974359</v>
      </c>
      <c r="T1243" s="5">
        <f t="shared" si="155"/>
        <v>0</v>
      </c>
      <c r="U1243" s="5">
        <f t="shared" si="156"/>
        <v>0</v>
      </c>
      <c r="V1243" s="6">
        <f t="shared" si="157"/>
        <v>8.491470588235293</v>
      </c>
      <c r="W1243" s="7">
        <f t="shared" si="158"/>
        <v>3.7014102564102562</v>
      </c>
      <c r="X1243" s="5">
        <f t="shared" si="159"/>
        <v>-1</v>
      </c>
    </row>
    <row r="1244" spans="1:24" x14ac:dyDescent="0.35">
      <c r="A1244" s="3">
        <v>46230</v>
      </c>
      <c r="B1244" t="s">
        <v>1560</v>
      </c>
      <c r="C1244" t="s">
        <v>1765</v>
      </c>
      <c r="D1244" t="s">
        <v>34</v>
      </c>
      <c r="E1244" t="s">
        <v>25</v>
      </c>
      <c r="F1244" t="s">
        <v>20</v>
      </c>
      <c r="G1244" t="s">
        <v>21</v>
      </c>
      <c r="H1244" t="s">
        <v>51</v>
      </c>
      <c r="I1244">
        <v>2077</v>
      </c>
      <c r="J1244">
        <v>1928</v>
      </c>
      <c r="K1244">
        <v>1768</v>
      </c>
      <c r="L1244">
        <v>58</v>
      </c>
      <c r="M1244">
        <v>25</v>
      </c>
      <c r="N1244">
        <v>0</v>
      </c>
      <c r="O1244">
        <v>171.89</v>
      </c>
      <c r="P1244">
        <v>0</v>
      </c>
      <c r="Q1244" s="5">
        <f t="shared" si="152"/>
        <v>0.91701244813278004</v>
      </c>
      <c r="R1244" s="5">
        <f t="shared" si="153"/>
        <v>3.2805429864253395E-2</v>
      </c>
      <c r="S1244" s="5">
        <f t="shared" si="154"/>
        <v>0.43103448275862066</v>
      </c>
      <c r="T1244" s="5">
        <f t="shared" si="155"/>
        <v>0</v>
      </c>
      <c r="U1244" s="5">
        <f t="shared" si="156"/>
        <v>0</v>
      </c>
      <c r="V1244" s="6">
        <f t="shared" si="157"/>
        <v>6.8755999999999995</v>
      </c>
      <c r="W1244" s="7">
        <f t="shared" si="158"/>
        <v>2.9636206896551722</v>
      </c>
      <c r="X1244" s="5">
        <f t="shared" si="159"/>
        <v>-1</v>
      </c>
    </row>
    <row r="1245" spans="1:24" x14ac:dyDescent="0.35">
      <c r="A1245" s="3">
        <v>46230</v>
      </c>
      <c r="B1245" t="s">
        <v>1766</v>
      </c>
      <c r="C1245" t="s">
        <v>1767</v>
      </c>
      <c r="D1245" t="s">
        <v>18</v>
      </c>
      <c r="E1245" t="s">
        <v>19</v>
      </c>
      <c r="F1245" t="s">
        <v>20</v>
      </c>
      <c r="G1245" t="s">
        <v>36</v>
      </c>
      <c r="H1245" t="s">
        <v>51</v>
      </c>
      <c r="I1245">
        <v>4991</v>
      </c>
      <c r="J1245">
        <v>4267</v>
      </c>
      <c r="K1245">
        <v>3854</v>
      </c>
      <c r="L1245">
        <v>89</v>
      </c>
      <c r="M1245">
        <v>50</v>
      </c>
      <c r="N1245">
        <v>1</v>
      </c>
      <c r="O1245">
        <v>582.84</v>
      </c>
      <c r="P1245">
        <v>842.77</v>
      </c>
      <c r="Q1245" s="5">
        <f t="shared" si="152"/>
        <v>0.90321068666510429</v>
      </c>
      <c r="R1245" s="5">
        <f t="shared" si="153"/>
        <v>2.3092890503373119E-2</v>
      </c>
      <c r="S1245" s="5">
        <f t="shared" si="154"/>
        <v>0.5617977528089888</v>
      </c>
      <c r="T1245" s="5">
        <f t="shared" si="155"/>
        <v>0.02</v>
      </c>
      <c r="U1245" s="5">
        <f t="shared" si="156"/>
        <v>2.594706798131811E-4</v>
      </c>
      <c r="V1245" s="6">
        <f t="shared" si="157"/>
        <v>11.6568</v>
      </c>
      <c r="W1245" s="7">
        <f t="shared" si="158"/>
        <v>6.5487640449438205</v>
      </c>
      <c r="X1245" s="5">
        <f t="shared" si="159"/>
        <v>0.44597145014069028</v>
      </c>
    </row>
    <row r="1246" spans="1:24" x14ac:dyDescent="0.35">
      <c r="A1246" s="3">
        <v>46230</v>
      </c>
      <c r="B1246" t="s">
        <v>1768</v>
      </c>
      <c r="C1246" t="s">
        <v>1769</v>
      </c>
      <c r="D1246" t="s">
        <v>34</v>
      </c>
      <c r="E1246" t="s">
        <v>56</v>
      </c>
      <c r="F1246" t="s">
        <v>20</v>
      </c>
      <c r="G1246" t="s">
        <v>59</v>
      </c>
      <c r="H1246" t="s">
        <v>22</v>
      </c>
      <c r="I1246">
        <v>1406</v>
      </c>
      <c r="J1246">
        <v>1403</v>
      </c>
      <c r="K1246">
        <v>1321</v>
      </c>
      <c r="L1246">
        <v>82</v>
      </c>
      <c r="M1246">
        <v>43</v>
      </c>
      <c r="N1246">
        <v>1</v>
      </c>
      <c r="O1246">
        <v>115.67</v>
      </c>
      <c r="P1246">
        <v>1445.04</v>
      </c>
      <c r="Q1246" s="5">
        <f t="shared" si="152"/>
        <v>0.9415538132573058</v>
      </c>
      <c r="R1246" s="5">
        <f t="shared" si="153"/>
        <v>6.2074186222558669E-2</v>
      </c>
      <c r="S1246" s="5">
        <f t="shared" si="154"/>
        <v>0.52439024390243905</v>
      </c>
      <c r="T1246" s="5">
        <f t="shared" si="155"/>
        <v>2.3255813953488372E-2</v>
      </c>
      <c r="U1246" s="5">
        <f t="shared" si="156"/>
        <v>7.5700227100681302E-4</v>
      </c>
      <c r="V1246" s="6">
        <f t="shared" si="157"/>
        <v>2.69</v>
      </c>
      <c r="W1246" s="7">
        <f t="shared" si="158"/>
        <v>1.410609756097561</v>
      </c>
      <c r="X1246" s="5">
        <f t="shared" si="159"/>
        <v>11.49278118786202</v>
      </c>
    </row>
    <row r="1247" spans="1:24" x14ac:dyDescent="0.35">
      <c r="A1247" s="3">
        <v>46230</v>
      </c>
      <c r="B1247" t="s">
        <v>1671</v>
      </c>
      <c r="C1247" t="s">
        <v>1770</v>
      </c>
      <c r="D1247" t="s">
        <v>34</v>
      </c>
      <c r="E1247" t="s">
        <v>35</v>
      </c>
      <c r="F1247" t="s">
        <v>26</v>
      </c>
      <c r="G1247" t="s">
        <v>36</v>
      </c>
      <c r="H1247" t="s">
        <v>28</v>
      </c>
      <c r="I1247">
        <v>4072</v>
      </c>
      <c r="J1247">
        <v>3991</v>
      </c>
      <c r="K1247">
        <v>3727</v>
      </c>
      <c r="L1247">
        <v>289</v>
      </c>
      <c r="M1247">
        <v>151</v>
      </c>
      <c r="N1247">
        <v>17</v>
      </c>
      <c r="O1247">
        <v>332.64</v>
      </c>
      <c r="P1247">
        <v>16239.12</v>
      </c>
      <c r="Q1247" s="5">
        <f t="shared" si="152"/>
        <v>0.93385116512152344</v>
      </c>
      <c r="R1247" s="5">
        <f t="shared" si="153"/>
        <v>7.7542259189696802E-2</v>
      </c>
      <c r="S1247" s="5">
        <f t="shared" si="154"/>
        <v>0.52249134948096887</v>
      </c>
      <c r="T1247" s="5">
        <f t="shared" si="155"/>
        <v>0.11258278145695365</v>
      </c>
      <c r="U1247" s="5">
        <f t="shared" si="156"/>
        <v>4.5613093640998123E-3</v>
      </c>
      <c r="V1247" s="6">
        <f t="shared" si="157"/>
        <v>2.2029139072847683</v>
      </c>
      <c r="W1247" s="7">
        <f t="shared" si="158"/>
        <v>1.1510034602076125</v>
      </c>
      <c r="X1247" s="5">
        <f t="shared" si="159"/>
        <v>47.818903318903324</v>
      </c>
    </row>
    <row r="1248" spans="1:24" x14ac:dyDescent="0.35">
      <c r="A1248" s="3">
        <v>46230</v>
      </c>
      <c r="B1248" t="s">
        <v>1564</v>
      </c>
      <c r="C1248" t="s">
        <v>1771</v>
      </c>
      <c r="D1248" t="s">
        <v>31</v>
      </c>
      <c r="E1248" t="s">
        <v>56</v>
      </c>
      <c r="F1248" t="s">
        <v>26</v>
      </c>
      <c r="G1248" t="s">
        <v>36</v>
      </c>
      <c r="H1248" t="s">
        <v>22</v>
      </c>
      <c r="I1248">
        <v>4514</v>
      </c>
      <c r="J1248">
        <v>3504</v>
      </c>
      <c r="K1248">
        <v>3427</v>
      </c>
      <c r="L1248">
        <v>130</v>
      </c>
      <c r="M1248">
        <v>65</v>
      </c>
      <c r="N1248">
        <v>4</v>
      </c>
      <c r="O1248">
        <v>690.65</v>
      </c>
      <c r="P1248">
        <v>3168.82</v>
      </c>
      <c r="Q1248" s="5">
        <f t="shared" si="152"/>
        <v>0.97802511415525117</v>
      </c>
      <c r="R1248" s="5">
        <f t="shared" si="153"/>
        <v>3.7934053107674351E-2</v>
      </c>
      <c r="S1248" s="5">
        <f t="shared" si="154"/>
        <v>0.5</v>
      </c>
      <c r="T1248" s="5">
        <f t="shared" si="155"/>
        <v>6.1538461538461542E-2</v>
      </c>
      <c r="U1248" s="5">
        <f t="shared" si="156"/>
        <v>1.1672016340822876E-3</v>
      </c>
      <c r="V1248" s="6">
        <f t="shared" si="157"/>
        <v>10.625384615384615</v>
      </c>
      <c r="W1248" s="7">
        <f t="shared" si="158"/>
        <v>5.3126923076923074</v>
      </c>
      <c r="X1248" s="5">
        <f t="shared" si="159"/>
        <v>3.5881705639614858</v>
      </c>
    </row>
    <row r="1249" spans="1:24" x14ac:dyDescent="0.35">
      <c r="A1249" s="3">
        <v>46230</v>
      </c>
      <c r="B1249" t="s">
        <v>1606</v>
      </c>
      <c r="C1249" t="s">
        <v>1772</v>
      </c>
      <c r="D1249" t="s">
        <v>34</v>
      </c>
      <c r="E1249" t="s">
        <v>25</v>
      </c>
      <c r="F1249" t="s">
        <v>26</v>
      </c>
      <c r="G1249" t="s">
        <v>21</v>
      </c>
      <c r="H1249" t="s">
        <v>48</v>
      </c>
      <c r="I1249">
        <v>4333</v>
      </c>
      <c r="J1249">
        <v>3256</v>
      </c>
      <c r="K1249">
        <v>3041</v>
      </c>
      <c r="L1249">
        <v>129</v>
      </c>
      <c r="M1249">
        <v>78</v>
      </c>
      <c r="N1249">
        <v>4</v>
      </c>
      <c r="O1249">
        <v>277.05</v>
      </c>
      <c r="P1249">
        <v>5693.67</v>
      </c>
      <c r="Q1249" s="5">
        <f t="shared" si="152"/>
        <v>0.93396805896805901</v>
      </c>
      <c r="R1249" s="5">
        <f t="shared" si="153"/>
        <v>4.2420256494574156E-2</v>
      </c>
      <c r="S1249" s="5">
        <f t="shared" si="154"/>
        <v>0.60465116279069764</v>
      </c>
      <c r="T1249" s="5">
        <f t="shared" si="155"/>
        <v>5.128205128205128E-2</v>
      </c>
      <c r="U1249" s="5">
        <f t="shared" si="156"/>
        <v>1.3153567905294311E-3</v>
      </c>
      <c r="V1249" s="6">
        <f t="shared" si="157"/>
        <v>3.5519230769230772</v>
      </c>
      <c r="W1249" s="7">
        <f t="shared" si="158"/>
        <v>2.1476744186046512</v>
      </c>
      <c r="X1249" s="5">
        <f t="shared" si="159"/>
        <v>19.551055766107201</v>
      </c>
    </row>
    <row r="1250" spans="1:24" x14ac:dyDescent="0.35">
      <c r="A1250" s="3">
        <v>46230</v>
      </c>
      <c r="B1250" t="s">
        <v>1606</v>
      </c>
      <c r="C1250" t="s">
        <v>1773</v>
      </c>
      <c r="D1250" t="s">
        <v>31</v>
      </c>
      <c r="E1250" t="s">
        <v>56</v>
      </c>
      <c r="F1250" t="s">
        <v>20</v>
      </c>
      <c r="G1250" t="s">
        <v>27</v>
      </c>
      <c r="H1250" t="s">
        <v>22</v>
      </c>
      <c r="I1250">
        <v>875</v>
      </c>
      <c r="J1250">
        <v>780</v>
      </c>
      <c r="K1250">
        <v>749</v>
      </c>
      <c r="L1250">
        <v>13</v>
      </c>
      <c r="M1250">
        <v>5</v>
      </c>
      <c r="N1250">
        <v>0</v>
      </c>
      <c r="O1250">
        <v>128.13999999999999</v>
      </c>
      <c r="P1250">
        <v>0</v>
      </c>
      <c r="Q1250" s="5">
        <f t="shared" si="152"/>
        <v>0.96025641025641029</v>
      </c>
      <c r="R1250" s="5">
        <f t="shared" si="153"/>
        <v>1.7356475300400534E-2</v>
      </c>
      <c r="S1250" s="5">
        <f t="shared" si="154"/>
        <v>0.38461538461538464</v>
      </c>
      <c r="T1250" s="5">
        <f t="shared" si="155"/>
        <v>0</v>
      </c>
      <c r="U1250" s="5">
        <f t="shared" si="156"/>
        <v>0</v>
      </c>
      <c r="V1250" s="6">
        <f t="shared" si="157"/>
        <v>25.627999999999997</v>
      </c>
      <c r="W1250" s="7">
        <f t="shared" si="158"/>
        <v>9.856923076923076</v>
      </c>
      <c r="X1250" s="5">
        <f t="shared" si="159"/>
        <v>-1</v>
      </c>
    </row>
    <row r="1251" spans="1:24" x14ac:dyDescent="0.35">
      <c r="A1251" s="3">
        <v>46230</v>
      </c>
      <c r="B1251" t="s">
        <v>1700</v>
      </c>
      <c r="C1251" t="s">
        <v>1774</v>
      </c>
      <c r="D1251" t="s">
        <v>31</v>
      </c>
      <c r="E1251" t="s">
        <v>35</v>
      </c>
      <c r="F1251" t="s">
        <v>20</v>
      </c>
      <c r="G1251" t="s">
        <v>21</v>
      </c>
      <c r="H1251" t="s">
        <v>51</v>
      </c>
      <c r="I1251">
        <v>2774</v>
      </c>
      <c r="J1251">
        <v>2610</v>
      </c>
      <c r="K1251">
        <v>2457</v>
      </c>
      <c r="L1251">
        <v>104</v>
      </c>
      <c r="M1251">
        <v>41</v>
      </c>
      <c r="N1251">
        <v>3</v>
      </c>
      <c r="O1251">
        <v>446.22</v>
      </c>
      <c r="P1251">
        <v>4697.51</v>
      </c>
      <c r="Q1251" s="5">
        <f t="shared" si="152"/>
        <v>0.94137931034482758</v>
      </c>
      <c r="R1251" s="5">
        <f t="shared" si="153"/>
        <v>4.2328042328042326E-2</v>
      </c>
      <c r="S1251" s="5">
        <f t="shared" si="154"/>
        <v>0.39423076923076922</v>
      </c>
      <c r="T1251" s="5">
        <f t="shared" si="155"/>
        <v>7.3170731707317069E-2</v>
      </c>
      <c r="U1251" s="5">
        <f t="shared" si="156"/>
        <v>1.221001221001221E-3</v>
      </c>
      <c r="V1251" s="6">
        <f t="shared" si="157"/>
        <v>10.883414634146343</v>
      </c>
      <c r="W1251" s="7">
        <f t="shared" si="158"/>
        <v>4.2905769230769231</v>
      </c>
      <c r="X1251" s="5">
        <f t="shared" si="159"/>
        <v>9.5273407736094295</v>
      </c>
    </row>
    <row r="1252" spans="1:24" x14ac:dyDescent="0.35">
      <c r="A1252" s="3">
        <v>46231</v>
      </c>
      <c r="B1252" t="s">
        <v>1601</v>
      </c>
      <c r="C1252" t="s">
        <v>1775</v>
      </c>
      <c r="D1252" t="s">
        <v>40</v>
      </c>
      <c r="E1252" t="s">
        <v>56</v>
      </c>
      <c r="F1252" t="s">
        <v>26</v>
      </c>
      <c r="G1252" t="s">
        <v>36</v>
      </c>
      <c r="H1252" t="s">
        <v>22</v>
      </c>
      <c r="I1252">
        <v>3351</v>
      </c>
      <c r="J1252">
        <v>2670</v>
      </c>
      <c r="K1252">
        <v>2446</v>
      </c>
      <c r="L1252">
        <v>161</v>
      </c>
      <c r="M1252">
        <v>87</v>
      </c>
      <c r="N1252">
        <v>8</v>
      </c>
      <c r="O1252">
        <v>442.3</v>
      </c>
      <c r="P1252">
        <v>11801.62</v>
      </c>
      <c r="Q1252" s="5">
        <f t="shared" si="152"/>
        <v>0.91610486891385767</v>
      </c>
      <c r="R1252" s="5">
        <f t="shared" si="153"/>
        <v>6.5821749795584625E-2</v>
      </c>
      <c r="S1252" s="5">
        <f t="shared" si="154"/>
        <v>0.54037267080745344</v>
      </c>
      <c r="T1252" s="5">
        <f t="shared" si="155"/>
        <v>9.1954022988505746E-2</v>
      </c>
      <c r="U1252" s="5">
        <f t="shared" si="156"/>
        <v>3.2706459525756338E-3</v>
      </c>
      <c r="V1252" s="6">
        <f t="shared" si="157"/>
        <v>5.0839080459770116</v>
      </c>
      <c r="W1252" s="7">
        <f t="shared" si="158"/>
        <v>2.7472049689440996</v>
      </c>
      <c r="X1252" s="5">
        <f t="shared" si="159"/>
        <v>25.682387519782957</v>
      </c>
    </row>
    <row r="1253" spans="1:24" x14ac:dyDescent="0.35">
      <c r="A1253" s="3">
        <v>46231</v>
      </c>
      <c r="B1253" t="s">
        <v>1601</v>
      </c>
      <c r="C1253" t="s">
        <v>1776</v>
      </c>
      <c r="D1253" t="s">
        <v>18</v>
      </c>
      <c r="E1253" t="s">
        <v>25</v>
      </c>
      <c r="F1253" t="s">
        <v>26</v>
      </c>
      <c r="G1253" t="s">
        <v>59</v>
      </c>
      <c r="H1253" t="s">
        <v>48</v>
      </c>
      <c r="I1253">
        <v>3439</v>
      </c>
      <c r="J1253">
        <v>3278</v>
      </c>
      <c r="K1253">
        <v>2953</v>
      </c>
      <c r="L1253">
        <v>171</v>
      </c>
      <c r="M1253">
        <v>104</v>
      </c>
      <c r="N1253">
        <v>5</v>
      </c>
      <c r="O1253">
        <v>429.99</v>
      </c>
      <c r="P1253">
        <v>5159.54</v>
      </c>
      <c r="Q1253" s="5">
        <f t="shared" si="152"/>
        <v>0.90085417937766932</v>
      </c>
      <c r="R1253" s="5">
        <f t="shared" si="153"/>
        <v>5.7907213003725026E-2</v>
      </c>
      <c r="S1253" s="5">
        <f t="shared" si="154"/>
        <v>0.60818713450292394</v>
      </c>
      <c r="T1253" s="5">
        <f t="shared" si="155"/>
        <v>4.807692307692308E-2</v>
      </c>
      <c r="U1253" s="5">
        <f t="shared" si="156"/>
        <v>1.6931933626820183E-3</v>
      </c>
      <c r="V1253" s="6">
        <f t="shared" si="157"/>
        <v>4.1345192307692304</v>
      </c>
      <c r="W1253" s="7">
        <f t="shared" si="158"/>
        <v>2.5145614035087718</v>
      </c>
      <c r="X1253" s="5">
        <f t="shared" si="159"/>
        <v>10.999209283936835</v>
      </c>
    </row>
    <row r="1254" spans="1:24" x14ac:dyDescent="0.35">
      <c r="A1254" s="3">
        <v>46231</v>
      </c>
      <c r="B1254" t="s">
        <v>1777</v>
      </c>
      <c r="C1254" t="s">
        <v>1778</v>
      </c>
      <c r="D1254" t="s">
        <v>18</v>
      </c>
      <c r="E1254" t="s">
        <v>25</v>
      </c>
      <c r="F1254" t="s">
        <v>26</v>
      </c>
      <c r="G1254" t="s">
        <v>21</v>
      </c>
      <c r="H1254" t="s">
        <v>22</v>
      </c>
      <c r="I1254">
        <v>3379</v>
      </c>
      <c r="J1254">
        <v>2545</v>
      </c>
      <c r="K1254">
        <v>2290</v>
      </c>
      <c r="L1254">
        <v>106</v>
      </c>
      <c r="M1254">
        <v>66</v>
      </c>
      <c r="N1254">
        <v>3</v>
      </c>
      <c r="O1254">
        <v>288.19</v>
      </c>
      <c r="P1254">
        <v>2976.07</v>
      </c>
      <c r="Q1254" s="5">
        <f t="shared" si="152"/>
        <v>0.89980353634577603</v>
      </c>
      <c r="R1254" s="5">
        <f t="shared" si="153"/>
        <v>4.6288209606986902E-2</v>
      </c>
      <c r="S1254" s="5">
        <f t="shared" si="154"/>
        <v>0.62264150943396224</v>
      </c>
      <c r="T1254" s="5">
        <f t="shared" si="155"/>
        <v>4.5454545454545456E-2</v>
      </c>
      <c r="U1254" s="5">
        <f t="shared" si="156"/>
        <v>1.3100436681222707E-3</v>
      </c>
      <c r="V1254" s="6">
        <f t="shared" si="157"/>
        <v>4.3665151515151512</v>
      </c>
      <c r="W1254" s="7">
        <f t="shared" si="158"/>
        <v>2.7187735849056605</v>
      </c>
      <c r="X1254" s="5">
        <f t="shared" si="159"/>
        <v>9.3267635934626458</v>
      </c>
    </row>
    <row r="1255" spans="1:24" x14ac:dyDescent="0.35">
      <c r="A1255" s="3">
        <v>46231</v>
      </c>
      <c r="B1255" t="s">
        <v>1603</v>
      </c>
      <c r="C1255" t="s">
        <v>1779</v>
      </c>
      <c r="D1255" t="s">
        <v>34</v>
      </c>
      <c r="E1255" t="s">
        <v>19</v>
      </c>
      <c r="F1255" t="s">
        <v>20</v>
      </c>
      <c r="G1255" t="s">
        <v>36</v>
      </c>
      <c r="H1255" t="s">
        <v>28</v>
      </c>
      <c r="I1255">
        <v>4610</v>
      </c>
      <c r="J1255">
        <v>4496</v>
      </c>
      <c r="K1255">
        <v>4216</v>
      </c>
      <c r="L1255">
        <v>111</v>
      </c>
      <c r="M1255">
        <v>53</v>
      </c>
      <c r="N1255">
        <v>1</v>
      </c>
      <c r="O1255">
        <v>330.49</v>
      </c>
      <c r="P1255">
        <v>1238.9000000000001</v>
      </c>
      <c r="Q1255" s="5">
        <f t="shared" si="152"/>
        <v>0.93772241992882566</v>
      </c>
      <c r="R1255" s="5">
        <f t="shared" si="153"/>
        <v>2.6328273244781784E-2</v>
      </c>
      <c r="S1255" s="5">
        <f t="shared" si="154"/>
        <v>0.47747747747747749</v>
      </c>
      <c r="T1255" s="5">
        <f t="shared" si="155"/>
        <v>1.8867924528301886E-2</v>
      </c>
      <c r="U1255" s="5">
        <f t="shared" si="156"/>
        <v>2.3719165085388995E-4</v>
      </c>
      <c r="V1255" s="6">
        <f t="shared" si="157"/>
        <v>6.2356603773584904</v>
      </c>
      <c r="W1255" s="7">
        <f t="shared" si="158"/>
        <v>2.9773873873873873</v>
      </c>
      <c r="X1255" s="5">
        <f t="shared" si="159"/>
        <v>2.7486762080547069</v>
      </c>
    </row>
    <row r="1256" spans="1:24" x14ac:dyDescent="0.35">
      <c r="A1256" s="3">
        <v>46231</v>
      </c>
      <c r="B1256" t="s">
        <v>1560</v>
      </c>
      <c r="C1256" t="s">
        <v>1780</v>
      </c>
      <c r="D1256" t="s">
        <v>18</v>
      </c>
      <c r="E1256" t="s">
        <v>56</v>
      </c>
      <c r="F1256" t="s">
        <v>20</v>
      </c>
      <c r="G1256" t="s">
        <v>21</v>
      </c>
      <c r="H1256" t="s">
        <v>22</v>
      </c>
      <c r="I1256">
        <v>2624</v>
      </c>
      <c r="J1256">
        <v>2406</v>
      </c>
      <c r="K1256">
        <v>2191</v>
      </c>
      <c r="L1256">
        <v>135</v>
      </c>
      <c r="M1256">
        <v>72</v>
      </c>
      <c r="N1256">
        <v>3</v>
      </c>
      <c r="O1256">
        <v>310.3</v>
      </c>
      <c r="P1256">
        <v>2665.56</v>
      </c>
      <c r="Q1256" s="5">
        <f t="shared" si="152"/>
        <v>0.91064006650041562</v>
      </c>
      <c r="R1256" s="5">
        <f t="shared" si="153"/>
        <v>6.1615700593336376E-2</v>
      </c>
      <c r="S1256" s="5">
        <f t="shared" si="154"/>
        <v>0.53333333333333333</v>
      </c>
      <c r="T1256" s="5">
        <f t="shared" si="155"/>
        <v>4.1666666666666664E-2</v>
      </c>
      <c r="U1256" s="5">
        <f t="shared" si="156"/>
        <v>1.3692377909630307E-3</v>
      </c>
      <c r="V1256" s="6">
        <f t="shared" si="157"/>
        <v>4.3097222222222227</v>
      </c>
      <c r="W1256" s="7">
        <f t="shared" si="158"/>
        <v>2.2985185185185184</v>
      </c>
      <c r="X1256" s="5">
        <f t="shared" si="159"/>
        <v>7.5902674830808881</v>
      </c>
    </row>
    <row r="1257" spans="1:24" x14ac:dyDescent="0.35">
      <c r="A1257" s="3">
        <v>46231</v>
      </c>
      <c r="B1257" t="s">
        <v>1566</v>
      </c>
      <c r="C1257" t="s">
        <v>1781</v>
      </c>
      <c r="D1257" t="s">
        <v>40</v>
      </c>
      <c r="E1257" t="s">
        <v>35</v>
      </c>
      <c r="F1257" t="s">
        <v>20</v>
      </c>
      <c r="G1257" t="s">
        <v>41</v>
      </c>
      <c r="H1257" t="s">
        <v>22</v>
      </c>
      <c r="I1257">
        <v>606</v>
      </c>
      <c r="J1257">
        <v>579</v>
      </c>
      <c r="K1257">
        <v>530</v>
      </c>
      <c r="L1257">
        <v>52</v>
      </c>
      <c r="M1257">
        <v>21</v>
      </c>
      <c r="N1257">
        <v>1</v>
      </c>
      <c r="O1257">
        <v>91.23</v>
      </c>
      <c r="P1257">
        <v>976.2</v>
      </c>
      <c r="Q1257" s="5">
        <f t="shared" si="152"/>
        <v>0.91537132987910186</v>
      </c>
      <c r="R1257" s="5">
        <f t="shared" si="153"/>
        <v>9.8113207547169817E-2</v>
      </c>
      <c r="S1257" s="5">
        <f t="shared" si="154"/>
        <v>0.40384615384615385</v>
      </c>
      <c r="T1257" s="5">
        <f t="shared" si="155"/>
        <v>4.7619047619047616E-2</v>
      </c>
      <c r="U1257" s="5">
        <f t="shared" si="156"/>
        <v>1.8867924528301887E-3</v>
      </c>
      <c r="V1257" s="6">
        <f t="shared" si="157"/>
        <v>4.3442857142857143</v>
      </c>
      <c r="W1257" s="7">
        <f t="shared" si="158"/>
        <v>1.7544230769230771</v>
      </c>
      <c r="X1257" s="5">
        <f t="shared" si="159"/>
        <v>9.7004274909569226</v>
      </c>
    </row>
    <row r="1258" spans="1:24" x14ac:dyDescent="0.35">
      <c r="A1258" s="3">
        <v>46231</v>
      </c>
      <c r="B1258" t="s">
        <v>1606</v>
      </c>
      <c r="C1258" t="s">
        <v>1782</v>
      </c>
      <c r="D1258" t="s">
        <v>34</v>
      </c>
      <c r="E1258" t="s">
        <v>35</v>
      </c>
      <c r="F1258" t="s">
        <v>20</v>
      </c>
      <c r="G1258" t="s">
        <v>21</v>
      </c>
      <c r="H1258" t="s">
        <v>51</v>
      </c>
      <c r="I1258">
        <v>553</v>
      </c>
      <c r="J1258">
        <v>502</v>
      </c>
      <c r="K1258">
        <v>478</v>
      </c>
      <c r="L1258">
        <v>30</v>
      </c>
      <c r="M1258">
        <v>13</v>
      </c>
      <c r="N1258">
        <v>1</v>
      </c>
      <c r="O1258">
        <v>39.049999999999997</v>
      </c>
      <c r="P1258">
        <v>1263.58</v>
      </c>
      <c r="Q1258" s="5">
        <f t="shared" si="152"/>
        <v>0.952191235059761</v>
      </c>
      <c r="R1258" s="5">
        <f t="shared" si="153"/>
        <v>6.2761506276150625E-2</v>
      </c>
      <c r="S1258" s="5">
        <f t="shared" si="154"/>
        <v>0.43333333333333335</v>
      </c>
      <c r="T1258" s="5">
        <f t="shared" si="155"/>
        <v>7.6923076923076927E-2</v>
      </c>
      <c r="U1258" s="5">
        <f t="shared" si="156"/>
        <v>2.0920502092050207E-3</v>
      </c>
      <c r="V1258" s="6">
        <f t="shared" si="157"/>
        <v>3.0038461538461538</v>
      </c>
      <c r="W1258" s="7">
        <f t="shared" si="158"/>
        <v>1.3016666666666665</v>
      </c>
      <c r="X1258" s="5">
        <f t="shared" si="159"/>
        <v>31.358002560819465</v>
      </c>
    </row>
    <row r="1259" spans="1:24" x14ac:dyDescent="0.35">
      <c r="A1259" s="3">
        <v>46231</v>
      </c>
      <c r="B1259" t="s">
        <v>1749</v>
      </c>
      <c r="C1259" t="s">
        <v>1783</v>
      </c>
      <c r="D1259" t="s">
        <v>18</v>
      </c>
      <c r="E1259" t="s">
        <v>19</v>
      </c>
      <c r="F1259" t="s">
        <v>26</v>
      </c>
      <c r="G1259" t="s">
        <v>41</v>
      </c>
      <c r="H1259" t="s">
        <v>37</v>
      </c>
      <c r="I1259">
        <v>846</v>
      </c>
      <c r="J1259">
        <v>776</v>
      </c>
      <c r="K1259">
        <v>697</v>
      </c>
      <c r="L1259">
        <v>16</v>
      </c>
      <c r="M1259">
        <v>9</v>
      </c>
      <c r="N1259">
        <v>0</v>
      </c>
      <c r="O1259">
        <v>89.78</v>
      </c>
      <c r="P1259">
        <v>0</v>
      </c>
      <c r="Q1259" s="5">
        <f t="shared" si="152"/>
        <v>0.89819587628865982</v>
      </c>
      <c r="R1259" s="5">
        <f t="shared" si="153"/>
        <v>2.2955523672883789E-2</v>
      </c>
      <c r="S1259" s="5">
        <f t="shared" si="154"/>
        <v>0.5625</v>
      </c>
      <c r="T1259" s="5">
        <f t="shared" si="155"/>
        <v>0</v>
      </c>
      <c r="U1259" s="5">
        <f t="shared" si="156"/>
        <v>0</v>
      </c>
      <c r="V1259" s="6">
        <f t="shared" si="157"/>
        <v>9.9755555555555553</v>
      </c>
      <c r="W1259" s="7">
        <f t="shared" si="158"/>
        <v>5.6112500000000001</v>
      </c>
      <c r="X1259" s="5">
        <f t="shared" si="159"/>
        <v>-1</v>
      </c>
    </row>
    <row r="1260" spans="1:24" x14ac:dyDescent="0.35">
      <c r="A1260" s="3">
        <v>46231</v>
      </c>
      <c r="B1260" t="s">
        <v>1568</v>
      </c>
      <c r="C1260" t="s">
        <v>1784</v>
      </c>
      <c r="D1260" t="s">
        <v>18</v>
      </c>
      <c r="E1260" t="s">
        <v>19</v>
      </c>
      <c r="F1260" t="s">
        <v>20</v>
      </c>
      <c r="G1260" t="s">
        <v>36</v>
      </c>
      <c r="H1260" t="s">
        <v>51</v>
      </c>
      <c r="I1260">
        <v>4200</v>
      </c>
      <c r="J1260">
        <v>4193</v>
      </c>
      <c r="K1260">
        <v>3781</v>
      </c>
      <c r="L1260">
        <v>95</v>
      </c>
      <c r="M1260">
        <v>39</v>
      </c>
      <c r="N1260">
        <v>0</v>
      </c>
      <c r="O1260">
        <v>474.98</v>
      </c>
      <c r="P1260">
        <v>0</v>
      </c>
      <c r="Q1260" s="5">
        <f t="shared" si="152"/>
        <v>0.90174099689959453</v>
      </c>
      <c r="R1260" s="5">
        <f t="shared" si="153"/>
        <v>2.5125628140703519E-2</v>
      </c>
      <c r="S1260" s="5">
        <f t="shared" si="154"/>
        <v>0.41052631578947368</v>
      </c>
      <c r="T1260" s="5">
        <f t="shared" si="155"/>
        <v>0</v>
      </c>
      <c r="U1260" s="5">
        <f t="shared" si="156"/>
        <v>0</v>
      </c>
      <c r="V1260" s="6">
        <f t="shared" si="157"/>
        <v>12.17897435897436</v>
      </c>
      <c r="W1260" s="7">
        <f t="shared" si="158"/>
        <v>4.9997894736842108</v>
      </c>
      <c r="X1260" s="5">
        <f t="shared" si="159"/>
        <v>-1</v>
      </c>
    </row>
    <row r="1261" spans="1:24" x14ac:dyDescent="0.35">
      <c r="A1261" s="3">
        <v>46231</v>
      </c>
      <c r="B1261" t="s">
        <v>1570</v>
      </c>
      <c r="C1261" t="s">
        <v>1785</v>
      </c>
      <c r="D1261" t="s">
        <v>34</v>
      </c>
      <c r="E1261" t="s">
        <v>19</v>
      </c>
      <c r="F1261" t="s">
        <v>26</v>
      </c>
      <c r="G1261" t="s">
        <v>41</v>
      </c>
      <c r="H1261" t="s">
        <v>37</v>
      </c>
      <c r="I1261">
        <v>1050</v>
      </c>
      <c r="J1261">
        <v>812</v>
      </c>
      <c r="K1261">
        <v>758</v>
      </c>
      <c r="L1261">
        <v>13</v>
      </c>
      <c r="M1261">
        <v>8</v>
      </c>
      <c r="N1261">
        <v>0</v>
      </c>
      <c r="O1261">
        <v>71.989999999999995</v>
      </c>
      <c r="P1261">
        <v>0</v>
      </c>
      <c r="Q1261" s="5">
        <f t="shared" si="152"/>
        <v>0.93349753694581283</v>
      </c>
      <c r="R1261" s="5">
        <f t="shared" si="153"/>
        <v>1.7150395778364115E-2</v>
      </c>
      <c r="S1261" s="5">
        <f t="shared" si="154"/>
        <v>0.61538461538461542</v>
      </c>
      <c r="T1261" s="5">
        <f t="shared" si="155"/>
        <v>0</v>
      </c>
      <c r="U1261" s="5">
        <f t="shared" si="156"/>
        <v>0</v>
      </c>
      <c r="V1261" s="6">
        <f t="shared" si="157"/>
        <v>8.9987499999999994</v>
      </c>
      <c r="W1261" s="7">
        <f t="shared" si="158"/>
        <v>5.537692307692307</v>
      </c>
      <c r="X1261" s="5">
        <f t="shared" si="159"/>
        <v>-1</v>
      </c>
    </row>
    <row r="1262" spans="1:24" x14ac:dyDescent="0.35">
      <c r="A1262" s="3">
        <v>46231</v>
      </c>
      <c r="B1262" t="s">
        <v>1609</v>
      </c>
      <c r="C1262" t="s">
        <v>1786</v>
      </c>
      <c r="D1262" t="s">
        <v>34</v>
      </c>
      <c r="E1262" t="s">
        <v>19</v>
      </c>
      <c r="F1262" t="s">
        <v>20</v>
      </c>
      <c r="G1262" t="s">
        <v>36</v>
      </c>
      <c r="H1262" t="s">
        <v>22</v>
      </c>
      <c r="I1262">
        <v>3284</v>
      </c>
      <c r="J1262">
        <v>3144</v>
      </c>
      <c r="K1262">
        <v>2976</v>
      </c>
      <c r="L1262">
        <v>12</v>
      </c>
      <c r="M1262">
        <v>6</v>
      </c>
      <c r="N1262">
        <v>0</v>
      </c>
      <c r="O1262">
        <v>242.18</v>
      </c>
      <c r="P1262">
        <v>0</v>
      </c>
      <c r="Q1262" s="5">
        <f t="shared" si="152"/>
        <v>0.94656488549618323</v>
      </c>
      <c r="R1262" s="5">
        <f t="shared" si="153"/>
        <v>4.0322580645161289E-3</v>
      </c>
      <c r="S1262" s="5">
        <f t="shared" si="154"/>
        <v>0.5</v>
      </c>
      <c r="T1262" s="5">
        <f t="shared" si="155"/>
        <v>0</v>
      </c>
      <c r="U1262" s="5">
        <f t="shared" si="156"/>
        <v>0</v>
      </c>
      <c r="V1262" s="6">
        <f t="shared" si="157"/>
        <v>40.363333333333337</v>
      </c>
      <c r="W1262" s="7">
        <f t="shared" si="158"/>
        <v>20.181666666666668</v>
      </c>
      <c r="X1262" s="5">
        <f t="shared" si="159"/>
        <v>-1</v>
      </c>
    </row>
    <row r="1263" spans="1:24" x14ac:dyDescent="0.35">
      <c r="A1263" s="3">
        <v>46231</v>
      </c>
      <c r="B1263" t="s">
        <v>1609</v>
      </c>
      <c r="C1263" t="s">
        <v>1787</v>
      </c>
      <c r="D1263" t="s">
        <v>18</v>
      </c>
      <c r="E1263" t="s">
        <v>25</v>
      </c>
      <c r="F1263" t="s">
        <v>26</v>
      </c>
      <c r="G1263" t="s">
        <v>27</v>
      </c>
      <c r="H1263" t="s">
        <v>28</v>
      </c>
      <c r="I1263">
        <v>4109</v>
      </c>
      <c r="J1263">
        <v>3854</v>
      </c>
      <c r="K1263">
        <v>3409</v>
      </c>
      <c r="L1263">
        <v>147</v>
      </c>
      <c r="M1263">
        <v>75</v>
      </c>
      <c r="N1263">
        <v>3</v>
      </c>
      <c r="O1263">
        <v>527.19000000000005</v>
      </c>
      <c r="P1263">
        <v>3311.29</v>
      </c>
      <c r="Q1263" s="5">
        <f t="shared" si="152"/>
        <v>0.88453554748313445</v>
      </c>
      <c r="R1263" s="5">
        <f t="shared" si="153"/>
        <v>4.3121149897330596E-2</v>
      </c>
      <c r="S1263" s="5">
        <f t="shared" si="154"/>
        <v>0.51020408163265307</v>
      </c>
      <c r="T1263" s="5">
        <f t="shared" si="155"/>
        <v>0.04</v>
      </c>
      <c r="U1263" s="5">
        <f t="shared" si="156"/>
        <v>8.8002346729246109E-4</v>
      </c>
      <c r="V1263" s="6">
        <f t="shared" si="157"/>
        <v>7.0292000000000003</v>
      </c>
      <c r="W1263" s="7">
        <f t="shared" si="158"/>
        <v>3.5863265306122454</v>
      </c>
      <c r="X1263" s="5">
        <f t="shared" si="159"/>
        <v>5.2810182287220915</v>
      </c>
    </row>
    <row r="1264" spans="1:24" x14ac:dyDescent="0.35">
      <c r="A1264" s="3">
        <v>46231</v>
      </c>
      <c r="B1264" t="s">
        <v>1557</v>
      </c>
      <c r="C1264" t="s">
        <v>1788</v>
      </c>
      <c r="D1264" t="s">
        <v>18</v>
      </c>
      <c r="E1264" t="s">
        <v>56</v>
      </c>
      <c r="F1264" t="s">
        <v>20</v>
      </c>
      <c r="G1264" t="s">
        <v>59</v>
      </c>
      <c r="H1264" t="s">
        <v>48</v>
      </c>
      <c r="I1264">
        <v>4070</v>
      </c>
      <c r="J1264">
        <v>3135</v>
      </c>
      <c r="K1264">
        <v>2804</v>
      </c>
      <c r="L1264">
        <v>176</v>
      </c>
      <c r="M1264">
        <v>90</v>
      </c>
      <c r="N1264">
        <v>6</v>
      </c>
      <c r="O1264">
        <v>341.02</v>
      </c>
      <c r="P1264">
        <v>4301.0600000000004</v>
      </c>
      <c r="Q1264" s="5">
        <f t="shared" si="152"/>
        <v>0.89441786283891545</v>
      </c>
      <c r="R1264" s="5">
        <f t="shared" si="153"/>
        <v>6.2767475035663337E-2</v>
      </c>
      <c r="S1264" s="5">
        <f t="shared" si="154"/>
        <v>0.51136363636363635</v>
      </c>
      <c r="T1264" s="5">
        <f t="shared" si="155"/>
        <v>6.6666666666666666E-2</v>
      </c>
      <c r="U1264" s="5">
        <f t="shared" si="156"/>
        <v>2.1398002853067048E-3</v>
      </c>
      <c r="V1264" s="6">
        <f t="shared" si="157"/>
        <v>3.7891111111111111</v>
      </c>
      <c r="W1264" s="7">
        <f t="shared" si="158"/>
        <v>1.9376136363636363</v>
      </c>
      <c r="X1264" s="5">
        <f t="shared" si="159"/>
        <v>11.612339452231543</v>
      </c>
    </row>
    <row r="1265" spans="1:24" x14ac:dyDescent="0.35">
      <c r="A1265" s="3">
        <v>46232</v>
      </c>
      <c r="B1265" t="s">
        <v>1766</v>
      </c>
      <c r="C1265" t="s">
        <v>1789</v>
      </c>
      <c r="D1265" t="s">
        <v>31</v>
      </c>
      <c r="E1265" t="s">
        <v>25</v>
      </c>
      <c r="F1265" t="s">
        <v>26</v>
      </c>
      <c r="G1265" t="s">
        <v>41</v>
      </c>
      <c r="H1265" t="s">
        <v>37</v>
      </c>
      <c r="I1265">
        <v>4628</v>
      </c>
      <c r="J1265">
        <v>4407</v>
      </c>
      <c r="K1265">
        <v>4231</v>
      </c>
      <c r="L1265">
        <v>108</v>
      </c>
      <c r="M1265">
        <v>57</v>
      </c>
      <c r="N1265">
        <v>2</v>
      </c>
      <c r="O1265">
        <v>816.91</v>
      </c>
      <c r="P1265">
        <v>1654.3</v>
      </c>
      <c r="Q1265" s="5">
        <f t="shared" si="152"/>
        <v>0.96006353528477417</v>
      </c>
      <c r="R1265" s="5">
        <f t="shared" si="153"/>
        <v>2.5525880406523281E-2</v>
      </c>
      <c r="S1265" s="5">
        <f t="shared" si="154"/>
        <v>0.52777777777777779</v>
      </c>
      <c r="T1265" s="5">
        <f t="shared" si="155"/>
        <v>3.5087719298245612E-2</v>
      </c>
      <c r="U1265" s="5">
        <f t="shared" si="156"/>
        <v>4.7270148900969039E-4</v>
      </c>
      <c r="V1265" s="6">
        <f t="shared" si="157"/>
        <v>14.331754385964912</v>
      </c>
      <c r="W1265" s="7">
        <f t="shared" si="158"/>
        <v>7.5639814814814814</v>
      </c>
      <c r="X1265" s="5">
        <f t="shared" si="159"/>
        <v>1.0250700811594913</v>
      </c>
    </row>
    <row r="1266" spans="1:24" x14ac:dyDescent="0.35">
      <c r="A1266" s="3">
        <v>46232</v>
      </c>
      <c r="B1266" t="s">
        <v>1564</v>
      </c>
      <c r="C1266" t="s">
        <v>1790</v>
      </c>
      <c r="D1266" t="s">
        <v>40</v>
      </c>
      <c r="E1266" t="s">
        <v>56</v>
      </c>
      <c r="F1266" t="s">
        <v>26</v>
      </c>
      <c r="G1266" t="s">
        <v>59</v>
      </c>
      <c r="H1266" t="s">
        <v>48</v>
      </c>
      <c r="I1266">
        <v>3019</v>
      </c>
      <c r="J1266">
        <v>2815</v>
      </c>
      <c r="K1266">
        <v>2558</v>
      </c>
      <c r="L1266">
        <v>229</v>
      </c>
      <c r="M1266">
        <v>130</v>
      </c>
      <c r="N1266">
        <v>8</v>
      </c>
      <c r="O1266">
        <v>442.07</v>
      </c>
      <c r="P1266">
        <v>8927.1299999999992</v>
      </c>
      <c r="Q1266" s="5">
        <f t="shared" si="152"/>
        <v>0.90870337477797514</v>
      </c>
      <c r="R1266" s="5">
        <f t="shared" si="153"/>
        <v>8.9523064894448792E-2</v>
      </c>
      <c r="S1266" s="5">
        <f t="shared" si="154"/>
        <v>0.56768558951965065</v>
      </c>
      <c r="T1266" s="5">
        <f t="shared" si="155"/>
        <v>6.1538461538461542E-2</v>
      </c>
      <c r="U1266" s="5">
        <f t="shared" si="156"/>
        <v>3.1274433150899139E-3</v>
      </c>
      <c r="V1266" s="6">
        <f t="shared" si="157"/>
        <v>3.4005384615384613</v>
      </c>
      <c r="W1266" s="7">
        <f t="shared" si="158"/>
        <v>1.9304366812227074</v>
      </c>
      <c r="X1266" s="5">
        <f t="shared" si="159"/>
        <v>19.193928563349694</v>
      </c>
    </row>
    <row r="1267" spans="1:24" x14ac:dyDescent="0.35">
      <c r="A1267" s="3">
        <v>46232</v>
      </c>
      <c r="B1267" t="s">
        <v>1606</v>
      </c>
      <c r="C1267" t="s">
        <v>1791</v>
      </c>
      <c r="D1267" t="s">
        <v>40</v>
      </c>
      <c r="E1267" t="s">
        <v>56</v>
      </c>
      <c r="F1267" t="s">
        <v>20</v>
      </c>
      <c r="G1267" t="s">
        <v>21</v>
      </c>
      <c r="H1267" t="s">
        <v>48</v>
      </c>
      <c r="I1267">
        <v>3176</v>
      </c>
      <c r="J1267">
        <v>2568</v>
      </c>
      <c r="K1267">
        <v>2392</v>
      </c>
      <c r="L1267">
        <v>96</v>
      </c>
      <c r="M1267">
        <v>43</v>
      </c>
      <c r="N1267">
        <v>3</v>
      </c>
      <c r="O1267">
        <v>369.48</v>
      </c>
      <c r="P1267">
        <v>4004.16</v>
      </c>
      <c r="Q1267" s="5">
        <f t="shared" si="152"/>
        <v>0.93146417445482865</v>
      </c>
      <c r="R1267" s="5">
        <f t="shared" si="153"/>
        <v>4.0133779264214048E-2</v>
      </c>
      <c r="S1267" s="5">
        <f t="shared" si="154"/>
        <v>0.44791666666666669</v>
      </c>
      <c r="T1267" s="5">
        <f t="shared" si="155"/>
        <v>6.9767441860465115E-2</v>
      </c>
      <c r="U1267" s="5">
        <f t="shared" si="156"/>
        <v>1.254180602006689E-3</v>
      </c>
      <c r="V1267" s="6">
        <f t="shared" si="157"/>
        <v>8.5925581395348836</v>
      </c>
      <c r="W1267" s="7">
        <f t="shared" si="158"/>
        <v>3.8487500000000003</v>
      </c>
      <c r="X1267" s="5">
        <f t="shared" si="159"/>
        <v>9.8372848327379003</v>
      </c>
    </row>
    <row r="1268" spans="1:24" x14ac:dyDescent="0.35">
      <c r="A1268" s="3">
        <v>46232</v>
      </c>
      <c r="B1268" t="s">
        <v>1580</v>
      </c>
      <c r="C1268" t="s">
        <v>1792</v>
      </c>
      <c r="D1268" t="s">
        <v>31</v>
      </c>
      <c r="E1268" t="s">
        <v>19</v>
      </c>
      <c r="F1268" t="s">
        <v>20</v>
      </c>
      <c r="G1268" t="s">
        <v>41</v>
      </c>
      <c r="H1268" t="s">
        <v>28</v>
      </c>
      <c r="I1268">
        <v>2997</v>
      </c>
      <c r="J1268">
        <v>2348</v>
      </c>
      <c r="K1268">
        <v>2221</v>
      </c>
      <c r="L1268">
        <v>21</v>
      </c>
      <c r="M1268">
        <v>9</v>
      </c>
      <c r="N1268">
        <v>0</v>
      </c>
      <c r="O1268">
        <v>430.11</v>
      </c>
      <c r="P1268">
        <v>0</v>
      </c>
      <c r="Q1268" s="5">
        <f t="shared" si="152"/>
        <v>0.94591141396933565</v>
      </c>
      <c r="R1268" s="5">
        <f t="shared" si="153"/>
        <v>9.4552003601981096E-3</v>
      </c>
      <c r="S1268" s="5">
        <f t="shared" si="154"/>
        <v>0.42857142857142855</v>
      </c>
      <c r="T1268" s="5">
        <f t="shared" si="155"/>
        <v>0</v>
      </c>
      <c r="U1268" s="5">
        <f t="shared" si="156"/>
        <v>0</v>
      </c>
      <c r="V1268" s="6">
        <f t="shared" si="157"/>
        <v>47.79</v>
      </c>
      <c r="W1268" s="7">
        <f t="shared" si="158"/>
        <v>20.481428571428573</v>
      </c>
      <c r="X1268" s="5">
        <f t="shared" si="159"/>
        <v>-1</v>
      </c>
    </row>
    <row r="1269" spans="1:24" x14ac:dyDescent="0.35">
      <c r="A1269" s="3">
        <v>46232</v>
      </c>
      <c r="B1269" t="s">
        <v>1793</v>
      </c>
      <c r="C1269" t="s">
        <v>1794</v>
      </c>
      <c r="D1269" t="s">
        <v>18</v>
      </c>
      <c r="E1269" t="s">
        <v>19</v>
      </c>
      <c r="F1269" t="s">
        <v>20</v>
      </c>
      <c r="G1269" t="s">
        <v>59</v>
      </c>
      <c r="H1269" t="s">
        <v>37</v>
      </c>
      <c r="I1269">
        <v>4985</v>
      </c>
      <c r="J1269">
        <v>4289</v>
      </c>
      <c r="K1269">
        <v>3960</v>
      </c>
      <c r="L1269">
        <v>12</v>
      </c>
      <c r="M1269">
        <v>7</v>
      </c>
      <c r="N1269">
        <v>0</v>
      </c>
      <c r="O1269">
        <v>533.4</v>
      </c>
      <c r="P1269">
        <v>0</v>
      </c>
      <c r="Q1269" s="5">
        <f t="shared" si="152"/>
        <v>0.92329214269060389</v>
      </c>
      <c r="R1269" s="5">
        <f t="shared" si="153"/>
        <v>3.0303030303030303E-3</v>
      </c>
      <c r="S1269" s="5">
        <f t="shared" si="154"/>
        <v>0.58333333333333337</v>
      </c>
      <c r="T1269" s="5">
        <f t="shared" si="155"/>
        <v>0</v>
      </c>
      <c r="U1269" s="5">
        <f t="shared" si="156"/>
        <v>0</v>
      </c>
      <c r="V1269" s="6">
        <f t="shared" si="157"/>
        <v>76.2</v>
      </c>
      <c r="W1269" s="7">
        <f t="shared" si="158"/>
        <v>44.449999999999996</v>
      </c>
      <c r="X1269" s="5">
        <f t="shared" si="159"/>
        <v>-1</v>
      </c>
    </row>
    <row r="1270" spans="1:24" x14ac:dyDescent="0.35">
      <c r="A1270" s="3">
        <v>46232</v>
      </c>
      <c r="B1270" t="s">
        <v>1643</v>
      </c>
      <c r="C1270" t="s">
        <v>1795</v>
      </c>
      <c r="D1270" t="s">
        <v>34</v>
      </c>
      <c r="E1270" t="s">
        <v>56</v>
      </c>
      <c r="F1270" t="s">
        <v>20</v>
      </c>
      <c r="G1270" t="s">
        <v>21</v>
      </c>
      <c r="H1270" t="s">
        <v>28</v>
      </c>
      <c r="I1270">
        <v>3496</v>
      </c>
      <c r="J1270">
        <v>2953</v>
      </c>
      <c r="K1270">
        <v>2771</v>
      </c>
      <c r="L1270">
        <v>140</v>
      </c>
      <c r="M1270">
        <v>61</v>
      </c>
      <c r="N1270">
        <v>3</v>
      </c>
      <c r="O1270">
        <v>240.35</v>
      </c>
      <c r="P1270">
        <v>2000.45</v>
      </c>
      <c r="Q1270" s="5">
        <f t="shared" si="152"/>
        <v>0.93836776159837454</v>
      </c>
      <c r="R1270" s="5">
        <f t="shared" si="153"/>
        <v>5.0523276795380732E-2</v>
      </c>
      <c r="S1270" s="5">
        <f t="shared" si="154"/>
        <v>0.43571428571428572</v>
      </c>
      <c r="T1270" s="5">
        <f t="shared" si="155"/>
        <v>4.9180327868852458E-2</v>
      </c>
      <c r="U1270" s="5">
        <f t="shared" si="156"/>
        <v>1.0826416456153013E-3</v>
      </c>
      <c r="V1270" s="6">
        <f t="shared" si="157"/>
        <v>3.9401639344262294</v>
      </c>
      <c r="W1270" s="7">
        <f t="shared" si="158"/>
        <v>1.7167857142857141</v>
      </c>
      <c r="X1270" s="5">
        <f t="shared" si="159"/>
        <v>7.3230705221551915</v>
      </c>
    </row>
    <row r="1271" spans="1:24" x14ac:dyDescent="0.35">
      <c r="A1271" s="3">
        <v>46232</v>
      </c>
      <c r="B1271" t="s">
        <v>1634</v>
      </c>
      <c r="C1271" t="s">
        <v>1796</v>
      </c>
      <c r="D1271" t="s">
        <v>18</v>
      </c>
      <c r="E1271" t="s">
        <v>56</v>
      </c>
      <c r="F1271" t="s">
        <v>20</v>
      </c>
      <c r="G1271" t="s">
        <v>59</v>
      </c>
      <c r="H1271" t="s">
        <v>22</v>
      </c>
      <c r="I1271">
        <v>703</v>
      </c>
      <c r="J1271">
        <v>524</v>
      </c>
      <c r="K1271">
        <v>470</v>
      </c>
      <c r="L1271">
        <v>22</v>
      </c>
      <c r="M1271">
        <v>11</v>
      </c>
      <c r="N1271">
        <v>1</v>
      </c>
      <c r="O1271">
        <v>72.83</v>
      </c>
      <c r="P1271">
        <v>967.79</v>
      </c>
      <c r="Q1271" s="5">
        <f t="shared" si="152"/>
        <v>0.89694656488549618</v>
      </c>
      <c r="R1271" s="5">
        <f t="shared" si="153"/>
        <v>4.6808510638297871E-2</v>
      </c>
      <c r="S1271" s="5">
        <f t="shared" si="154"/>
        <v>0.5</v>
      </c>
      <c r="T1271" s="5">
        <f t="shared" si="155"/>
        <v>9.0909090909090912E-2</v>
      </c>
      <c r="U1271" s="5">
        <f t="shared" si="156"/>
        <v>2.1276595744680851E-3</v>
      </c>
      <c r="V1271" s="6">
        <f t="shared" si="157"/>
        <v>6.6209090909090911</v>
      </c>
      <c r="W1271" s="7">
        <f t="shared" si="158"/>
        <v>3.3104545454545455</v>
      </c>
      <c r="X1271" s="5">
        <f t="shared" si="159"/>
        <v>12.288342715913771</v>
      </c>
    </row>
    <row r="1272" spans="1:24" x14ac:dyDescent="0.35">
      <c r="A1272" s="3">
        <v>46233</v>
      </c>
      <c r="B1272" t="s">
        <v>1636</v>
      </c>
      <c r="C1272" t="s">
        <v>1797</v>
      </c>
      <c r="D1272" t="s">
        <v>34</v>
      </c>
      <c r="E1272" t="s">
        <v>19</v>
      </c>
      <c r="F1272" t="s">
        <v>26</v>
      </c>
      <c r="G1272" t="s">
        <v>21</v>
      </c>
      <c r="H1272" t="s">
        <v>51</v>
      </c>
      <c r="I1272">
        <v>1591</v>
      </c>
      <c r="J1272">
        <v>1465</v>
      </c>
      <c r="K1272">
        <v>1348</v>
      </c>
      <c r="L1272">
        <v>22</v>
      </c>
      <c r="M1272">
        <v>12</v>
      </c>
      <c r="N1272">
        <v>0</v>
      </c>
      <c r="O1272">
        <v>130.25</v>
      </c>
      <c r="P1272">
        <v>0</v>
      </c>
      <c r="Q1272" s="5">
        <f t="shared" si="152"/>
        <v>0.92013651877133107</v>
      </c>
      <c r="R1272" s="5">
        <f t="shared" si="153"/>
        <v>1.6320474777448073E-2</v>
      </c>
      <c r="S1272" s="5">
        <f t="shared" si="154"/>
        <v>0.54545454545454541</v>
      </c>
      <c r="T1272" s="5">
        <f t="shared" si="155"/>
        <v>0</v>
      </c>
      <c r="U1272" s="5">
        <f t="shared" si="156"/>
        <v>0</v>
      </c>
      <c r="V1272" s="6">
        <f t="shared" si="157"/>
        <v>10.854166666666666</v>
      </c>
      <c r="W1272" s="7">
        <f t="shared" si="158"/>
        <v>5.9204545454545459</v>
      </c>
      <c r="X1272" s="5">
        <f t="shared" si="159"/>
        <v>-1</v>
      </c>
    </row>
    <row r="1273" spans="1:24" x14ac:dyDescent="0.35">
      <c r="A1273" s="3">
        <v>46233</v>
      </c>
      <c r="B1273" t="s">
        <v>1687</v>
      </c>
      <c r="C1273" t="s">
        <v>1798</v>
      </c>
      <c r="D1273" t="s">
        <v>34</v>
      </c>
      <c r="E1273" t="s">
        <v>19</v>
      </c>
      <c r="F1273" t="s">
        <v>20</v>
      </c>
      <c r="G1273" t="s">
        <v>59</v>
      </c>
      <c r="H1273" t="s">
        <v>51</v>
      </c>
      <c r="I1273">
        <v>3534</v>
      </c>
      <c r="J1273">
        <v>3012</v>
      </c>
      <c r="K1273">
        <v>2845</v>
      </c>
      <c r="L1273">
        <v>62</v>
      </c>
      <c r="M1273">
        <v>33</v>
      </c>
      <c r="N1273">
        <v>0</v>
      </c>
      <c r="O1273">
        <v>283.8</v>
      </c>
      <c r="P1273">
        <v>0</v>
      </c>
      <c r="Q1273" s="5">
        <f t="shared" si="152"/>
        <v>0.94455511288180616</v>
      </c>
      <c r="R1273" s="5">
        <f t="shared" si="153"/>
        <v>2.179261862917399E-2</v>
      </c>
      <c r="S1273" s="5">
        <f t="shared" si="154"/>
        <v>0.532258064516129</v>
      </c>
      <c r="T1273" s="5">
        <f t="shared" si="155"/>
        <v>0</v>
      </c>
      <c r="U1273" s="5">
        <f t="shared" si="156"/>
        <v>0</v>
      </c>
      <c r="V1273" s="6">
        <f t="shared" si="157"/>
        <v>8.6</v>
      </c>
      <c r="W1273" s="7">
        <f t="shared" si="158"/>
        <v>4.5774193548387094</v>
      </c>
      <c r="X1273" s="5">
        <f t="shared" si="159"/>
        <v>-1</v>
      </c>
    </row>
    <row r="1274" spans="1:24" x14ac:dyDescent="0.35">
      <c r="A1274" s="3">
        <v>46233</v>
      </c>
      <c r="B1274" t="s">
        <v>1799</v>
      </c>
      <c r="C1274" t="s">
        <v>1800</v>
      </c>
      <c r="D1274" t="s">
        <v>31</v>
      </c>
      <c r="E1274" t="s">
        <v>35</v>
      </c>
      <c r="F1274" t="s">
        <v>20</v>
      </c>
      <c r="G1274" t="s">
        <v>36</v>
      </c>
      <c r="H1274" t="s">
        <v>22</v>
      </c>
      <c r="I1274">
        <v>886</v>
      </c>
      <c r="J1274">
        <v>843</v>
      </c>
      <c r="K1274">
        <v>833</v>
      </c>
      <c r="L1274">
        <v>31</v>
      </c>
      <c r="M1274">
        <v>12</v>
      </c>
      <c r="N1274">
        <v>1</v>
      </c>
      <c r="O1274">
        <v>133.74</v>
      </c>
      <c r="P1274">
        <v>1589.54</v>
      </c>
      <c r="Q1274" s="5">
        <f t="shared" si="152"/>
        <v>0.98813760379596682</v>
      </c>
      <c r="R1274" s="5">
        <f t="shared" si="153"/>
        <v>3.721488595438175E-2</v>
      </c>
      <c r="S1274" s="5">
        <f t="shared" si="154"/>
        <v>0.38709677419354838</v>
      </c>
      <c r="T1274" s="5">
        <f t="shared" si="155"/>
        <v>8.3333333333333329E-2</v>
      </c>
      <c r="U1274" s="5">
        <f t="shared" si="156"/>
        <v>1.2004801920768306E-3</v>
      </c>
      <c r="V1274" s="6">
        <f t="shared" si="157"/>
        <v>11.145000000000001</v>
      </c>
      <c r="W1274" s="7">
        <f t="shared" si="158"/>
        <v>4.314193548387097</v>
      </c>
      <c r="X1274" s="5">
        <f t="shared" si="159"/>
        <v>10.885299835501719</v>
      </c>
    </row>
    <row r="1275" spans="1:24" x14ac:dyDescent="0.35">
      <c r="A1275" s="3">
        <v>46233</v>
      </c>
      <c r="B1275" t="s">
        <v>1606</v>
      </c>
      <c r="C1275" t="s">
        <v>1801</v>
      </c>
      <c r="D1275" t="s">
        <v>34</v>
      </c>
      <c r="E1275" t="s">
        <v>25</v>
      </c>
      <c r="F1275" t="s">
        <v>20</v>
      </c>
      <c r="G1275" t="s">
        <v>41</v>
      </c>
      <c r="H1275" t="s">
        <v>48</v>
      </c>
      <c r="I1275">
        <v>2186</v>
      </c>
      <c r="J1275">
        <v>2142</v>
      </c>
      <c r="K1275">
        <v>2008</v>
      </c>
      <c r="L1275">
        <v>59</v>
      </c>
      <c r="M1275">
        <v>31</v>
      </c>
      <c r="N1275">
        <v>1</v>
      </c>
      <c r="O1275">
        <v>195.03</v>
      </c>
      <c r="P1275">
        <v>1353.52</v>
      </c>
      <c r="Q1275" s="5">
        <f t="shared" si="152"/>
        <v>0.93744164332399627</v>
      </c>
      <c r="R1275" s="5">
        <f t="shared" si="153"/>
        <v>2.9382470119521914E-2</v>
      </c>
      <c r="S1275" s="5">
        <f t="shared" si="154"/>
        <v>0.52542372881355937</v>
      </c>
      <c r="T1275" s="5">
        <f t="shared" si="155"/>
        <v>3.2258064516129031E-2</v>
      </c>
      <c r="U1275" s="5">
        <f t="shared" si="156"/>
        <v>4.9800796812749003E-4</v>
      </c>
      <c r="V1275" s="6">
        <f t="shared" si="157"/>
        <v>6.2912903225806449</v>
      </c>
      <c r="W1275" s="7">
        <f t="shared" si="158"/>
        <v>3.3055932203389831</v>
      </c>
      <c r="X1275" s="5">
        <f t="shared" si="159"/>
        <v>5.9400605035122798</v>
      </c>
    </row>
    <row r="1276" spans="1:24" x14ac:dyDescent="0.35">
      <c r="A1276" s="3">
        <v>46233</v>
      </c>
      <c r="B1276" t="s">
        <v>1736</v>
      </c>
      <c r="C1276" t="s">
        <v>1802</v>
      </c>
      <c r="D1276" t="s">
        <v>34</v>
      </c>
      <c r="E1276" t="s">
        <v>35</v>
      </c>
      <c r="F1276" t="s">
        <v>20</v>
      </c>
      <c r="G1276" t="s">
        <v>59</v>
      </c>
      <c r="H1276" t="s">
        <v>51</v>
      </c>
      <c r="I1276">
        <v>2530</v>
      </c>
      <c r="J1276">
        <v>1942</v>
      </c>
      <c r="K1276">
        <v>1803</v>
      </c>
      <c r="L1276">
        <v>114</v>
      </c>
      <c r="M1276">
        <v>57</v>
      </c>
      <c r="N1276">
        <v>5</v>
      </c>
      <c r="O1276">
        <v>166.49</v>
      </c>
      <c r="P1276">
        <v>4665.45</v>
      </c>
      <c r="Q1276" s="5">
        <f t="shared" si="152"/>
        <v>0.92842430484037075</v>
      </c>
      <c r="R1276" s="5">
        <f t="shared" si="153"/>
        <v>6.3227953410981697E-2</v>
      </c>
      <c r="S1276" s="5">
        <f t="shared" si="154"/>
        <v>0.5</v>
      </c>
      <c r="T1276" s="5">
        <f t="shared" si="155"/>
        <v>8.771929824561403E-2</v>
      </c>
      <c r="U1276" s="5">
        <f t="shared" si="156"/>
        <v>2.7731558513588465E-3</v>
      </c>
      <c r="V1276" s="6">
        <f t="shared" si="157"/>
        <v>2.9208771929824562</v>
      </c>
      <c r="W1276" s="7">
        <f t="shared" si="158"/>
        <v>1.4604385964912281</v>
      </c>
      <c r="X1276" s="5">
        <f t="shared" si="159"/>
        <v>27.022403747972849</v>
      </c>
    </row>
    <row r="1277" spans="1:24" x14ac:dyDescent="0.35">
      <c r="A1277" s="3">
        <v>46233</v>
      </c>
      <c r="B1277" t="s">
        <v>1803</v>
      </c>
      <c r="C1277" t="s">
        <v>1804</v>
      </c>
      <c r="D1277" t="s">
        <v>18</v>
      </c>
      <c r="E1277" t="s">
        <v>25</v>
      </c>
      <c r="F1277" t="s">
        <v>20</v>
      </c>
      <c r="G1277" t="s">
        <v>36</v>
      </c>
      <c r="H1277" t="s">
        <v>37</v>
      </c>
      <c r="I1277">
        <v>2955</v>
      </c>
      <c r="J1277">
        <v>2398</v>
      </c>
      <c r="K1277">
        <v>2182</v>
      </c>
      <c r="L1277">
        <v>71</v>
      </c>
      <c r="M1277">
        <v>37</v>
      </c>
      <c r="N1277">
        <v>1</v>
      </c>
      <c r="O1277">
        <v>286.95999999999998</v>
      </c>
      <c r="P1277">
        <v>1262</v>
      </c>
      <c r="Q1277" s="5">
        <f t="shared" si="152"/>
        <v>0.90992493744787317</v>
      </c>
      <c r="R1277" s="5">
        <f t="shared" si="153"/>
        <v>3.2538955087076077E-2</v>
      </c>
      <c r="S1277" s="5">
        <f t="shared" si="154"/>
        <v>0.52112676056338025</v>
      </c>
      <c r="T1277" s="5">
        <f t="shared" si="155"/>
        <v>2.7027027027027029E-2</v>
      </c>
      <c r="U1277" s="5">
        <f t="shared" si="156"/>
        <v>4.5829514207149406E-4</v>
      </c>
      <c r="V1277" s="6">
        <f t="shared" si="157"/>
        <v>7.7556756756756755</v>
      </c>
      <c r="W1277" s="7">
        <f t="shared" si="158"/>
        <v>4.0416901408450698</v>
      </c>
      <c r="X1277" s="5">
        <f t="shared" si="159"/>
        <v>3.3978254809032618</v>
      </c>
    </row>
    <row r="1278" spans="1:24" x14ac:dyDescent="0.35">
      <c r="A1278" s="3">
        <v>46234</v>
      </c>
      <c r="B1278" t="s">
        <v>1636</v>
      </c>
      <c r="C1278" t="s">
        <v>1805</v>
      </c>
      <c r="D1278" t="s">
        <v>18</v>
      </c>
      <c r="E1278" t="s">
        <v>56</v>
      </c>
      <c r="F1278" t="s">
        <v>20</v>
      </c>
      <c r="G1278" t="s">
        <v>27</v>
      </c>
      <c r="H1278" t="s">
        <v>28</v>
      </c>
      <c r="I1278">
        <v>607</v>
      </c>
      <c r="J1278">
        <v>544</v>
      </c>
      <c r="K1278">
        <v>510</v>
      </c>
      <c r="L1278">
        <v>31</v>
      </c>
      <c r="M1278">
        <v>16</v>
      </c>
      <c r="N1278">
        <v>1</v>
      </c>
      <c r="O1278">
        <v>59.42</v>
      </c>
      <c r="P1278">
        <v>1390.42</v>
      </c>
      <c r="Q1278" s="5">
        <f t="shared" si="152"/>
        <v>0.9375</v>
      </c>
      <c r="R1278" s="5">
        <f t="shared" si="153"/>
        <v>6.0784313725490195E-2</v>
      </c>
      <c r="S1278" s="5">
        <f t="shared" si="154"/>
        <v>0.5161290322580645</v>
      </c>
      <c r="T1278" s="5">
        <f t="shared" si="155"/>
        <v>6.25E-2</v>
      </c>
      <c r="U1278" s="5">
        <f t="shared" si="156"/>
        <v>1.9607843137254902E-3</v>
      </c>
      <c r="V1278" s="6">
        <f t="shared" si="157"/>
        <v>3.7137500000000001</v>
      </c>
      <c r="W1278" s="7">
        <f t="shared" si="158"/>
        <v>1.9167741935483871</v>
      </c>
      <c r="X1278" s="5">
        <f t="shared" si="159"/>
        <v>22.399865365196902</v>
      </c>
    </row>
    <row r="1279" spans="1:24" x14ac:dyDescent="0.35">
      <c r="A1279" s="3">
        <v>46234</v>
      </c>
      <c r="B1279" t="s">
        <v>1636</v>
      </c>
      <c r="C1279" t="s">
        <v>1806</v>
      </c>
      <c r="D1279" t="s">
        <v>18</v>
      </c>
      <c r="E1279" t="s">
        <v>25</v>
      </c>
      <c r="F1279" t="s">
        <v>20</v>
      </c>
      <c r="G1279" t="s">
        <v>36</v>
      </c>
      <c r="H1279" t="s">
        <v>37</v>
      </c>
      <c r="I1279">
        <v>2523</v>
      </c>
      <c r="J1279">
        <v>2282</v>
      </c>
      <c r="K1279">
        <v>2052</v>
      </c>
      <c r="L1279">
        <v>87</v>
      </c>
      <c r="M1279">
        <v>38</v>
      </c>
      <c r="N1279">
        <v>2</v>
      </c>
      <c r="O1279">
        <v>262.20999999999998</v>
      </c>
      <c r="P1279">
        <v>2174.33</v>
      </c>
      <c r="Q1279" s="5">
        <f t="shared" si="152"/>
        <v>0.89921121822962313</v>
      </c>
      <c r="R1279" s="5">
        <f t="shared" si="153"/>
        <v>4.2397660818713448E-2</v>
      </c>
      <c r="S1279" s="5">
        <f t="shared" si="154"/>
        <v>0.43678160919540232</v>
      </c>
      <c r="T1279" s="5">
        <f t="shared" si="155"/>
        <v>5.2631578947368418E-2</v>
      </c>
      <c r="U1279" s="5">
        <f t="shared" si="156"/>
        <v>9.7465886939571145E-4</v>
      </c>
      <c r="V1279" s="6">
        <f t="shared" si="157"/>
        <v>6.9002631578947362</v>
      </c>
      <c r="W1279" s="7">
        <f t="shared" si="158"/>
        <v>3.0139080459770113</v>
      </c>
      <c r="X1279" s="5">
        <f t="shared" si="159"/>
        <v>7.2923229472560163</v>
      </c>
    </row>
    <row r="1280" spans="1:24" x14ac:dyDescent="0.35">
      <c r="A1280" s="3">
        <v>46234</v>
      </c>
      <c r="B1280" t="s">
        <v>1636</v>
      </c>
      <c r="C1280" t="s">
        <v>1807</v>
      </c>
      <c r="D1280" t="s">
        <v>34</v>
      </c>
      <c r="E1280" t="s">
        <v>19</v>
      </c>
      <c r="F1280" t="s">
        <v>20</v>
      </c>
      <c r="G1280" t="s">
        <v>59</v>
      </c>
      <c r="H1280" t="s">
        <v>28</v>
      </c>
      <c r="I1280">
        <v>4277</v>
      </c>
      <c r="J1280">
        <v>3267</v>
      </c>
      <c r="K1280">
        <v>3101</v>
      </c>
      <c r="L1280">
        <v>87</v>
      </c>
      <c r="M1280">
        <v>32</v>
      </c>
      <c r="N1280">
        <v>0</v>
      </c>
      <c r="O1280">
        <v>263.14</v>
      </c>
      <c r="P1280">
        <v>0</v>
      </c>
      <c r="Q1280" s="5">
        <f t="shared" si="152"/>
        <v>0.9491888582797674</v>
      </c>
      <c r="R1280" s="5">
        <f t="shared" si="153"/>
        <v>2.8055465978716543E-2</v>
      </c>
      <c r="S1280" s="5">
        <f t="shared" si="154"/>
        <v>0.36781609195402298</v>
      </c>
      <c r="T1280" s="5">
        <f t="shared" si="155"/>
        <v>0</v>
      </c>
      <c r="U1280" s="5">
        <f t="shared" si="156"/>
        <v>0</v>
      </c>
      <c r="V1280" s="6">
        <f t="shared" si="157"/>
        <v>8.2231249999999996</v>
      </c>
      <c r="W1280" s="7">
        <f t="shared" si="158"/>
        <v>3.0245977011494252</v>
      </c>
      <c r="X1280" s="5">
        <f t="shared" si="159"/>
        <v>-1</v>
      </c>
    </row>
    <row r="1281" spans="1:24" x14ac:dyDescent="0.35">
      <c r="A1281" s="3">
        <v>46234</v>
      </c>
      <c r="B1281" t="s">
        <v>1758</v>
      </c>
      <c r="C1281" t="s">
        <v>1808</v>
      </c>
      <c r="D1281" t="s">
        <v>18</v>
      </c>
      <c r="E1281" t="s">
        <v>25</v>
      </c>
      <c r="F1281" t="s">
        <v>26</v>
      </c>
      <c r="G1281" t="s">
        <v>21</v>
      </c>
      <c r="H1281" t="s">
        <v>48</v>
      </c>
      <c r="I1281">
        <v>1539</v>
      </c>
      <c r="J1281">
        <v>1386</v>
      </c>
      <c r="K1281">
        <v>1240</v>
      </c>
      <c r="L1281">
        <v>78</v>
      </c>
      <c r="M1281">
        <v>48</v>
      </c>
      <c r="N1281">
        <v>1</v>
      </c>
      <c r="O1281">
        <v>159.27000000000001</v>
      </c>
      <c r="P1281">
        <v>1552.99</v>
      </c>
      <c r="Q1281" s="5">
        <f t="shared" si="152"/>
        <v>0.89466089466089471</v>
      </c>
      <c r="R1281" s="5">
        <f t="shared" si="153"/>
        <v>6.2903225806451607E-2</v>
      </c>
      <c r="S1281" s="5">
        <f t="shared" si="154"/>
        <v>0.61538461538461542</v>
      </c>
      <c r="T1281" s="5">
        <f t="shared" si="155"/>
        <v>2.0833333333333332E-2</v>
      </c>
      <c r="U1281" s="5">
        <f t="shared" si="156"/>
        <v>8.0645161290322581E-4</v>
      </c>
      <c r="V1281" s="6">
        <f t="shared" si="157"/>
        <v>3.3181250000000002</v>
      </c>
      <c r="W1281" s="7">
        <f t="shared" si="158"/>
        <v>2.041923076923077</v>
      </c>
      <c r="X1281" s="5">
        <f t="shared" si="159"/>
        <v>8.7506749544798144</v>
      </c>
    </row>
    <row r="1282" spans="1:24" x14ac:dyDescent="0.35">
      <c r="A1282" s="3">
        <v>46234</v>
      </c>
      <c r="B1282" t="s">
        <v>1758</v>
      </c>
      <c r="C1282" t="s">
        <v>1809</v>
      </c>
      <c r="D1282" t="s">
        <v>31</v>
      </c>
      <c r="E1282" t="s">
        <v>56</v>
      </c>
      <c r="F1282" t="s">
        <v>26</v>
      </c>
      <c r="G1282" t="s">
        <v>59</v>
      </c>
      <c r="H1282" t="s">
        <v>28</v>
      </c>
      <c r="I1282">
        <v>4319</v>
      </c>
      <c r="J1282">
        <v>3579</v>
      </c>
      <c r="K1282">
        <v>3480</v>
      </c>
      <c r="L1282">
        <v>164</v>
      </c>
      <c r="M1282">
        <v>74</v>
      </c>
      <c r="N1282">
        <v>5</v>
      </c>
      <c r="O1282">
        <v>680.88</v>
      </c>
      <c r="P1282">
        <v>7364.44</v>
      </c>
      <c r="Q1282" s="5">
        <f t="shared" si="152"/>
        <v>0.97233864207879295</v>
      </c>
      <c r="R1282" s="5">
        <f t="shared" si="153"/>
        <v>4.7126436781609195E-2</v>
      </c>
      <c r="S1282" s="5">
        <f t="shared" si="154"/>
        <v>0.45121951219512196</v>
      </c>
      <c r="T1282" s="5">
        <f t="shared" si="155"/>
        <v>6.7567567567567571E-2</v>
      </c>
      <c r="U1282" s="5">
        <f t="shared" si="156"/>
        <v>1.4367816091954023E-3</v>
      </c>
      <c r="V1282" s="6">
        <f t="shared" si="157"/>
        <v>9.2010810810810817</v>
      </c>
      <c r="W1282" s="7">
        <f t="shared" si="158"/>
        <v>4.1517073170731704</v>
      </c>
      <c r="X1282" s="5">
        <f t="shared" si="159"/>
        <v>9.816061567383386</v>
      </c>
    </row>
    <row r="1283" spans="1:24" x14ac:dyDescent="0.35">
      <c r="A1283" s="3">
        <v>46234</v>
      </c>
      <c r="B1283" t="s">
        <v>1709</v>
      </c>
      <c r="C1283" t="s">
        <v>1810</v>
      </c>
      <c r="D1283" t="s">
        <v>34</v>
      </c>
      <c r="E1283" t="s">
        <v>19</v>
      </c>
      <c r="F1283" t="s">
        <v>20</v>
      </c>
      <c r="G1283" t="s">
        <v>59</v>
      </c>
      <c r="H1283" t="s">
        <v>22</v>
      </c>
      <c r="I1283">
        <v>3767</v>
      </c>
      <c r="J1283">
        <v>2928</v>
      </c>
      <c r="K1283">
        <v>2782</v>
      </c>
      <c r="L1283">
        <v>59</v>
      </c>
      <c r="M1283">
        <v>25</v>
      </c>
      <c r="N1283">
        <v>0</v>
      </c>
      <c r="O1283">
        <v>218.71</v>
      </c>
      <c r="P1283">
        <v>0</v>
      </c>
      <c r="Q1283" s="5">
        <f t="shared" ref="Q1283:Q1346" si="160">K1283/J1283</f>
        <v>0.95013661202185795</v>
      </c>
      <c r="R1283" s="5">
        <f t="shared" ref="R1283:R1346" si="161">L1283/K1283</f>
        <v>2.1207764198418404E-2</v>
      </c>
      <c r="S1283" s="5">
        <f t="shared" ref="S1283:S1346" si="162">M1283/L1283</f>
        <v>0.42372881355932202</v>
      </c>
      <c r="T1283" s="5">
        <f t="shared" ref="T1283:T1346" si="163">N1283/M1283</f>
        <v>0</v>
      </c>
      <c r="U1283" s="5">
        <f t="shared" ref="U1283:U1346" si="164">N1283/K1283</f>
        <v>0</v>
      </c>
      <c r="V1283" s="6">
        <f t="shared" ref="V1283:V1346" si="165">O1283/M1283</f>
        <v>8.7484000000000002</v>
      </c>
      <c r="W1283" s="7">
        <f t="shared" ref="W1283:W1346" si="166">O1283/L1283</f>
        <v>3.7069491525423732</v>
      </c>
      <c r="X1283" s="5">
        <f t="shared" ref="X1283:X1346" si="167">(P1283-O1283)/O1283</f>
        <v>-1</v>
      </c>
    </row>
    <row r="1284" spans="1:24" x14ac:dyDescent="0.35">
      <c r="A1284" s="3">
        <v>46234</v>
      </c>
      <c r="B1284" t="s">
        <v>1593</v>
      </c>
      <c r="C1284" t="s">
        <v>1811</v>
      </c>
      <c r="D1284" t="s">
        <v>34</v>
      </c>
      <c r="E1284" t="s">
        <v>25</v>
      </c>
      <c r="F1284" t="s">
        <v>26</v>
      </c>
      <c r="G1284" t="s">
        <v>21</v>
      </c>
      <c r="H1284" t="s">
        <v>22</v>
      </c>
      <c r="I1284">
        <v>4988</v>
      </c>
      <c r="J1284">
        <v>4690</v>
      </c>
      <c r="K1284">
        <v>4446</v>
      </c>
      <c r="L1284">
        <v>225</v>
      </c>
      <c r="M1284">
        <v>136</v>
      </c>
      <c r="N1284">
        <v>9</v>
      </c>
      <c r="O1284">
        <v>342.24</v>
      </c>
      <c r="P1284">
        <v>8679.83</v>
      </c>
      <c r="Q1284" s="5">
        <f t="shared" si="160"/>
        <v>0.94797441364605539</v>
      </c>
      <c r="R1284" s="5">
        <f t="shared" si="161"/>
        <v>5.0607287449392711E-2</v>
      </c>
      <c r="S1284" s="5">
        <f t="shared" si="162"/>
        <v>0.60444444444444445</v>
      </c>
      <c r="T1284" s="5">
        <f t="shared" si="163"/>
        <v>6.6176470588235295E-2</v>
      </c>
      <c r="U1284" s="5">
        <f t="shared" si="164"/>
        <v>2.0242914979757085E-3</v>
      </c>
      <c r="V1284" s="6">
        <f t="shared" si="165"/>
        <v>2.5164705882352942</v>
      </c>
      <c r="W1284" s="7">
        <f t="shared" si="166"/>
        <v>1.5210666666666668</v>
      </c>
      <c r="X1284" s="5">
        <f t="shared" si="167"/>
        <v>24.361822113136981</v>
      </c>
    </row>
    <row r="1285" spans="1:24" x14ac:dyDescent="0.35">
      <c r="A1285" s="3">
        <v>46234</v>
      </c>
      <c r="B1285" t="s">
        <v>1606</v>
      </c>
      <c r="C1285" t="s">
        <v>1812</v>
      </c>
      <c r="D1285" t="s">
        <v>18</v>
      </c>
      <c r="E1285" t="s">
        <v>35</v>
      </c>
      <c r="F1285" t="s">
        <v>20</v>
      </c>
      <c r="G1285" t="s">
        <v>59</v>
      </c>
      <c r="H1285" t="s">
        <v>51</v>
      </c>
      <c r="I1285">
        <v>1997</v>
      </c>
      <c r="J1285">
        <v>1711</v>
      </c>
      <c r="K1285">
        <v>1549</v>
      </c>
      <c r="L1285">
        <v>137</v>
      </c>
      <c r="M1285">
        <v>67</v>
      </c>
      <c r="N1285">
        <v>4</v>
      </c>
      <c r="O1285">
        <v>227.89</v>
      </c>
      <c r="P1285">
        <v>5951.01</v>
      </c>
      <c r="Q1285" s="5">
        <f t="shared" si="160"/>
        <v>0.90531852717708938</v>
      </c>
      <c r="R1285" s="5">
        <f t="shared" si="161"/>
        <v>8.8444157520981281E-2</v>
      </c>
      <c r="S1285" s="5">
        <f t="shared" si="162"/>
        <v>0.48905109489051096</v>
      </c>
      <c r="T1285" s="5">
        <f t="shared" si="163"/>
        <v>5.9701492537313432E-2</v>
      </c>
      <c r="U1285" s="5">
        <f t="shared" si="164"/>
        <v>2.5823111684958036E-3</v>
      </c>
      <c r="V1285" s="6">
        <f t="shared" si="165"/>
        <v>3.4013432835820891</v>
      </c>
      <c r="W1285" s="7">
        <f t="shared" si="166"/>
        <v>1.6634306569343065</v>
      </c>
      <c r="X1285" s="5">
        <f t="shared" si="167"/>
        <v>25.113519680547633</v>
      </c>
    </row>
    <row r="1286" spans="1:24" x14ac:dyDescent="0.35">
      <c r="A1286" s="3">
        <v>46234</v>
      </c>
      <c r="B1286" t="s">
        <v>1732</v>
      </c>
      <c r="C1286" t="s">
        <v>1813</v>
      </c>
      <c r="D1286" t="s">
        <v>31</v>
      </c>
      <c r="E1286" t="s">
        <v>56</v>
      </c>
      <c r="F1286" t="s">
        <v>20</v>
      </c>
      <c r="G1286" t="s">
        <v>59</v>
      </c>
      <c r="H1286" t="s">
        <v>28</v>
      </c>
      <c r="I1286">
        <v>3390</v>
      </c>
      <c r="J1286">
        <v>2490</v>
      </c>
      <c r="K1286">
        <v>2377</v>
      </c>
      <c r="L1286">
        <v>93</v>
      </c>
      <c r="M1286">
        <v>34</v>
      </c>
      <c r="N1286">
        <v>2</v>
      </c>
      <c r="O1286">
        <v>494.34</v>
      </c>
      <c r="P1286">
        <v>1810.76</v>
      </c>
      <c r="Q1286" s="5">
        <f t="shared" si="160"/>
        <v>0.9546184738955823</v>
      </c>
      <c r="R1286" s="5">
        <f t="shared" si="161"/>
        <v>3.9124947412705093E-2</v>
      </c>
      <c r="S1286" s="5">
        <f t="shared" si="162"/>
        <v>0.36559139784946237</v>
      </c>
      <c r="T1286" s="5">
        <f t="shared" si="163"/>
        <v>5.8823529411764705E-2</v>
      </c>
      <c r="U1286" s="5">
        <f t="shared" si="164"/>
        <v>8.4139671855279767E-4</v>
      </c>
      <c r="V1286" s="6">
        <f t="shared" si="165"/>
        <v>14.539411764705882</v>
      </c>
      <c r="W1286" s="7">
        <f t="shared" si="166"/>
        <v>5.3154838709677419</v>
      </c>
      <c r="X1286" s="5">
        <f t="shared" si="167"/>
        <v>2.6629849900877942</v>
      </c>
    </row>
    <row r="1287" spans="1:24" x14ac:dyDescent="0.35">
      <c r="A1287" s="3">
        <v>46234</v>
      </c>
      <c r="B1287" t="s">
        <v>1751</v>
      </c>
      <c r="C1287" t="s">
        <v>1814</v>
      </c>
      <c r="D1287" t="s">
        <v>31</v>
      </c>
      <c r="E1287" t="s">
        <v>56</v>
      </c>
      <c r="F1287" t="s">
        <v>20</v>
      </c>
      <c r="G1287" t="s">
        <v>27</v>
      </c>
      <c r="H1287" t="s">
        <v>28</v>
      </c>
      <c r="I1287">
        <v>2942</v>
      </c>
      <c r="J1287">
        <v>2499</v>
      </c>
      <c r="K1287">
        <v>2432</v>
      </c>
      <c r="L1287">
        <v>57</v>
      </c>
      <c r="M1287">
        <v>23</v>
      </c>
      <c r="N1287">
        <v>1</v>
      </c>
      <c r="O1287">
        <v>494.45</v>
      </c>
      <c r="P1287">
        <v>1323.58</v>
      </c>
      <c r="Q1287" s="5">
        <f t="shared" si="160"/>
        <v>0.97318927571028413</v>
      </c>
      <c r="R1287" s="5">
        <f t="shared" si="161"/>
        <v>2.34375E-2</v>
      </c>
      <c r="S1287" s="5">
        <f t="shared" si="162"/>
        <v>0.40350877192982454</v>
      </c>
      <c r="T1287" s="5">
        <f t="shared" si="163"/>
        <v>4.3478260869565216E-2</v>
      </c>
      <c r="U1287" s="5">
        <f t="shared" si="164"/>
        <v>4.1118421052631577E-4</v>
      </c>
      <c r="V1287" s="6">
        <f t="shared" si="165"/>
        <v>21.497826086956522</v>
      </c>
      <c r="W1287" s="7">
        <f t="shared" si="166"/>
        <v>8.6745614035087719</v>
      </c>
      <c r="X1287" s="5">
        <f t="shared" si="167"/>
        <v>1.6768732935584991</v>
      </c>
    </row>
    <row r="1288" spans="1:24" x14ac:dyDescent="0.35">
      <c r="A1288" s="3">
        <v>46234</v>
      </c>
      <c r="B1288" t="s">
        <v>1700</v>
      </c>
      <c r="C1288" t="s">
        <v>1815</v>
      </c>
      <c r="D1288" t="s">
        <v>18</v>
      </c>
      <c r="E1288" t="s">
        <v>25</v>
      </c>
      <c r="F1288" t="s">
        <v>20</v>
      </c>
      <c r="G1288" t="s">
        <v>21</v>
      </c>
      <c r="H1288" t="s">
        <v>51</v>
      </c>
      <c r="I1288">
        <v>2606</v>
      </c>
      <c r="J1288">
        <v>2058</v>
      </c>
      <c r="K1288">
        <v>1912</v>
      </c>
      <c r="L1288">
        <v>90</v>
      </c>
      <c r="M1288">
        <v>45</v>
      </c>
      <c r="N1288">
        <v>1</v>
      </c>
      <c r="O1288">
        <v>282.8</v>
      </c>
      <c r="P1288">
        <v>1041.67</v>
      </c>
      <c r="Q1288" s="5">
        <f t="shared" si="160"/>
        <v>0.92905733722060257</v>
      </c>
      <c r="R1288" s="5">
        <f t="shared" si="161"/>
        <v>4.7071129707112969E-2</v>
      </c>
      <c r="S1288" s="5">
        <f t="shared" si="162"/>
        <v>0.5</v>
      </c>
      <c r="T1288" s="5">
        <f t="shared" si="163"/>
        <v>2.2222222222222223E-2</v>
      </c>
      <c r="U1288" s="5">
        <f t="shared" si="164"/>
        <v>5.2301255230125519E-4</v>
      </c>
      <c r="V1288" s="6">
        <f t="shared" si="165"/>
        <v>6.2844444444444445</v>
      </c>
      <c r="W1288" s="7">
        <f t="shared" si="166"/>
        <v>3.1422222222222222</v>
      </c>
      <c r="X1288" s="5">
        <f t="shared" si="167"/>
        <v>2.6834158415841589</v>
      </c>
    </row>
    <row r="1289" spans="1:24" x14ac:dyDescent="0.35">
      <c r="A1289" s="3">
        <v>46235</v>
      </c>
      <c r="B1289" t="s">
        <v>1816</v>
      </c>
      <c r="C1289" t="s">
        <v>1817</v>
      </c>
      <c r="D1289" t="s">
        <v>34</v>
      </c>
      <c r="E1289" t="s">
        <v>35</v>
      </c>
      <c r="F1289" t="s">
        <v>20</v>
      </c>
      <c r="G1289" t="s">
        <v>36</v>
      </c>
      <c r="H1289" t="s">
        <v>48</v>
      </c>
      <c r="I1289">
        <v>1524</v>
      </c>
      <c r="J1289">
        <v>1498</v>
      </c>
      <c r="K1289">
        <v>1375</v>
      </c>
      <c r="L1289">
        <v>100</v>
      </c>
      <c r="M1289">
        <v>43</v>
      </c>
      <c r="N1289">
        <v>3</v>
      </c>
      <c r="O1289">
        <v>102.8</v>
      </c>
      <c r="P1289">
        <v>4625.1000000000004</v>
      </c>
      <c r="Q1289" s="5">
        <f t="shared" si="160"/>
        <v>0.91789052069425903</v>
      </c>
      <c r="R1289" s="5">
        <f t="shared" si="161"/>
        <v>7.2727272727272724E-2</v>
      </c>
      <c r="S1289" s="5">
        <f t="shared" si="162"/>
        <v>0.43</v>
      </c>
      <c r="T1289" s="5">
        <f t="shared" si="163"/>
        <v>6.9767441860465115E-2</v>
      </c>
      <c r="U1289" s="5">
        <f t="shared" si="164"/>
        <v>2.1818181818181819E-3</v>
      </c>
      <c r="V1289" s="6">
        <f t="shared" si="165"/>
        <v>2.3906976744186044</v>
      </c>
      <c r="W1289" s="7">
        <f t="shared" si="166"/>
        <v>1.028</v>
      </c>
      <c r="X1289" s="5">
        <f t="shared" si="167"/>
        <v>43.991245136186777</v>
      </c>
    </row>
    <row r="1290" spans="1:24" x14ac:dyDescent="0.35">
      <c r="A1290" s="3">
        <v>46235</v>
      </c>
      <c r="B1290" t="s">
        <v>1818</v>
      </c>
      <c r="C1290" t="s">
        <v>1819</v>
      </c>
      <c r="D1290" t="s">
        <v>40</v>
      </c>
      <c r="E1290" t="s">
        <v>35</v>
      </c>
      <c r="F1290" t="s">
        <v>20</v>
      </c>
      <c r="G1290" t="s">
        <v>36</v>
      </c>
      <c r="H1290" t="s">
        <v>28</v>
      </c>
      <c r="I1290">
        <v>1656</v>
      </c>
      <c r="J1290">
        <v>1293</v>
      </c>
      <c r="K1290">
        <v>1185</v>
      </c>
      <c r="L1290">
        <v>101</v>
      </c>
      <c r="M1290">
        <v>49</v>
      </c>
      <c r="N1290">
        <v>3</v>
      </c>
      <c r="O1290">
        <v>229.94</v>
      </c>
      <c r="P1290">
        <v>2339.54</v>
      </c>
      <c r="Q1290" s="5">
        <f t="shared" si="160"/>
        <v>0.91647331786542918</v>
      </c>
      <c r="R1290" s="5">
        <f t="shared" si="161"/>
        <v>8.5232067510548529E-2</v>
      </c>
      <c r="S1290" s="5">
        <f t="shared" si="162"/>
        <v>0.48514851485148514</v>
      </c>
      <c r="T1290" s="5">
        <f t="shared" si="163"/>
        <v>6.1224489795918366E-2</v>
      </c>
      <c r="U1290" s="5">
        <f t="shared" si="164"/>
        <v>2.5316455696202532E-3</v>
      </c>
      <c r="V1290" s="6">
        <f t="shared" si="165"/>
        <v>4.6926530612244894</v>
      </c>
      <c r="W1290" s="7">
        <f t="shared" si="166"/>
        <v>2.2766336633663364</v>
      </c>
      <c r="X1290" s="5">
        <f t="shared" si="167"/>
        <v>9.1745672784204579</v>
      </c>
    </row>
    <row r="1291" spans="1:24" x14ac:dyDescent="0.35">
      <c r="A1291" s="3">
        <v>46236</v>
      </c>
      <c r="B1291" t="s">
        <v>1820</v>
      </c>
      <c r="C1291" t="s">
        <v>1821</v>
      </c>
      <c r="D1291" t="s">
        <v>34</v>
      </c>
      <c r="E1291" t="s">
        <v>35</v>
      </c>
      <c r="F1291" t="s">
        <v>20</v>
      </c>
      <c r="G1291" t="s">
        <v>59</v>
      </c>
      <c r="H1291" t="s">
        <v>51</v>
      </c>
      <c r="I1291">
        <v>4933</v>
      </c>
      <c r="J1291">
        <v>4392</v>
      </c>
      <c r="K1291">
        <v>4075</v>
      </c>
      <c r="L1291">
        <v>321</v>
      </c>
      <c r="M1291">
        <v>146</v>
      </c>
      <c r="N1291">
        <v>15</v>
      </c>
      <c r="O1291">
        <v>322.7</v>
      </c>
      <c r="P1291">
        <v>20731.349999999999</v>
      </c>
      <c r="Q1291" s="5">
        <f t="shared" si="160"/>
        <v>0.92782331511839711</v>
      </c>
      <c r="R1291" s="5">
        <f t="shared" si="161"/>
        <v>7.877300613496932E-2</v>
      </c>
      <c r="S1291" s="5">
        <f t="shared" si="162"/>
        <v>0.45482866043613707</v>
      </c>
      <c r="T1291" s="5">
        <f t="shared" si="163"/>
        <v>0.10273972602739725</v>
      </c>
      <c r="U1291" s="5">
        <f t="shared" si="164"/>
        <v>3.6809815950920245E-3</v>
      </c>
      <c r="V1291" s="6">
        <f t="shared" si="165"/>
        <v>2.2102739726027396</v>
      </c>
      <c r="W1291" s="7">
        <f t="shared" si="166"/>
        <v>1.0052959501557632</v>
      </c>
      <c r="X1291" s="5">
        <f t="shared" si="167"/>
        <v>63.243414936473499</v>
      </c>
    </row>
    <row r="1292" spans="1:24" x14ac:dyDescent="0.35">
      <c r="A1292" s="3">
        <v>46236</v>
      </c>
      <c r="B1292" t="s">
        <v>1822</v>
      </c>
      <c r="C1292" t="s">
        <v>1823</v>
      </c>
      <c r="D1292" t="s">
        <v>34</v>
      </c>
      <c r="E1292" t="s">
        <v>35</v>
      </c>
      <c r="F1292" t="s">
        <v>26</v>
      </c>
      <c r="G1292" t="s">
        <v>27</v>
      </c>
      <c r="H1292" t="s">
        <v>37</v>
      </c>
      <c r="I1292">
        <v>4942</v>
      </c>
      <c r="J1292">
        <v>4323</v>
      </c>
      <c r="K1292">
        <v>4046</v>
      </c>
      <c r="L1292">
        <v>357</v>
      </c>
      <c r="M1292">
        <v>192</v>
      </c>
      <c r="N1292">
        <v>14</v>
      </c>
      <c r="O1292">
        <v>390.6</v>
      </c>
      <c r="P1292">
        <v>16046.13</v>
      </c>
      <c r="Q1292" s="5">
        <f t="shared" si="160"/>
        <v>0.93592412676382142</v>
      </c>
      <c r="R1292" s="5">
        <f t="shared" si="161"/>
        <v>8.8235294117647065E-2</v>
      </c>
      <c r="S1292" s="5">
        <f t="shared" si="162"/>
        <v>0.53781512605042014</v>
      </c>
      <c r="T1292" s="5">
        <f t="shared" si="163"/>
        <v>7.2916666666666671E-2</v>
      </c>
      <c r="U1292" s="5">
        <f t="shared" si="164"/>
        <v>3.4602076124567475E-3</v>
      </c>
      <c r="V1292" s="6">
        <f t="shared" si="165"/>
        <v>2.0343750000000003</v>
      </c>
      <c r="W1292" s="7">
        <f t="shared" si="166"/>
        <v>1.0941176470588236</v>
      </c>
      <c r="X1292" s="5">
        <f t="shared" si="167"/>
        <v>40.080721966205829</v>
      </c>
    </row>
    <row r="1293" spans="1:24" x14ac:dyDescent="0.35">
      <c r="A1293" s="3">
        <v>46236</v>
      </c>
      <c r="B1293" t="s">
        <v>1824</v>
      </c>
      <c r="C1293" t="s">
        <v>1825</v>
      </c>
      <c r="D1293" t="s">
        <v>34</v>
      </c>
      <c r="E1293" t="s">
        <v>25</v>
      </c>
      <c r="F1293" t="s">
        <v>20</v>
      </c>
      <c r="G1293" t="s">
        <v>36</v>
      </c>
      <c r="H1293" t="s">
        <v>22</v>
      </c>
      <c r="I1293">
        <v>4732</v>
      </c>
      <c r="J1293">
        <v>3482</v>
      </c>
      <c r="K1293">
        <v>3275</v>
      </c>
      <c r="L1293">
        <v>82</v>
      </c>
      <c r="M1293">
        <v>35</v>
      </c>
      <c r="N1293">
        <v>2</v>
      </c>
      <c r="O1293">
        <v>278.2</v>
      </c>
      <c r="P1293">
        <v>1505.1</v>
      </c>
      <c r="Q1293" s="5">
        <f t="shared" si="160"/>
        <v>0.94055140723721997</v>
      </c>
      <c r="R1293" s="5">
        <f t="shared" si="161"/>
        <v>2.5038167938931297E-2</v>
      </c>
      <c r="S1293" s="5">
        <f t="shared" si="162"/>
        <v>0.42682926829268292</v>
      </c>
      <c r="T1293" s="5">
        <f t="shared" si="163"/>
        <v>5.7142857142857141E-2</v>
      </c>
      <c r="U1293" s="5">
        <f t="shared" si="164"/>
        <v>6.1068702290076337E-4</v>
      </c>
      <c r="V1293" s="6">
        <f t="shared" si="165"/>
        <v>7.9485714285714284</v>
      </c>
      <c r="W1293" s="7">
        <f t="shared" si="166"/>
        <v>3.3926829268292682</v>
      </c>
      <c r="X1293" s="5">
        <f t="shared" si="167"/>
        <v>4.4101365923795823</v>
      </c>
    </row>
    <row r="1294" spans="1:24" x14ac:dyDescent="0.35">
      <c r="A1294" s="3">
        <v>46236</v>
      </c>
      <c r="B1294" t="s">
        <v>1826</v>
      </c>
      <c r="C1294" t="s">
        <v>1827</v>
      </c>
      <c r="D1294" t="s">
        <v>31</v>
      </c>
      <c r="E1294" t="s">
        <v>56</v>
      </c>
      <c r="F1294" t="s">
        <v>20</v>
      </c>
      <c r="G1294" t="s">
        <v>27</v>
      </c>
      <c r="H1294" t="s">
        <v>48</v>
      </c>
      <c r="I1294">
        <v>4636</v>
      </c>
      <c r="J1294">
        <v>4358</v>
      </c>
      <c r="K1294">
        <v>4249</v>
      </c>
      <c r="L1294">
        <v>133</v>
      </c>
      <c r="M1294">
        <v>40</v>
      </c>
      <c r="N1294">
        <v>2</v>
      </c>
      <c r="O1294">
        <v>871.28</v>
      </c>
      <c r="P1294">
        <v>1427.45</v>
      </c>
      <c r="Q1294" s="5">
        <f t="shared" si="160"/>
        <v>0.97498852684717763</v>
      </c>
      <c r="R1294" s="5">
        <f t="shared" si="161"/>
        <v>3.130148270181219E-2</v>
      </c>
      <c r="S1294" s="5">
        <f t="shared" si="162"/>
        <v>0.3007518796992481</v>
      </c>
      <c r="T1294" s="5">
        <f t="shared" si="163"/>
        <v>0.05</v>
      </c>
      <c r="U1294" s="5">
        <f t="shared" si="164"/>
        <v>4.706989879971758E-4</v>
      </c>
      <c r="V1294" s="6">
        <f t="shared" si="165"/>
        <v>21.782</v>
      </c>
      <c r="W1294" s="7">
        <f t="shared" si="166"/>
        <v>6.550977443609022</v>
      </c>
      <c r="X1294" s="5">
        <f t="shared" si="167"/>
        <v>0.63833670002754583</v>
      </c>
    </row>
    <row r="1295" spans="1:24" x14ac:dyDescent="0.35">
      <c r="A1295" s="3">
        <v>46236</v>
      </c>
      <c r="B1295" t="s">
        <v>1828</v>
      </c>
      <c r="C1295" t="s">
        <v>1829</v>
      </c>
      <c r="D1295" t="s">
        <v>40</v>
      </c>
      <c r="E1295" t="s">
        <v>35</v>
      </c>
      <c r="F1295" t="s">
        <v>20</v>
      </c>
      <c r="G1295" t="s">
        <v>27</v>
      </c>
      <c r="H1295" t="s">
        <v>37</v>
      </c>
      <c r="I1295">
        <v>1377</v>
      </c>
      <c r="J1295">
        <v>1011</v>
      </c>
      <c r="K1295">
        <v>941</v>
      </c>
      <c r="L1295">
        <v>65</v>
      </c>
      <c r="M1295">
        <v>29</v>
      </c>
      <c r="N1295">
        <v>2</v>
      </c>
      <c r="O1295">
        <v>159.86000000000001</v>
      </c>
      <c r="P1295">
        <v>1476.25</v>
      </c>
      <c r="Q1295" s="5">
        <f t="shared" si="160"/>
        <v>0.93076162215628089</v>
      </c>
      <c r="R1295" s="5">
        <f t="shared" si="161"/>
        <v>6.9075451647183844E-2</v>
      </c>
      <c r="S1295" s="5">
        <f t="shared" si="162"/>
        <v>0.44615384615384618</v>
      </c>
      <c r="T1295" s="5">
        <f t="shared" si="163"/>
        <v>6.8965517241379309E-2</v>
      </c>
      <c r="U1295" s="5">
        <f t="shared" si="164"/>
        <v>2.1253985122210413E-3</v>
      </c>
      <c r="V1295" s="6">
        <f t="shared" si="165"/>
        <v>5.5124137931034491</v>
      </c>
      <c r="W1295" s="7">
        <f t="shared" si="166"/>
        <v>2.4593846153846157</v>
      </c>
      <c r="X1295" s="5">
        <f t="shared" si="167"/>
        <v>8.2346428124609012</v>
      </c>
    </row>
    <row r="1296" spans="1:24" x14ac:dyDescent="0.35">
      <c r="A1296" s="3">
        <v>46236</v>
      </c>
      <c r="B1296" t="s">
        <v>1830</v>
      </c>
      <c r="C1296" t="s">
        <v>1831</v>
      </c>
      <c r="D1296" t="s">
        <v>34</v>
      </c>
      <c r="E1296" t="s">
        <v>35</v>
      </c>
      <c r="F1296" t="s">
        <v>20</v>
      </c>
      <c r="G1296" t="s">
        <v>36</v>
      </c>
      <c r="H1296" t="s">
        <v>51</v>
      </c>
      <c r="I1296">
        <v>4352</v>
      </c>
      <c r="J1296">
        <v>3206</v>
      </c>
      <c r="K1296">
        <v>3044</v>
      </c>
      <c r="L1296">
        <v>198</v>
      </c>
      <c r="M1296">
        <v>101</v>
      </c>
      <c r="N1296">
        <v>8</v>
      </c>
      <c r="O1296">
        <v>230.71</v>
      </c>
      <c r="P1296">
        <v>11803.01</v>
      </c>
      <c r="Q1296" s="5">
        <f t="shared" si="160"/>
        <v>0.94946974422956953</v>
      </c>
      <c r="R1296" s="5">
        <f t="shared" si="161"/>
        <v>6.5045992115637316E-2</v>
      </c>
      <c r="S1296" s="5">
        <f t="shared" si="162"/>
        <v>0.51010101010101006</v>
      </c>
      <c r="T1296" s="5">
        <f t="shared" si="163"/>
        <v>7.9207920792079209E-2</v>
      </c>
      <c r="U1296" s="5">
        <f t="shared" si="164"/>
        <v>2.6281208935611039E-3</v>
      </c>
      <c r="V1296" s="6">
        <f t="shared" si="165"/>
        <v>2.2842574257425743</v>
      </c>
      <c r="W1296" s="7">
        <f t="shared" si="166"/>
        <v>1.1652020202020203</v>
      </c>
      <c r="X1296" s="5">
        <f t="shared" si="167"/>
        <v>50.159507606952452</v>
      </c>
    </row>
    <row r="1297" spans="1:24" x14ac:dyDescent="0.35">
      <c r="A1297" s="3">
        <v>46237</v>
      </c>
      <c r="B1297" t="s">
        <v>1832</v>
      </c>
      <c r="C1297" t="s">
        <v>1833</v>
      </c>
      <c r="D1297" t="s">
        <v>18</v>
      </c>
      <c r="E1297" t="s">
        <v>25</v>
      </c>
      <c r="F1297" t="s">
        <v>20</v>
      </c>
      <c r="G1297" t="s">
        <v>36</v>
      </c>
      <c r="H1297" t="s">
        <v>48</v>
      </c>
      <c r="I1297">
        <v>3661</v>
      </c>
      <c r="J1297">
        <v>3138</v>
      </c>
      <c r="K1297">
        <v>2852</v>
      </c>
      <c r="L1297">
        <v>90</v>
      </c>
      <c r="M1297">
        <v>42</v>
      </c>
      <c r="N1297">
        <v>1</v>
      </c>
      <c r="O1297">
        <v>341.51</v>
      </c>
      <c r="P1297">
        <v>834.04</v>
      </c>
      <c r="Q1297" s="5">
        <f t="shared" si="160"/>
        <v>0.90885914595283623</v>
      </c>
      <c r="R1297" s="5">
        <f t="shared" si="161"/>
        <v>3.155680224403927E-2</v>
      </c>
      <c r="S1297" s="5">
        <f t="shared" si="162"/>
        <v>0.46666666666666667</v>
      </c>
      <c r="T1297" s="5">
        <f t="shared" si="163"/>
        <v>2.3809523809523808E-2</v>
      </c>
      <c r="U1297" s="5">
        <f t="shared" si="164"/>
        <v>3.5063113604488078E-4</v>
      </c>
      <c r="V1297" s="6">
        <f t="shared" si="165"/>
        <v>8.1311904761904756</v>
      </c>
      <c r="W1297" s="7">
        <f t="shared" si="166"/>
        <v>3.7945555555555552</v>
      </c>
      <c r="X1297" s="5">
        <f t="shared" si="167"/>
        <v>1.4422125267195689</v>
      </c>
    </row>
    <row r="1298" spans="1:24" x14ac:dyDescent="0.35">
      <c r="A1298" s="3">
        <v>46237</v>
      </c>
      <c r="B1298" t="s">
        <v>1834</v>
      </c>
      <c r="C1298" t="s">
        <v>1835</v>
      </c>
      <c r="D1298" t="s">
        <v>18</v>
      </c>
      <c r="E1298" t="s">
        <v>35</v>
      </c>
      <c r="F1298" t="s">
        <v>20</v>
      </c>
      <c r="G1298" t="s">
        <v>59</v>
      </c>
      <c r="H1298" t="s">
        <v>22</v>
      </c>
      <c r="I1298">
        <v>2663</v>
      </c>
      <c r="J1298">
        <v>2542</v>
      </c>
      <c r="K1298">
        <v>2224</v>
      </c>
      <c r="L1298">
        <v>178</v>
      </c>
      <c r="M1298">
        <v>86</v>
      </c>
      <c r="N1298">
        <v>6</v>
      </c>
      <c r="O1298">
        <v>349.9</v>
      </c>
      <c r="P1298">
        <v>5116.32</v>
      </c>
      <c r="Q1298" s="5">
        <f t="shared" si="160"/>
        <v>0.87490165224232885</v>
      </c>
      <c r="R1298" s="5">
        <f t="shared" si="161"/>
        <v>8.0035971223021585E-2</v>
      </c>
      <c r="S1298" s="5">
        <f t="shared" si="162"/>
        <v>0.48314606741573035</v>
      </c>
      <c r="T1298" s="5">
        <f t="shared" si="163"/>
        <v>6.9767441860465115E-2</v>
      </c>
      <c r="U1298" s="5">
        <f t="shared" si="164"/>
        <v>2.6978417266187052E-3</v>
      </c>
      <c r="V1298" s="6">
        <f t="shared" si="165"/>
        <v>4.06860465116279</v>
      </c>
      <c r="W1298" s="7">
        <f t="shared" si="166"/>
        <v>1.9657303370786516</v>
      </c>
      <c r="X1298" s="5">
        <f t="shared" si="167"/>
        <v>13.622234924264076</v>
      </c>
    </row>
    <row r="1299" spans="1:24" x14ac:dyDescent="0.35">
      <c r="A1299" s="3">
        <v>46237</v>
      </c>
      <c r="B1299" t="s">
        <v>1836</v>
      </c>
      <c r="C1299" t="s">
        <v>1837</v>
      </c>
      <c r="D1299" t="s">
        <v>40</v>
      </c>
      <c r="E1299" t="s">
        <v>19</v>
      </c>
      <c r="F1299" t="s">
        <v>26</v>
      </c>
      <c r="G1299" t="s">
        <v>36</v>
      </c>
      <c r="H1299" t="s">
        <v>51</v>
      </c>
      <c r="I1299">
        <v>2001</v>
      </c>
      <c r="J1299">
        <v>1544</v>
      </c>
      <c r="K1299">
        <v>1417</v>
      </c>
      <c r="L1299">
        <v>13</v>
      </c>
      <c r="M1299">
        <v>8</v>
      </c>
      <c r="N1299">
        <v>0</v>
      </c>
      <c r="O1299">
        <v>220.2</v>
      </c>
      <c r="P1299">
        <v>0</v>
      </c>
      <c r="Q1299" s="5">
        <f t="shared" si="160"/>
        <v>0.91774611398963735</v>
      </c>
      <c r="R1299" s="5">
        <f t="shared" si="161"/>
        <v>9.1743119266055051E-3</v>
      </c>
      <c r="S1299" s="5">
        <f t="shared" si="162"/>
        <v>0.61538461538461542</v>
      </c>
      <c r="T1299" s="5">
        <f t="shared" si="163"/>
        <v>0</v>
      </c>
      <c r="U1299" s="5">
        <f t="shared" si="164"/>
        <v>0</v>
      </c>
      <c r="V1299" s="6">
        <f t="shared" si="165"/>
        <v>27.524999999999999</v>
      </c>
      <c r="W1299" s="7">
        <f t="shared" si="166"/>
        <v>16.938461538461539</v>
      </c>
      <c r="X1299" s="5">
        <f t="shared" si="167"/>
        <v>-1</v>
      </c>
    </row>
    <row r="1300" spans="1:24" x14ac:dyDescent="0.35">
      <c r="A1300" s="3">
        <v>46237</v>
      </c>
      <c r="B1300" t="s">
        <v>1838</v>
      </c>
      <c r="C1300" t="s">
        <v>1839</v>
      </c>
      <c r="D1300" t="s">
        <v>40</v>
      </c>
      <c r="E1300" t="s">
        <v>35</v>
      </c>
      <c r="F1300" t="s">
        <v>26</v>
      </c>
      <c r="G1300" t="s">
        <v>36</v>
      </c>
      <c r="H1300" t="s">
        <v>37</v>
      </c>
      <c r="I1300">
        <v>4356</v>
      </c>
      <c r="J1300">
        <v>4257</v>
      </c>
      <c r="K1300">
        <v>3951</v>
      </c>
      <c r="L1300">
        <v>429</v>
      </c>
      <c r="M1300">
        <v>241</v>
      </c>
      <c r="N1300">
        <v>17</v>
      </c>
      <c r="O1300">
        <v>629.42999999999995</v>
      </c>
      <c r="P1300">
        <v>18085.2</v>
      </c>
      <c r="Q1300" s="5">
        <f t="shared" si="160"/>
        <v>0.92811839323467227</v>
      </c>
      <c r="R1300" s="5">
        <f t="shared" si="161"/>
        <v>0.10858010630220197</v>
      </c>
      <c r="S1300" s="5">
        <f t="shared" si="162"/>
        <v>0.56177156177156173</v>
      </c>
      <c r="T1300" s="5">
        <f t="shared" si="163"/>
        <v>7.0539419087136929E-2</v>
      </c>
      <c r="U1300" s="5">
        <f t="shared" si="164"/>
        <v>4.3027081751455332E-3</v>
      </c>
      <c r="V1300" s="6">
        <f t="shared" si="165"/>
        <v>2.6117427385892116</v>
      </c>
      <c r="W1300" s="7">
        <f t="shared" si="166"/>
        <v>1.467202797202797</v>
      </c>
      <c r="X1300" s="5">
        <f t="shared" si="167"/>
        <v>27.732662885467807</v>
      </c>
    </row>
    <row r="1301" spans="1:24" x14ac:dyDescent="0.35">
      <c r="A1301" s="3">
        <v>46237</v>
      </c>
      <c r="B1301" t="s">
        <v>1840</v>
      </c>
      <c r="C1301" t="s">
        <v>1841</v>
      </c>
      <c r="D1301" t="s">
        <v>31</v>
      </c>
      <c r="E1301" t="s">
        <v>35</v>
      </c>
      <c r="F1301" t="s">
        <v>26</v>
      </c>
      <c r="G1301" t="s">
        <v>36</v>
      </c>
      <c r="H1301" t="s">
        <v>28</v>
      </c>
      <c r="I1301">
        <v>609</v>
      </c>
      <c r="J1301">
        <v>606</v>
      </c>
      <c r="K1301">
        <v>584</v>
      </c>
      <c r="L1301">
        <v>41</v>
      </c>
      <c r="M1301">
        <v>18</v>
      </c>
      <c r="N1301">
        <v>2</v>
      </c>
      <c r="O1301">
        <v>128.66</v>
      </c>
      <c r="P1301">
        <v>2602.77</v>
      </c>
      <c r="Q1301" s="5">
        <f t="shared" si="160"/>
        <v>0.9636963696369637</v>
      </c>
      <c r="R1301" s="5">
        <f t="shared" si="161"/>
        <v>7.0205479452054798E-2</v>
      </c>
      <c r="S1301" s="5">
        <f t="shared" si="162"/>
        <v>0.43902439024390244</v>
      </c>
      <c r="T1301" s="5">
        <f t="shared" si="163"/>
        <v>0.1111111111111111</v>
      </c>
      <c r="U1301" s="5">
        <f t="shared" si="164"/>
        <v>3.4246575342465752E-3</v>
      </c>
      <c r="V1301" s="6">
        <f t="shared" si="165"/>
        <v>7.1477777777777778</v>
      </c>
      <c r="W1301" s="7">
        <f t="shared" si="166"/>
        <v>3.138048780487805</v>
      </c>
      <c r="X1301" s="5">
        <f t="shared" si="167"/>
        <v>19.229830561168974</v>
      </c>
    </row>
    <row r="1302" spans="1:24" x14ac:dyDescent="0.35">
      <c r="A1302" s="3">
        <v>46237</v>
      </c>
      <c r="B1302" t="s">
        <v>1842</v>
      </c>
      <c r="C1302" t="s">
        <v>1843</v>
      </c>
      <c r="D1302" t="s">
        <v>40</v>
      </c>
      <c r="E1302" t="s">
        <v>25</v>
      </c>
      <c r="F1302" t="s">
        <v>20</v>
      </c>
      <c r="G1302" t="s">
        <v>36</v>
      </c>
      <c r="H1302" t="s">
        <v>51</v>
      </c>
      <c r="I1302">
        <v>2905</v>
      </c>
      <c r="J1302">
        <v>2543</v>
      </c>
      <c r="K1302">
        <v>2394</v>
      </c>
      <c r="L1302">
        <v>100</v>
      </c>
      <c r="M1302">
        <v>40</v>
      </c>
      <c r="N1302">
        <v>1</v>
      </c>
      <c r="O1302">
        <v>329.89</v>
      </c>
      <c r="P1302">
        <v>1113.78</v>
      </c>
      <c r="Q1302" s="5">
        <f t="shared" si="160"/>
        <v>0.94140778607943376</v>
      </c>
      <c r="R1302" s="5">
        <f t="shared" si="161"/>
        <v>4.1771094402673348E-2</v>
      </c>
      <c r="S1302" s="5">
        <f t="shared" si="162"/>
        <v>0.4</v>
      </c>
      <c r="T1302" s="5">
        <f t="shared" si="163"/>
        <v>2.5000000000000001E-2</v>
      </c>
      <c r="U1302" s="5">
        <f t="shared" si="164"/>
        <v>4.1771094402673348E-4</v>
      </c>
      <c r="V1302" s="6">
        <f t="shared" si="165"/>
        <v>8.2472499999999993</v>
      </c>
      <c r="W1302" s="7">
        <f t="shared" si="166"/>
        <v>3.2988999999999997</v>
      </c>
      <c r="X1302" s="5">
        <f t="shared" si="167"/>
        <v>2.3762163145290853</v>
      </c>
    </row>
    <row r="1303" spans="1:24" x14ac:dyDescent="0.35">
      <c r="A1303" s="3">
        <v>46237</v>
      </c>
      <c r="B1303" t="s">
        <v>1828</v>
      </c>
      <c r="C1303" t="s">
        <v>1844</v>
      </c>
      <c r="D1303" t="s">
        <v>18</v>
      </c>
      <c r="E1303" t="s">
        <v>25</v>
      </c>
      <c r="F1303" t="s">
        <v>26</v>
      </c>
      <c r="G1303" t="s">
        <v>41</v>
      </c>
      <c r="H1303" t="s">
        <v>51</v>
      </c>
      <c r="I1303">
        <v>4589</v>
      </c>
      <c r="J1303">
        <v>3949</v>
      </c>
      <c r="K1303">
        <v>3691</v>
      </c>
      <c r="L1303">
        <v>187</v>
      </c>
      <c r="M1303">
        <v>125</v>
      </c>
      <c r="N1303">
        <v>4</v>
      </c>
      <c r="O1303">
        <v>549.39</v>
      </c>
      <c r="P1303">
        <v>5955.3</v>
      </c>
      <c r="Q1303" s="5">
        <f t="shared" si="160"/>
        <v>0.93466700430488736</v>
      </c>
      <c r="R1303" s="5">
        <f t="shared" si="161"/>
        <v>5.0663776754267136E-2</v>
      </c>
      <c r="S1303" s="5">
        <f t="shared" si="162"/>
        <v>0.66844919786096257</v>
      </c>
      <c r="T1303" s="5">
        <f t="shared" si="163"/>
        <v>3.2000000000000001E-2</v>
      </c>
      <c r="U1303" s="5">
        <f t="shared" si="164"/>
        <v>1.083717149823896E-3</v>
      </c>
      <c r="V1303" s="6">
        <f t="shared" si="165"/>
        <v>4.3951199999999995</v>
      </c>
      <c r="W1303" s="7">
        <f t="shared" si="166"/>
        <v>2.9379144385026739</v>
      </c>
      <c r="X1303" s="5">
        <f t="shared" si="167"/>
        <v>9.8398405504286579</v>
      </c>
    </row>
    <row r="1304" spans="1:24" x14ac:dyDescent="0.35">
      <c r="A1304" s="3">
        <v>46237</v>
      </c>
      <c r="B1304" t="s">
        <v>1845</v>
      </c>
      <c r="C1304" t="s">
        <v>1846</v>
      </c>
      <c r="D1304" t="s">
        <v>34</v>
      </c>
      <c r="E1304" t="s">
        <v>56</v>
      </c>
      <c r="F1304" t="s">
        <v>20</v>
      </c>
      <c r="G1304" t="s">
        <v>21</v>
      </c>
      <c r="H1304" t="s">
        <v>22</v>
      </c>
      <c r="I1304">
        <v>1063</v>
      </c>
      <c r="J1304">
        <v>941</v>
      </c>
      <c r="K1304">
        <v>859</v>
      </c>
      <c r="L1304">
        <v>44</v>
      </c>
      <c r="M1304">
        <v>23</v>
      </c>
      <c r="N1304">
        <v>1</v>
      </c>
      <c r="O1304">
        <v>75.91</v>
      </c>
      <c r="P1304">
        <v>684.54</v>
      </c>
      <c r="Q1304" s="5">
        <f t="shared" si="160"/>
        <v>0.91285866099893731</v>
      </c>
      <c r="R1304" s="5">
        <f t="shared" si="161"/>
        <v>5.1222351571594875E-2</v>
      </c>
      <c r="S1304" s="5">
        <f t="shared" si="162"/>
        <v>0.52272727272727271</v>
      </c>
      <c r="T1304" s="5">
        <f t="shared" si="163"/>
        <v>4.3478260869565216E-2</v>
      </c>
      <c r="U1304" s="5">
        <f t="shared" si="164"/>
        <v>1.1641443538998836E-3</v>
      </c>
      <c r="V1304" s="6">
        <f t="shared" si="165"/>
        <v>3.3004347826086957</v>
      </c>
      <c r="W1304" s="7">
        <f t="shared" si="166"/>
        <v>1.7252272727272726</v>
      </c>
      <c r="X1304" s="5">
        <f t="shared" si="167"/>
        <v>8.0177842181530767</v>
      </c>
    </row>
    <row r="1305" spans="1:24" x14ac:dyDescent="0.35">
      <c r="A1305" s="3">
        <v>46238</v>
      </c>
      <c r="B1305" t="s">
        <v>1847</v>
      </c>
      <c r="C1305" t="s">
        <v>1848</v>
      </c>
      <c r="D1305" t="s">
        <v>31</v>
      </c>
      <c r="E1305" t="s">
        <v>35</v>
      </c>
      <c r="F1305" t="s">
        <v>20</v>
      </c>
      <c r="G1305" t="s">
        <v>41</v>
      </c>
      <c r="H1305" t="s">
        <v>22</v>
      </c>
      <c r="I1305">
        <v>1931</v>
      </c>
      <c r="J1305">
        <v>1448</v>
      </c>
      <c r="K1305">
        <v>1423</v>
      </c>
      <c r="L1305">
        <v>41</v>
      </c>
      <c r="M1305">
        <v>14</v>
      </c>
      <c r="N1305">
        <v>1</v>
      </c>
      <c r="O1305">
        <v>255.96</v>
      </c>
      <c r="P1305">
        <v>745.98</v>
      </c>
      <c r="Q1305" s="5">
        <f t="shared" si="160"/>
        <v>0.98273480662983426</v>
      </c>
      <c r="R1305" s="5">
        <f t="shared" si="161"/>
        <v>2.8812368236120871E-2</v>
      </c>
      <c r="S1305" s="5">
        <f t="shared" si="162"/>
        <v>0.34146341463414637</v>
      </c>
      <c r="T1305" s="5">
        <f t="shared" si="163"/>
        <v>7.1428571428571425E-2</v>
      </c>
      <c r="U1305" s="5">
        <f t="shared" si="164"/>
        <v>7.0274068868587491E-4</v>
      </c>
      <c r="V1305" s="6">
        <f t="shared" si="165"/>
        <v>18.282857142857143</v>
      </c>
      <c r="W1305" s="7">
        <f t="shared" si="166"/>
        <v>6.2429268292682929</v>
      </c>
      <c r="X1305" s="5">
        <f t="shared" si="167"/>
        <v>1.914439756211908</v>
      </c>
    </row>
    <row r="1306" spans="1:24" x14ac:dyDescent="0.35">
      <c r="A1306" s="3">
        <v>46238</v>
      </c>
      <c r="B1306" t="s">
        <v>1849</v>
      </c>
      <c r="C1306" t="s">
        <v>1850</v>
      </c>
      <c r="D1306" t="s">
        <v>34</v>
      </c>
      <c r="E1306" t="s">
        <v>25</v>
      </c>
      <c r="F1306" t="s">
        <v>20</v>
      </c>
      <c r="G1306" t="s">
        <v>41</v>
      </c>
      <c r="H1306" t="s">
        <v>22</v>
      </c>
      <c r="I1306">
        <v>2900</v>
      </c>
      <c r="J1306">
        <v>2663</v>
      </c>
      <c r="K1306">
        <v>2572</v>
      </c>
      <c r="L1306">
        <v>95</v>
      </c>
      <c r="M1306">
        <v>49</v>
      </c>
      <c r="N1306">
        <v>2</v>
      </c>
      <c r="O1306">
        <v>235.19</v>
      </c>
      <c r="P1306">
        <v>2407.25</v>
      </c>
      <c r="Q1306" s="5">
        <f t="shared" si="160"/>
        <v>0.96582801351858805</v>
      </c>
      <c r="R1306" s="5">
        <f t="shared" si="161"/>
        <v>3.6936236391912909E-2</v>
      </c>
      <c r="S1306" s="5">
        <f t="shared" si="162"/>
        <v>0.51578947368421058</v>
      </c>
      <c r="T1306" s="5">
        <f t="shared" si="163"/>
        <v>4.0816326530612242E-2</v>
      </c>
      <c r="U1306" s="5">
        <f t="shared" si="164"/>
        <v>7.776049766718507E-4</v>
      </c>
      <c r="V1306" s="6">
        <f t="shared" si="165"/>
        <v>4.7997959183673471</v>
      </c>
      <c r="W1306" s="7">
        <f t="shared" si="166"/>
        <v>2.4756842105263157</v>
      </c>
      <c r="X1306" s="5">
        <f t="shared" si="167"/>
        <v>9.2353416386751128</v>
      </c>
    </row>
    <row r="1307" spans="1:24" x14ac:dyDescent="0.35">
      <c r="A1307" s="3">
        <v>46238</v>
      </c>
      <c r="B1307" t="s">
        <v>1851</v>
      </c>
      <c r="C1307" t="s">
        <v>1852</v>
      </c>
      <c r="D1307" t="s">
        <v>31</v>
      </c>
      <c r="E1307" t="s">
        <v>19</v>
      </c>
      <c r="F1307" t="s">
        <v>20</v>
      </c>
      <c r="G1307" t="s">
        <v>36</v>
      </c>
      <c r="H1307" t="s">
        <v>22</v>
      </c>
      <c r="I1307">
        <v>1517</v>
      </c>
      <c r="J1307">
        <v>1477</v>
      </c>
      <c r="K1307">
        <v>1409</v>
      </c>
      <c r="L1307">
        <v>25</v>
      </c>
      <c r="M1307">
        <v>10</v>
      </c>
      <c r="N1307">
        <v>0</v>
      </c>
      <c r="O1307">
        <v>289.10000000000002</v>
      </c>
      <c r="P1307">
        <v>0</v>
      </c>
      <c r="Q1307" s="5">
        <f t="shared" si="160"/>
        <v>0.95396073121191605</v>
      </c>
      <c r="R1307" s="5">
        <f t="shared" si="161"/>
        <v>1.7743080198722498E-2</v>
      </c>
      <c r="S1307" s="5">
        <f t="shared" si="162"/>
        <v>0.4</v>
      </c>
      <c r="T1307" s="5">
        <f t="shared" si="163"/>
        <v>0</v>
      </c>
      <c r="U1307" s="5">
        <f t="shared" si="164"/>
        <v>0</v>
      </c>
      <c r="V1307" s="6">
        <f t="shared" si="165"/>
        <v>28.910000000000004</v>
      </c>
      <c r="W1307" s="7">
        <f t="shared" si="166"/>
        <v>11.564</v>
      </c>
      <c r="X1307" s="5">
        <f t="shared" si="167"/>
        <v>-1</v>
      </c>
    </row>
    <row r="1308" spans="1:24" x14ac:dyDescent="0.35">
      <c r="A1308" s="3">
        <v>46238</v>
      </c>
      <c r="B1308" t="s">
        <v>1853</v>
      </c>
      <c r="C1308" t="s">
        <v>1854</v>
      </c>
      <c r="D1308" t="s">
        <v>31</v>
      </c>
      <c r="E1308" t="s">
        <v>35</v>
      </c>
      <c r="F1308" t="s">
        <v>20</v>
      </c>
      <c r="G1308" t="s">
        <v>21</v>
      </c>
      <c r="H1308" t="s">
        <v>37</v>
      </c>
      <c r="I1308">
        <v>3139</v>
      </c>
      <c r="J1308">
        <v>2982</v>
      </c>
      <c r="K1308">
        <v>2923</v>
      </c>
      <c r="L1308">
        <v>113</v>
      </c>
      <c r="M1308">
        <v>55</v>
      </c>
      <c r="N1308">
        <v>4</v>
      </c>
      <c r="O1308">
        <v>584.5</v>
      </c>
      <c r="P1308">
        <v>5165.38</v>
      </c>
      <c r="Q1308" s="5">
        <f t="shared" si="160"/>
        <v>0.98021462105969148</v>
      </c>
      <c r="R1308" s="5">
        <f t="shared" si="161"/>
        <v>3.8658912076633599E-2</v>
      </c>
      <c r="S1308" s="5">
        <f t="shared" si="162"/>
        <v>0.48672566371681414</v>
      </c>
      <c r="T1308" s="5">
        <f t="shared" si="163"/>
        <v>7.2727272727272724E-2</v>
      </c>
      <c r="U1308" s="5">
        <f t="shared" si="164"/>
        <v>1.3684570646595963E-3</v>
      </c>
      <c r="V1308" s="6">
        <f t="shared" si="165"/>
        <v>10.627272727272727</v>
      </c>
      <c r="W1308" s="7">
        <f t="shared" si="166"/>
        <v>5.1725663716814161</v>
      </c>
      <c r="X1308" s="5">
        <f t="shared" si="167"/>
        <v>7.8372626176218994</v>
      </c>
    </row>
    <row r="1309" spans="1:24" x14ac:dyDescent="0.35">
      <c r="A1309" s="3">
        <v>46238</v>
      </c>
      <c r="B1309" t="s">
        <v>1822</v>
      </c>
      <c r="C1309" t="s">
        <v>1855</v>
      </c>
      <c r="D1309" t="s">
        <v>34</v>
      </c>
      <c r="E1309" t="s">
        <v>19</v>
      </c>
      <c r="F1309" t="s">
        <v>20</v>
      </c>
      <c r="G1309" t="s">
        <v>27</v>
      </c>
      <c r="H1309" t="s">
        <v>22</v>
      </c>
      <c r="I1309">
        <v>1764</v>
      </c>
      <c r="J1309">
        <v>1540</v>
      </c>
      <c r="K1309">
        <v>1451</v>
      </c>
      <c r="L1309">
        <v>35</v>
      </c>
      <c r="M1309">
        <v>13</v>
      </c>
      <c r="N1309">
        <v>0</v>
      </c>
      <c r="O1309">
        <v>111.89</v>
      </c>
      <c r="P1309">
        <v>0</v>
      </c>
      <c r="Q1309" s="5">
        <f t="shared" si="160"/>
        <v>0.94220779220779216</v>
      </c>
      <c r="R1309" s="5">
        <f t="shared" si="161"/>
        <v>2.4121295658166782E-2</v>
      </c>
      <c r="S1309" s="5">
        <f t="shared" si="162"/>
        <v>0.37142857142857144</v>
      </c>
      <c r="T1309" s="5">
        <f t="shared" si="163"/>
        <v>0</v>
      </c>
      <c r="U1309" s="5">
        <f t="shared" si="164"/>
        <v>0</v>
      </c>
      <c r="V1309" s="6">
        <f t="shared" si="165"/>
        <v>8.6069230769230778</v>
      </c>
      <c r="W1309" s="7">
        <f t="shared" si="166"/>
        <v>3.1968571428571431</v>
      </c>
      <c r="X1309" s="5">
        <f t="shared" si="167"/>
        <v>-1</v>
      </c>
    </row>
    <row r="1310" spans="1:24" x14ac:dyDescent="0.35">
      <c r="A1310" s="3">
        <v>46238</v>
      </c>
      <c r="B1310" t="s">
        <v>1856</v>
      </c>
      <c r="C1310" t="s">
        <v>1857</v>
      </c>
      <c r="D1310" t="s">
        <v>40</v>
      </c>
      <c r="E1310" t="s">
        <v>35</v>
      </c>
      <c r="F1310" t="s">
        <v>20</v>
      </c>
      <c r="G1310" t="s">
        <v>27</v>
      </c>
      <c r="H1310" t="s">
        <v>37</v>
      </c>
      <c r="I1310">
        <v>1376</v>
      </c>
      <c r="J1310">
        <v>1186</v>
      </c>
      <c r="K1310">
        <v>1102</v>
      </c>
      <c r="L1310">
        <v>81</v>
      </c>
      <c r="M1310">
        <v>36</v>
      </c>
      <c r="N1310">
        <v>2</v>
      </c>
      <c r="O1310">
        <v>189.45</v>
      </c>
      <c r="P1310">
        <v>1838.59</v>
      </c>
      <c r="Q1310" s="5">
        <f t="shared" si="160"/>
        <v>0.92917369308600339</v>
      </c>
      <c r="R1310" s="5">
        <f t="shared" si="161"/>
        <v>7.3502722323048997E-2</v>
      </c>
      <c r="S1310" s="5">
        <f t="shared" si="162"/>
        <v>0.44444444444444442</v>
      </c>
      <c r="T1310" s="5">
        <f t="shared" si="163"/>
        <v>5.5555555555555552E-2</v>
      </c>
      <c r="U1310" s="5">
        <f t="shared" si="164"/>
        <v>1.8148820326678765E-3</v>
      </c>
      <c r="V1310" s="6">
        <f t="shared" si="165"/>
        <v>5.2624999999999993</v>
      </c>
      <c r="W1310" s="7">
        <f t="shared" si="166"/>
        <v>2.3388888888888886</v>
      </c>
      <c r="X1310" s="5">
        <f t="shared" si="167"/>
        <v>8.70488255476379</v>
      </c>
    </row>
    <row r="1311" spans="1:24" x14ac:dyDescent="0.35">
      <c r="A1311" s="3">
        <v>46238</v>
      </c>
      <c r="B1311" t="s">
        <v>1824</v>
      </c>
      <c r="C1311" t="s">
        <v>1858</v>
      </c>
      <c r="D1311" t="s">
        <v>31</v>
      </c>
      <c r="E1311" t="s">
        <v>56</v>
      </c>
      <c r="F1311" t="s">
        <v>20</v>
      </c>
      <c r="G1311" t="s">
        <v>27</v>
      </c>
      <c r="H1311" t="s">
        <v>28</v>
      </c>
      <c r="I1311">
        <v>2176</v>
      </c>
      <c r="J1311">
        <v>2134</v>
      </c>
      <c r="K1311">
        <v>1998</v>
      </c>
      <c r="L1311">
        <v>71</v>
      </c>
      <c r="M1311">
        <v>27</v>
      </c>
      <c r="N1311">
        <v>1</v>
      </c>
      <c r="O1311">
        <v>367.09</v>
      </c>
      <c r="P1311">
        <v>1258.8699999999999</v>
      </c>
      <c r="Q1311" s="5">
        <f t="shared" si="160"/>
        <v>0.93626991565135897</v>
      </c>
      <c r="R1311" s="5">
        <f t="shared" si="161"/>
        <v>3.5535535535535533E-2</v>
      </c>
      <c r="S1311" s="5">
        <f t="shared" si="162"/>
        <v>0.38028169014084506</v>
      </c>
      <c r="T1311" s="5">
        <f t="shared" si="163"/>
        <v>3.7037037037037035E-2</v>
      </c>
      <c r="U1311" s="5">
        <f t="shared" si="164"/>
        <v>5.005005005005005E-4</v>
      </c>
      <c r="V1311" s="6">
        <f t="shared" si="165"/>
        <v>13.595925925925926</v>
      </c>
      <c r="W1311" s="7">
        <f t="shared" si="166"/>
        <v>5.170281690140845</v>
      </c>
      <c r="X1311" s="5">
        <f t="shared" si="167"/>
        <v>2.4293225094663433</v>
      </c>
    </row>
    <row r="1312" spans="1:24" x14ac:dyDescent="0.35">
      <c r="A1312" s="3">
        <v>46238</v>
      </c>
      <c r="B1312" t="s">
        <v>1859</v>
      </c>
      <c r="C1312" t="s">
        <v>1860</v>
      </c>
      <c r="D1312" t="s">
        <v>31</v>
      </c>
      <c r="E1312" t="s">
        <v>19</v>
      </c>
      <c r="F1312" t="s">
        <v>20</v>
      </c>
      <c r="G1312" t="s">
        <v>41</v>
      </c>
      <c r="H1312" t="s">
        <v>48</v>
      </c>
      <c r="I1312">
        <v>2640</v>
      </c>
      <c r="J1312">
        <v>2129</v>
      </c>
      <c r="K1312">
        <v>2011</v>
      </c>
      <c r="L1312">
        <v>23</v>
      </c>
      <c r="M1312">
        <v>9</v>
      </c>
      <c r="N1312">
        <v>0</v>
      </c>
      <c r="O1312">
        <v>416.56</v>
      </c>
      <c r="P1312">
        <v>0</v>
      </c>
      <c r="Q1312" s="5">
        <f t="shared" si="160"/>
        <v>0.94457491780178493</v>
      </c>
      <c r="R1312" s="5">
        <f t="shared" si="161"/>
        <v>1.1437095972153158E-2</v>
      </c>
      <c r="S1312" s="5">
        <f t="shared" si="162"/>
        <v>0.39130434782608697</v>
      </c>
      <c r="T1312" s="5">
        <f t="shared" si="163"/>
        <v>0</v>
      </c>
      <c r="U1312" s="5">
        <f t="shared" si="164"/>
        <v>0</v>
      </c>
      <c r="V1312" s="6">
        <f t="shared" si="165"/>
        <v>46.284444444444446</v>
      </c>
      <c r="W1312" s="7">
        <f t="shared" si="166"/>
        <v>18.111304347826088</v>
      </c>
      <c r="X1312" s="5">
        <f t="shared" si="167"/>
        <v>-1</v>
      </c>
    </row>
    <row r="1313" spans="1:24" x14ac:dyDescent="0.35">
      <c r="A1313" s="3">
        <v>46238</v>
      </c>
      <c r="B1313" t="s">
        <v>1861</v>
      </c>
      <c r="C1313" t="s">
        <v>1862</v>
      </c>
      <c r="D1313" t="s">
        <v>40</v>
      </c>
      <c r="E1313" t="s">
        <v>56</v>
      </c>
      <c r="F1313" t="s">
        <v>26</v>
      </c>
      <c r="G1313" t="s">
        <v>59</v>
      </c>
      <c r="H1313" t="s">
        <v>22</v>
      </c>
      <c r="I1313">
        <v>886</v>
      </c>
      <c r="J1313">
        <v>804</v>
      </c>
      <c r="K1313">
        <v>749</v>
      </c>
      <c r="L1313">
        <v>63</v>
      </c>
      <c r="M1313">
        <v>35</v>
      </c>
      <c r="N1313">
        <v>2</v>
      </c>
      <c r="O1313">
        <v>120.77</v>
      </c>
      <c r="P1313">
        <v>1796.78</v>
      </c>
      <c r="Q1313" s="5">
        <f t="shared" si="160"/>
        <v>0.93159203980099503</v>
      </c>
      <c r="R1313" s="5">
        <f t="shared" si="161"/>
        <v>8.4112149532710276E-2</v>
      </c>
      <c r="S1313" s="5">
        <f t="shared" si="162"/>
        <v>0.55555555555555558</v>
      </c>
      <c r="T1313" s="5">
        <f t="shared" si="163"/>
        <v>5.7142857142857141E-2</v>
      </c>
      <c r="U1313" s="5">
        <f t="shared" si="164"/>
        <v>2.6702269692923898E-3</v>
      </c>
      <c r="V1313" s="6">
        <f t="shared" si="165"/>
        <v>3.4505714285714286</v>
      </c>
      <c r="W1313" s="7">
        <f t="shared" si="166"/>
        <v>1.916984126984127</v>
      </c>
      <c r="X1313" s="5">
        <f t="shared" si="167"/>
        <v>13.877701415914549</v>
      </c>
    </row>
    <row r="1314" spans="1:24" x14ac:dyDescent="0.35">
      <c r="A1314" s="3">
        <v>46239</v>
      </c>
      <c r="B1314" t="s">
        <v>1861</v>
      </c>
      <c r="C1314" t="s">
        <v>1863</v>
      </c>
      <c r="D1314" t="s">
        <v>34</v>
      </c>
      <c r="E1314" t="s">
        <v>25</v>
      </c>
      <c r="F1314" t="s">
        <v>20</v>
      </c>
      <c r="G1314" t="s">
        <v>27</v>
      </c>
      <c r="H1314" t="s">
        <v>37</v>
      </c>
      <c r="I1314">
        <v>3367</v>
      </c>
      <c r="J1314">
        <v>3211</v>
      </c>
      <c r="K1314">
        <v>3057</v>
      </c>
      <c r="L1314">
        <v>106</v>
      </c>
      <c r="M1314">
        <v>50</v>
      </c>
      <c r="N1314">
        <v>1</v>
      </c>
      <c r="O1314">
        <v>254.66</v>
      </c>
      <c r="P1314">
        <v>1269.3800000000001</v>
      </c>
      <c r="Q1314" s="5">
        <f t="shared" si="160"/>
        <v>0.95203986297103704</v>
      </c>
      <c r="R1314" s="5">
        <f t="shared" si="161"/>
        <v>3.4674517500817792E-2</v>
      </c>
      <c r="S1314" s="5">
        <f t="shared" si="162"/>
        <v>0.47169811320754718</v>
      </c>
      <c r="T1314" s="5">
        <f t="shared" si="163"/>
        <v>0.02</v>
      </c>
      <c r="U1314" s="5">
        <f t="shared" si="164"/>
        <v>3.2711808963035657E-4</v>
      </c>
      <c r="V1314" s="6">
        <f t="shared" si="165"/>
        <v>5.0931999999999995</v>
      </c>
      <c r="W1314" s="7">
        <f t="shared" si="166"/>
        <v>2.4024528301886794</v>
      </c>
      <c r="X1314" s="5">
        <f t="shared" si="167"/>
        <v>3.9846069268829032</v>
      </c>
    </row>
    <row r="1315" spans="1:24" x14ac:dyDescent="0.35">
      <c r="A1315" s="3">
        <v>46239</v>
      </c>
      <c r="B1315" t="s">
        <v>1861</v>
      </c>
      <c r="C1315" t="s">
        <v>1864</v>
      </c>
      <c r="D1315" t="s">
        <v>34</v>
      </c>
      <c r="E1315" t="s">
        <v>35</v>
      </c>
      <c r="F1315" t="s">
        <v>20</v>
      </c>
      <c r="G1315" t="s">
        <v>59</v>
      </c>
      <c r="H1315" t="s">
        <v>37</v>
      </c>
      <c r="I1315">
        <v>4311</v>
      </c>
      <c r="J1315">
        <v>3314</v>
      </c>
      <c r="K1315">
        <v>3213</v>
      </c>
      <c r="L1315">
        <v>215</v>
      </c>
      <c r="M1315">
        <v>109</v>
      </c>
      <c r="N1315">
        <v>10</v>
      </c>
      <c r="O1315">
        <v>311.17</v>
      </c>
      <c r="P1315">
        <v>9327.59</v>
      </c>
      <c r="Q1315" s="5">
        <f t="shared" si="160"/>
        <v>0.96952323476161739</v>
      </c>
      <c r="R1315" s="5">
        <f t="shared" si="161"/>
        <v>6.6915655150949271E-2</v>
      </c>
      <c r="S1315" s="5">
        <f t="shared" si="162"/>
        <v>0.50697674418604655</v>
      </c>
      <c r="T1315" s="5">
        <f t="shared" si="163"/>
        <v>9.1743119266055051E-2</v>
      </c>
      <c r="U1315" s="5">
        <f t="shared" si="164"/>
        <v>3.1123560535325241E-3</v>
      </c>
      <c r="V1315" s="6">
        <f t="shared" si="165"/>
        <v>2.8547706422018351</v>
      </c>
      <c r="W1315" s="7">
        <f t="shared" si="166"/>
        <v>1.4473023255813955</v>
      </c>
      <c r="X1315" s="5">
        <f t="shared" si="167"/>
        <v>28.975865282642928</v>
      </c>
    </row>
    <row r="1316" spans="1:24" x14ac:dyDescent="0.35">
      <c r="A1316" s="3">
        <v>46239</v>
      </c>
      <c r="B1316" t="s">
        <v>1826</v>
      </c>
      <c r="C1316" t="s">
        <v>1865</v>
      </c>
      <c r="D1316" t="s">
        <v>31</v>
      </c>
      <c r="E1316" t="s">
        <v>56</v>
      </c>
      <c r="F1316" t="s">
        <v>20</v>
      </c>
      <c r="G1316" t="s">
        <v>41</v>
      </c>
      <c r="H1316" t="s">
        <v>37</v>
      </c>
      <c r="I1316">
        <v>1708</v>
      </c>
      <c r="J1316">
        <v>1530</v>
      </c>
      <c r="K1316">
        <v>1431</v>
      </c>
      <c r="L1316">
        <v>40</v>
      </c>
      <c r="M1316">
        <v>18</v>
      </c>
      <c r="N1316">
        <v>1</v>
      </c>
      <c r="O1316">
        <v>324.39</v>
      </c>
      <c r="P1316">
        <v>1292.5</v>
      </c>
      <c r="Q1316" s="5">
        <f t="shared" si="160"/>
        <v>0.93529411764705883</v>
      </c>
      <c r="R1316" s="5">
        <f t="shared" si="161"/>
        <v>2.7952480782669462E-2</v>
      </c>
      <c r="S1316" s="5">
        <f t="shared" si="162"/>
        <v>0.45</v>
      </c>
      <c r="T1316" s="5">
        <f t="shared" si="163"/>
        <v>5.5555555555555552E-2</v>
      </c>
      <c r="U1316" s="5">
        <f t="shared" si="164"/>
        <v>6.9881201956673651E-4</v>
      </c>
      <c r="V1316" s="6">
        <f t="shared" si="165"/>
        <v>18.021666666666665</v>
      </c>
      <c r="W1316" s="7">
        <f t="shared" si="166"/>
        <v>8.10975</v>
      </c>
      <c r="X1316" s="5">
        <f t="shared" si="167"/>
        <v>2.9844014920311972</v>
      </c>
    </row>
    <row r="1317" spans="1:24" x14ac:dyDescent="0.35">
      <c r="A1317" s="3">
        <v>46239</v>
      </c>
      <c r="B1317" t="s">
        <v>1866</v>
      </c>
      <c r="C1317" t="s">
        <v>1867</v>
      </c>
      <c r="D1317" t="s">
        <v>18</v>
      </c>
      <c r="E1317" t="s">
        <v>25</v>
      </c>
      <c r="F1317" t="s">
        <v>20</v>
      </c>
      <c r="G1317" t="s">
        <v>21</v>
      </c>
      <c r="H1317" t="s">
        <v>51</v>
      </c>
      <c r="I1317">
        <v>3518</v>
      </c>
      <c r="J1317">
        <v>2857</v>
      </c>
      <c r="K1317">
        <v>2673</v>
      </c>
      <c r="L1317">
        <v>66</v>
      </c>
      <c r="M1317">
        <v>33</v>
      </c>
      <c r="N1317">
        <v>2</v>
      </c>
      <c r="O1317">
        <v>409.14</v>
      </c>
      <c r="P1317">
        <v>2514.44</v>
      </c>
      <c r="Q1317" s="5">
        <f t="shared" si="160"/>
        <v>0.93559677983899192</v>
      </c>
      <c r="R1317" s="5">
        <f t="shared" si="161"/>
        <v>2.4691358024691357E-2</v>
      </c>
      <c r="S1317" s="5">
        <f t="shared" si="162"/>
        <v>0.5</v>
      </c>
      <c r="T1317" s="5">
        <f t="shared" si="163"/>
        <v>6.0606060606060608E-2</v>
      </c>
      <c r="U1317" s="5">
        <f t="shared" si="164"/>
        <v>7.4822297044519262E-4</v>
      </c>
      <c r="V1317" s="6">
        <f t="shared" si="165"/>
        <v>12.398181818181818</v>
      </c>
      <c r="W1317" s="7">
        <f t="shared" si="166"/>
        <v>6.1990909090909092</v>
      </c>
      <c r="X1317" s="5">
        <f t="shared" si="167"/>
        <v>5.1456714083198909</v>
      </c>
    </row>
    <row r="1318" spans="1:24" x14ac:dyDescent="0.35">
      <c r="A1318" s="3">
        <v>46240</v>
      </c>
      <c r="B1318" t="s">
        <v>1868</v>
      </c>
      <c r="C1318" t="s">
        <v>1869</v>
      </c>
      <c r="D1318" t="s">
        <v>18</v>
      </c>
      <c r="E1318" t="s">
        <v>25</v>
      </c>
      <c r="F1318" t="s">
        <v>20</v>
      </c>
      <c r="G1318" t="s">
        <v>59</v>
      </c>
      <c r="H1318" t="s">
        <v>22</v>
      </c>
      <c r="I1318">
        <v>3890</v>
      </c>
      <c r="J1318">
        <v>3160</v>
      </c>
      <c r="K1318">
        <v>2946</v>
      </c>
      <c r="L1318">
        <v>81</v>
      </c>
      <c r="M1318">
        <v>38</v>
      </c>
      <c r="N1318">
        <v>2</v>
      </c>
      <c r="O1318">
        <v>442.42</v>
      </c>
      <c r="P1318">
        <v>2196.0100000000002</v>
      </c>
      <c r="Q1318" s="5">
        <f t="shared" si="160"/>
        <v>0.9322784810126582</v>
      </c>
      <c r="R1318" s="5">
        <f t="shared" si="161"/>
        <v>2.7494908350305498E-2</v>
      </c>
      <c r="S1318" s="5">
        <f t="shared" si="162"/>
        <v>0.46913580246913578</v>
      </c>
      <c r="T1318" s="5">
        <f t="shared" si="163"/>
        <v>5.2631578947368418E-2</v>
      </c>
      <c r="U1318" s="5">
        <f t="shared" si="164"/>
        <v>6.7888662593346908E-4</v>
      </c>
      <c r="V1318" s="6">
        <f t="shared" si="165"/>
        <v>11.642631578947368</v>
      </c>
      <c r="W1318" s="7">
        <f t="shared" si="166"/>
        <v>5.4619753086419758</v>
      </c>
      <c r="X1318" s="5">
        <f t="shared" si="167"/>
        <v>3.9636318430450705</v>
      </c>
    </row>
    <row r="1319" spans="1:24" x14ac:dyDescent="0.35">
      <c r="A1319" s="3">
        <v>46240</v>
      </c>
      <c r="B1319" t="s">
        <v>1870</v>
      </c>
      <c r="C1319" t="s">
        <v>1871</v>
      </c>
      <c r="D1319" t="s">
        <v>18</v>
      </c>
      <c r="E1319" t="s">
        <v>35</v>
      </c>
      <c r="F1319" t="s">
        <v>20</v>
      </c>
      <c r="G1319" t="s">
        <v>36</v>
      </c>
      <c r="H1319" t="s">
        <v>51</v>
      </c>
      <c r="I1319">
        <v>2653</v>
      </c>
      <c r="J1319">
        <v>2232</v>
      </c>
      <c r="K1319">
        <v>2093</v>
      </c>
      <c r="L1319">
        <v>157</v>
      </c>
      <c r="M1319">
        <v>70</v>
      </c>
      <c r="N1319">
        <v>4</v>
      </c>
      <c r="O1319">
        <v>233.34</v>
      </c>
      <c r="P1319">
        <v>5373.57</v>
      </c>
      <c r="Q1319" s="5">
        <f t="shared" si="160"/>
        <v>0.93772401433691754</v>
      </c>
      <c r="R1319" s="5">
        <f t="shared" si="161"/>
        <v>7.5011944577161968E-2</v>
      </c>
      <c r="S1319" s="5">
        <f t="shared" si="162"/>
        <v>0.44585987261146498</v>
      </c>
      <c r="T1319" s="5">
        <f t="shared" si="163"/>
        <v>5.7142857142857141E-2</v>
      </c>
      <c r="U1319" s="5">
        <f t="shared" si="164"/>
        <v>1.9111323459149545E-3</v>
      </c>
      <c r="V1319" s="6">
        <f t="shared" si="165"/>
        <v>3.3334285714285716</v>
      </c>
      <c r="W1319" s="7">
        <f t="shared" si="166"/>
        <v>1.4862420382165604</v>
      </c>
      <c r="X1319" s="5">
        <f t="shared" si="167"/>
        <v>22.028927744921571</v>
      </c>
    </row>
    <row r="1320" spans="1:24" x14ac:dyDescent="0.35">
      <c r="A1320" s="3">
        <v>46240</v>
      </c>
      <c r="B1320" t="s">
        <v>1872</v>
      </c>
      <c r="C1320" t="s">
        <v>1873</v>
      </c>
      <c r="D1320" t="s">
        <v>18</v>
      </c>
      <c r="E1320" t="s">
        <v>35</v>
      </c>
      <c r="F1320" t="s">
        <v>20</v>
      </c>
      <c r="G1320" t="s">
        <v>36</v>
      </c>
      <c r="H1320" t="s">
        <v>37</v>
      </c>
      <c r="I1320">
        <v>1386</v>
      </c>
      <c r="J1320">
        <v>1359</v>
      </c>
      <c r="K1320">
        <v>1259</v>
      </c>
      <c r="L1320">
        <v>110</v>
      </c>
      <c r="M1320">
        <v>59</v>
      </c>
      <c r="N1320">
        <v>3</v>
      </c>
      <c r="O1320">
        <v>161.1</v>
      </c>
      <c r="P1320">
        <v>3934.51</v>
      </c>
      <c r="Q1320" s="5">
        <f t="shared" si="160"/>
        <v>0.92641648270787347</v>
      </c>
      <c r="R1320" s="5">
        <f t="shared" si="161"/>
        <v>8.7370929308975373E-2</v>
      </c>
      <c r="S1320" s="5">
        <f t="shared" si="162"/>
        <v>0.53636363636363638</v>
      </c>
      <c r="T1320" s="5">
        <f t="shared" si="163"/>
        <v>5.0847457627118647E-2</v>
      </c>
      <c r="U1320" s="5">
        <f t="shared" si="164"/>
        <v>2.3828435266084196E-3</v>
      </c>
      <c r="V1320" s="6">
        <f t="shared" si="165"/>
        <v>2.7305084745762711</v>
      </c>
      <c r="W1320" s="7">
        <f t="shared" si="166"/>
        <v>1.4645454545454546</v>
      </c>
      <c r="X1320" s="5">
        <f t="shared" si="167"/>
        <v>23.422780881440101</v>
      </c>
    </row>
    <row r="1321" spans="1:24" x14ac:dyDescent="0.35">
      <c r="A1321" s="3">
        <v>46240</v>
      </c>
      <c r="B1321" t="s">
        <v>1874</v>
      </c>
      <c r="C1321" t="s">
        <v>1875</v>
      </c>
      <c r="D1321" t="s">
        <v>31</v>
      </c>
      <c r="E1321" t="s">
        <v>56</v>
      </c>
      <c r="F1321" t="s">
        <v>20</v>
      </c>
      <c r="G1321" t="s">
        <v>36</v>
      </c>
      <c r="H1321" t="s">
        <v>22</v>
      </c>
      <c r="I1321">
        <v>947</v>
      </c>
      <c r="J1321">
        <v>875</v>
      </c>
      <c r="K1321">
        <v>857</v>
      </c>
      <c r="L1321">
        <v>22</v>
      </c>
      <c r="M1321">
        <v>8</v>
      </c>
      <c r="N1321">
        <v>0</v>
      </c>
      <c r="O1321">
        <v>173.27</v>
      </c>
      <c r="P1321">
        <v>0</v>
      </c>
      <c r="Q1321" s="5">
        <f t="shared" si="160"/>
        <v>0.97942857142857143</v>
      </c>
      <c r="R1321" s="5">
        <f t="shared" si="161"/>
        <v>2.5670945157526253E-2</v>
      </c>
      <c r="S1321" s="5">
        <f t="shared" si="162"/>
        <v>0.36363636363636365</v>
      </c>
      <c r="T1321" s="5">
        <f t="shared" si="163"/>
        <v>0</v>
      </c>
      <c r="U1321" s="5">
        <f t="shared" si="164"/>
        <v>0</v>
      </c>
      <c r="V1321" s="6">
        <f t="shared" si="165"/>
        <v>21.658750000000001</v>
      </c>
      <c r="W1321" s="7">
        <f t="shared" si="166"/>
        <v>7.875909090909091</v>
      </c>
      <c r="X1321" s="5">
        <f t="shared" si="167"/>
        <v>-1</v>
      </c>
    </row>
    <row r="1322" spans="1:24" x14ac:dyDescent="0.35">
      <c r="A1322" s="3">
        <v>46240</v>
      </c>
      <c r="B1322" t="s">
        <v>1876</v>
      </c>
      <c r="C1322" t="s">
        <v>1877</v>
      </c>
      <c r="D1322" t="s">
        <v>34</v>
      </c>
      <c r="E1322" t="s">
        <v>35</v>
      </c>
      <c r="F1322" t="s">
        <v>20</v>
      </c>
      <c r="G1322" t="s">
        <v>59</v>
      </c>
      <c r="H1322" t="s">
        <v>51</v>
      </c>
      <c r="I1322">
        <v>4924</v>
      </c>
      <c r="J1322">
        <v>4297</v>
      </c>
      <c r="K1322">
        <v>4053</v>
      </c>
      <c r="L1322">
        <v>227</v>
      </c>
      <c r="M1322">
        <v>109</v>
      </c>
      <c r="N1322">
        <v>7</v>
      </c>
      <c r="O1322">
        <v>339.99</v>
      </c>
      <c r="P1322">
        <v>6636.09</v>
      </c>
      <c r="Q1322" s="5">
        <f t="shared" si="160"/>
        <v>0.94321619734698625</v>
      </c>
      <c r="R1322" s="5">
        <f t="shared" si="161"/>
        <v>5.6007895386133731E-2</v>
      </c>
      <c r="S1322" s="5">
        <f t="shared" si="162"/>
        <v>0.48017621145374451</v>
      </c>
      <c r="T1322" s="5">
        <f t="shared" si="163"/>
        <v>6.4220183486238536E-2</v>
      </c>
      <c r="U1322" s="5">
        <f t="shared" si="164"/>
        <v>1.7271157167530224E-3</v>
      </c>
      <c r="V1322" s="6">
        <f t="shared" si="165"/>
        <v>3.1191743119266055</v>
      </c>
      <c r="W1322" s="7">
        <f t="shared" si="166"/>
        <v>1.4977533039647577</v>
      </c>
      <c r="X1322" s="5">
        <f t="shared" si="167"/>
        <v>18.518485837818758</v>
      </c>
    </row>
    <row r="1323" spans="1:24" x14ac:dyDescent="0.35">
      <c r="A1323" s="3">
        <v>46240</v>
      </c>
      <c r="B1323" t="s">
        <v>1878</v>
      </c>
      <c r="C1323" t="s">
        <v>1879</v>
      </c>
      <c r="D1323" t="s">
        <v>18</v>
      </c>
      <c r="E1323" t="s">
        <v>56</v>
      </c>
      <c r="F1323" t="s">
        <v>20</v>
      </c>
      <c r="G1323" t="s">
        <v>27</v>
      </c>
      <c r="H1323" t="s">
        <v>37</v>
      </c>
      <c r="I1323">
        <v>601</v>
      </c>
      <c r="J1323">
        <v>436</v>
      </c>
      <c r="K1323">
        <v>391</v>
      </c>
      <c r="L1323">
        <v>19</v>
      </c>
      <c r="M1323">
        <v>8</v>
      </c>
      <c r="N1323">
        <v>0</v>
      </c>
      <c r="O1323">
        <v>52.04</v>
      </c>
      <c r="P1323">
        <v>0</v>
      </c>
      <c r="Q1323" s="5">
        <f t="shared" si="160"/>
        <v>0.89678899082568808</v>
      </c>
      <c r="R1323" s="5">
        <f t="shared" si="161"/>
        <v>4.859335038363171E-2</v>
      </c>
      <c r="S1323" s="5">
        <f t="shared" si="162"/>
        <v>0.42105263157894735</v>
      </c>
      <c r="T1323" s="5">
        <f t="shared" si="163"/>
        <v>0</v>
      </c>
      <c r="U1323" s="5">
        <f t="shared" si="164"/>
        <v>0</v>
      </c>
      <c r="V1323" s="6">
        <f t="shared" si="165"/>
        <v>6.5049999999999999</v>
      </c>
      <c r="W1323" s="7">
        <f t="shared" si="166"/>
        <v>2.7389473684210528</v>
      </c>
      <c r="X1323" s="5">
        <f t="shared" si="167"/>
        <v>-1</v>
      </c>
    </row>
    <row r="1324" spans="1:24" x14ac:dyDescent="0.35">
      <c r="A1324" s="3">
        <v>46240</v>
      </c>
      <c r="B1324" t="s">
        <v>1880</v>
      </c>
      <c r="C1324" t="s">
        <v>1881</v>
      </c>
      <c r="D1324" t="s">
        <v>34</v>
      </c>
      <c r="E1324" t="s">
        <v>35</v>
      </c>
      <c r="F1324" t="s">
        <v>20</v>
      </c>
      <c r="G1324" t="s">
        <v>59</v>
      </c>
      <c r="H1324" t="s">
        <v>22</v>
      </c>
      <c r="I1324">
        <v>4342</v>
      </c>
      <c r="J1324">
        <v>3523</v>
      </c>
      <c r="K1324">
        <v>3287</v>
      </c>
      <c r="L1324">
        <v>229</v>
      </c>
      <c r="M1324">
        <v>88</v>
      </c>
      <c r="N1324">
        <v>7</v>
      </c>
      <c r="O1324">
        <v>313.52</v>
      </c>
      <c r="P1324">
        <v>5950.57</v>
      </c>
      <c r="Q1324" s="5">
        <f t="shared" si="160"/>
        <v>0.93301163780868579</v>
      </c>
      <c r="R1324" s="5">
        <f t="shared" si="161"/>
        <v>6.9668390629753579E-2</v>
      </c>
      <c r="S1324" s="5">
        <f t="shared" si="162"/>
        <v>0.38427947598253276</v>
      </c>
      <c r="T1324" s="5">
        <f t="shared" si="163"/>
        <v>7.9545454545454544E-2</v>
      </c>
      <c r="U1324" s="5">
        <f t="shared" si="164"/>
        <v>2.1296014602981443E-3</v>
      </c>
      <c r="V1324" s="6">
        <f t="shared" si="165"/>
        <v>3.5627272727272725</v>
      </c>
      <c r="W1324" s="7">
        <f t="shared" si="166"/>
        <v>1.3690829694323143</v>
      </c>
      <c r="X1324" s="5">
        <f t="shared" si="167"/>
        <v>17.979873692268434</v>
      </c>
    </row>
    <row r="1325" spans="1:24" x14ac:dyDescent="0.35">
      <c r="A1325" s="3">
        <v>46240</v>
      </c>
      <c r="B1325" t="s">
        <v>1882</v>
      </c>
      <c r="C1325" t="s">
        <v>1883</v>
      </c>
      <c r="D1325" t="s">
        <v>40</v>
      </c>
      <c r="E1325" t="s">
        <v>35</v>
      </c>
      <c r="F1325" t="s">
        <v>26</v>
      </c>
      <c r="G1325" t="s">
        <v>27</v>
      </c>
      <c r="H1325" t="s">
        <v>51</v>
      </c>
      <c r="I1325">
        <v>2448</v>
      </c>
      <c r="J1325">
        <v>1862</v>
      </c>
      <c r="K1325">
        <v>1692</v>
      </c>
      <c r="L1325">
        <v>178</v>
      </c>
      <c r="M1325">
        <v>112</v>
      </c>
      <c r="N1325">
        <v>10</v>
      </c>
      <c r="O1325">
        <v>248.58</v>
      </c>
      <c r="P1325">
        <v>13682.9</v>
      </c>
      <c r="Q1325" s="5">
        <f t="shared" si="160"/>
        <v>0.90870032223415687</v>
      </c>
      <c r="R1325" s="5">
        <f t="shared" si="161"/>
        <v>0.10520094562647754</v>
      </c>
      <c r="S1325" s="5">
        <f t="shared" si="162"/>
        <v>0.6292134831460674</v>
      </c>
      <c r="T1325" s="5">
        <f t="shared" si="163"/>
        <v>8.9285714285714288E-2</v>
      </c>
      <c r="U1325" s="5">
        <f t="shared" si="164"/>
        <v>5.9101654846335696E-3</v>
      </c>
      <c r="V1325" s="6">
        <f t="shared" si="165"/>
        <v>2.2194642857142859</v>
      </c>
      <c r="W1325" s="7">
        <f t="shared" si="166"/>
        <v>1.3965168539325843</v>
      </c>
      <c r="X1325" s="5">
        <f t="shared" si="167"/>
        <v>54.044251347654672</v>
      </c>
    </row>
    <row r="1326" spans="1:24" x14ac:dyDescent="0.35">
      <c r="A1326" s="3">
        <v>46240</v>
      </c>
      <c r="B1326" t="s">
        <v>1884</v>
      </c>
      <c r="C1326" t="s">
        <v>1885</v>
      </c>
      <c r="D1326" t="s">
        <v>18</v>
      </c>
      <c r="E1326" t="s">
        <v>56</v>
      </c>
      <c r="F1326" t="s">
        <v>20</v>
      </c>
      <c r="G1326" t="s">
        <v>27</v>
      </c>
      <c r="H1326" t="s">
        <v>22</v>
      </c>
      <c r="I1326">
        <v>1235</v>
      </c>
      <c r="J1326">
        <v>1136</v>
      </c>
      <c r="K1326">
        <v>1057</v>
      </c>
      <c r="L1326">
        <v>55</v>
      </c>
      <c r="M1326">
        <v>27</v>
      </c>
      <c r="N1326">
        <v>1</v>
      </c>
      <c r="O1326">
        <v>148.6</v>
      </c>
      <c r="P1326">
        <v>1098.18</v>
      </c>
      <c r="Q1326" s="5">
        <f t="shared" si="160"/>
        <v>0.93045774647887325</v>
      </c>
      <c r="R1326" s="5">
        <f t="shared" si="161"/>
        <v>5.2034058656575212E-2</v>
      </c>
      <c r="S1326" s="5">
        <f t="shared" si="162"/>
        <v>0.49090909090909091</v>
      </c>
      <c r="T1326" s="5">
        <f t="shared" si="163"/>
        <v>3.7037037037037035E-2</v>
      </c>
      <c r="U1326" s="5">
        <f t="shared" si="164"/>
        <v>9.4607379375591296E-4</v>
      </c>
      <c r="V1326" s="6">
        <f t="shared" si="165"/>
        <v>5.5037037037037031</v>
      </c>
      <c r="W1326" s="7">
        <f t="shared" si="166"/>
        <v>2.7018181818181817</v>
      </c>
      <c r="X1326" s="5">
        <f t="shared" si="167"/>
        <v>6.3901749663526246</v>
      </c>
    </row>
    <row r="1327" spans="1:24" x14ac:dyDescent="0.35">
      <c r="A1327" s="3">
        <v>46240</v>
      </c>
      <c r="B1327" t="s">
        <v>1866</v>
      </c>
      <c r="C1327" t="s">
        <v>1886</v>
      </c>
      <c r="D1327" t="s">
        <v>34</v>
      </c>
      <c r="E1327" t="s">
        <v>25</v>
      </c>
      <c r="F1327" t="s">
        <v>20</v>
      </c>
      <c r="G1327" t="s">
        <v>41</v>
      </c>
      <c r="H1327" t="s">
        <v>37</v>
      </c>
      <c r="I1327">
        <v>4723</v>
      </c>
      <c r="J1327">
        <v>4662</v>
      </c>
      <c r="K1327">
        <v>4459</v>
      </c>
      <c r="L1327">
        <v>137</v>
      </c>
      <c r="M1327">
        <v>65</v>
      </c>
      <c r="N1327">
        <v>2</v>
      </c>
      <c r="O1327">
        <v>402.84</v>
      </c>
      <c r="P1327">
        <v>1608.39</v>
      </c>
      <c r="Q1327" s="5">
        <f t="shared" si="160"/>
        <v>0.95645645645645649</v>
      </c>
      <c r="R1327" s="5">
        <f t="shared" si="161"/>
        <v>3.0724377663153172E-2</v>
      </c>
      <c r="S1327" s="5">
        <f t="shared" si="162"/>
        <v>0.47445255474452552</v>
      </c>
      <c r="T1327" s="5">
        <f t="shared" si="163"/>
        <v>3.0769230769230771E-2</v>
      </c>
      <c r="U1327" s="5">
        <f t="shared" si="164"/>
        <v>4.4853106077595876E-4</v>
      </c>
      <c r="V1327" s="6">
        <f t="shared" si="165"/>
        <v>6.1975384615384614</v>
      </c>
      <c r="W1327" s="7">
        <f t="shared" si="166"/>
        <v>2.9404379562043794</v>
      </c>
      <c r="X1327" s="5">
        <f t="shared" si="167"/>
        <v>2.9926273458445047</v>
      </c>
    </row>
    <row r="1328" spans="1:24" x14ac:dyDescent="0.35">
      <c r="A1328" s="3">
        <v>46241</v>
      </c>
      <c r="B1328" t="s">
        <v>1868</v>
      </c>
      <c r="C1328" t="s">
        <v>1887</v>
      </c>
      <c r="D1328" t="s">
        <v>18</v>
      </c>
      <c r="E1328" t="s">
        <v>56</v>
      </c>
      <c r="F1328" t="s">
        <v>26</v>
      </c>
      <c r="G1328" t="s">
        <v>27</v>
      </c>
      <c r="H1328" t="s">
        <v>22</v>
      </c>
      <c r="I1328">
        <v>2723</v>
      </c>
      <c r="J1328">
        <v>2088</v>
      </c>
      <c r="K1328">
        <v>1895</v>
      </c>
      <c r="L1328">
        <v>171</v>
      </c>
      <c r="M1328">
        <v>115</v>
      </c>
      <c r="N1328">
        <v>8</v>
      </c>
      <c r="O1328">
        <v>248.79</v>
      </c>
      <c r="P1328">
        <v>7226.2</v>
      </c>
      <c r="Q1328" s="5">
        <f t="shared" si="160"/>
        <v>0.90756704980842917</v>
      </c>
      <c r="R1328" s="5">
        <f t="shared" si="161"/>
        <v>9.0237467018469658E-2</v>
      </c>
      <c r="S1328" s="5">
        <f t="shared" si="162"/>
        <v>0.67251461988304095</v>
      </c>
      <c r="T1328" s="5">
        <f t="shared" si="163"/>
        <v>6.9565217391304349E-2</v>
      </c>
      <c r="U1328" s="5">
        <f t="shared" si="164"/>
        <v>4.221635883905013E-3</v>
      </c>
      <c r="V1328" s="6">
        <f t="shared" si="165"/>
        <v>2.1633913043478259</v>
      </c>
      <c r="W1328" s="7">
        <f t="shared" si="166"/>
        <v>1.4549122807017543</v>
      </c>
      <c r="X1328" s="5">
        <f t="shared" si="167"/>
        <v>28.045379637445237</v>
      </c>
    </row>
    <row r="1329" spans="1:24" x14ac:dyDescent="0.35">
      <c r="A1329" s="3">
        <v>46241</v>
      </c>
      <c r="B1329" t="s">
        <v>1818</v>
      </c>
      <c r="C1329" t="s">
        <v>1888</v>
      </c>
      <c r="D1329" t="s">
        <v>34</v>
      </c>
      <c r="E1329" t="s">
        <v>35</v>
      </c>
      <c r="F1329" t="s">
        <v>26</v>
      </c>
      <c r="G1329" t="s">
        <v>21</v>
      </c>
      <c r="H1329" t="s">
        <v>48</v>
      </c>
      <c r="I1329">
        <v>4070</v>
      </c>
      <c r="J1329">
        <v>3621</v>
      </c>
      <c r="K1329">
        <v>3335</v>
      </c>
      <c r="L1329">
        <v>296</v>
      </c>
      <c r="M1329">
        <v>179</v>
      </c>
      <c r="N1329">
        <v>17</v>
      </c>
      <c r="O1329">
        <v>290.52999999999997</v>
      </c>
      <c r="P1329">
        <v>18354.09</v>
      </c>
      <c r="Q1329" s="5">
        <f t="shared" si="160"/>
        <v>0.9210162938414802</v>
      </c>
      <c r="R1329" s="5">
        <f t="shared" si="161"/>
        <v>8.875562218890555E-2</v>
      </c>
      <c r="S1329" s="5">
        <f t="shared" si="162"/>
        <v>0.60472972972972971</v>
      </c>
      <c r="T1329" s="5">
        <f t="shared" si="163"/>
        <v>9.4972067039106142E-2</v>
      </c>
      <c r="U1329" s="5">
        <f t="shared" si="164"/>
        <v>5.0974512743628183E-3</v>
      </c>
      <c r="V1329" s="6">
        <f t="shared" si="165"/>
        <v>1.6230726256983239</v>
      </c>
      <c r="W1329" s="7">
        <f t="shared" si="166"/>
        <v>0.98152027027027022</v>
      </c>
      <c r="X1329" s="5">
        <f t="shared" si="167"/>
        <v>62.174508656593133</v>
      </c>
    </row>
    <row r="1330" spans="1:24" x14ac:dyDescent="0.35">
      <c r="A1330" s="3">
        <v>46241</v>
      </c>
      <c r="B1330" t="s">
        <v>1889</v>
      </c>
      <c r="C1330" t="s">
        <v>1890</v>
      </c>
      <c r="D1330" t="s">
        <v>31</v>
      </c>
      <c r="E1330" t="s">
        <v>56</v>
      </c>
      <c r="F1330" t="s">
        <v>26</v>
      </c>
      <c r="G1330" t="s">
        <v>27</v>
      </c>
      <c r="H1330" t="s">
        <v>37</v>
      </c>
      <c r="I1330">
        <v>4551</v>
      </c>
      <c r="J1330">
        <v>4288</v>
      </c>
      <c r="K1330">
        <v>4200</v>
      </c>
      <c r="L1330">
        <v>272</v>
      </c>
      <c r="M1330">
        <v>119</v>
      </c>
      <c r="N1330">
        <v>10</v>
      </c>
      <c r="O1330">
        <v>753.84</v>
      </c>
      <c r="P1330">
        <v>9735.2900000000009</v>
      </c>
      <c r="Q1330" s="5">
        <f t="shared" si="160"/>
        <v>0.97947761194029848</v>
      </c>
      <c r="R1330" s="5">
        <f t="shared" si="161"/>
        <v>6.4761904761904757E-2</v>
      </c>
      <c r="S1330" s="5">
        <f t="shared" si="162"/>
        <v>0.4375</v>
      </c>
      <c r="T1330" s="5">
        <f t="shared" si="163"/>
        <v>8.4033613445378158E-2</v>
      </c>
      <c r="U1330" s="5">
        <f t="shared" si="164"/>
        <v>2.3809523809523812E-3</v>
      </c>
      <c r="V1330" s="6">
        <f t="shared" si="165"/>
        <v>6.334789915966387</v>
      </c>
      <c r="W1330" s="7">
        <f t="shared" si="166"/>
        <v>2.7714705882352941</v>
      </c>
      <c r="X1330" s="5">
        <f t="shared" si="167"/>
        <v>11.914265626658178</v>
      </c>
    </row>
    <row r="1331" spans="1:24" x14ac:dyDescent="0.35">
      <c r="A1331" s="3">
        <v>46241</v>
      </c>
      <c r="B1331" t="s">
        <v>1849</v>
      </c>
      <c r="C1331" t="s">
        <v>1891</v>
      </c>
      <c r="D1331" t="s">
        <v>40</v>
      </c>
      <c r="E1331" t="s">
        <v>25</v>
      </c>
      <c r="F1331" t="s">
        <v>20</v>
      </c>
      <c r="G1331" t="s">
        <v>21</v>
      </c>
      <c r="H1331" t="s">
        <v>28</v>
      </c>
      <c r="I1331">
        <v>4839</v>
      </c>
      <c r="J1331">
        <v>4770</v>
      </c>
      <c r="K1331">
        <v>4373</v>
      </c>
      <c r="L1331">
        <v>143</v>
      </c>
      <c r="M1331">
        <v>53</v>
      </c>
      <c r="N1331">
        <v>2</v>
      </c>
      <c r="O1331">
        <v>616.98</v>
      </c>
      <c r="P1331">
        <v>1817.03</v>
      </c>
      <c r="Q1331" s="5">
        <f t="shared" si="160"/>
        <v>0.91677148846960166</v>
      </c>
      <c r="R1331" s="5">
        <f t="shared" si="161"/>
        <v>3.2700663160301853E-2</v>
      </c>
      <c r="S1331" s="5">
        <f t="shared" si="162"/>
        <v>0.37062937062937062</v>
      </c>
      <c r="T1331" s="5">
        <f t="shared" si="163"/>
        <v>3.7735849056603772E-2</v>
      </c>
      <c r="U1331" s="5">
        <f t="shared" si="164"/>
        <v>4.5735193231191402E-4</v>
      </c>
      <c r="V1331" s="6">
        <f t="shared" si="165"/>
        <v>11.641132075471699</v>
      </c>
      <c r="W1331" s="7">
        <f t="shared" si="166"/>
        <v>4.3145454545454545</v>
      </c>
      <c r="X1331" s="5">
        <f t="shared" si="167"/>
        <v>1.9450387370741351</v>
      </c>
    </row>
    <row r="1332" spans="1:24" x14ac:dyDescent="0.35">
      <c r="A1332" s="3">
        <v>46241</v>
      </c>
      <c r="B1332" t="s">
        <v>1851</v>
      </c>
      <c r="C1332" t="s">
        <v>1892</v>
      </c>
      <c r="D1332" t="s">
        <v>31</v>
      </c>
      <c r="E1332" t="s">
        <v>56</v>
      </c>
      <c r="F1332" t="s">
        <v>26</v>
      </c>
      <c r="G1332" t="s">
        <v>59</v>
      </c>
      <c r="H1332" t="s">
        <v>37</v>
      </c>
      <c r="I1332">
        <v>2071</v>
      </c>
      <c r="J1332">
        <v>1991</v>
      </c>
      <c r="K1332">
        <v>1946</v>
      </c>
      <c r="L1332">
        <v>103</v>
      </c>
      <c r="M1332">
        <v>46</v>
      </c>
      <c r="N1332">
        <v>4</v>
      </c>
      <c r="O1332">
        <v>333.23</v>
      </c>
      <c r="P1332">
        <v>3050.04</v>
      </c>
      <c r="Q1332" s="5">
        <f t="shared" si="160"/>
        <v>0.97739829231541941</v>
      </c>
      <c r="R1332" s="5">
        <f t="shared" si="161"/>
        <v>5.2929085303186026E-2</v>
      </c>
      <c r="S1332" s="5">
        <f t="shared" si="162"/>
        <v>0.44660194174757284</v>
      </c>
      <c r="T1332" s="5">
        <f t="shared" si="163"/>
        <v>8.6956521739130432E-2</v>
      </c>
      <c r="U1332" s="5">
        <f t="shared" si="164"/>
        <v>2.0554984583761563E-3</v>
      </c>
      <c r="V1332" s="6">
        <f t="shared" si="165"/>
        <v>7.2441304347826092</v>
      </c>
      <c r="W1332" s="7">
        <f t="shared" si="166"/>
        <v>3.2352427184466022</v>
      </c>
      <c r="X1332" s="5">
        <f t="shared" si="167"/>
        <v>8.1529574167992074</v>
      </c>
    </row>
    <row r="1333" spans="1:24" x14ac:dyDescent="0.35">
      <c r="A1333" s="3">
        <v>46241</v>
      </c>
      <c r="B1333" t="s">
        <v>1893</v>
      </c>
      <c r="C1333" t="s">
        <v>1894</v>
      </c>
      <c r="D1333" t="s">
        <v>31</v>
      </c>
      <c r="E1333" t="s">
        <v>19</v>
      </c>
      <c r="F1333" t="s">
        <v>20</v>
      </c>
      <c r="G1333" t="s">
        <v>21</v>
      </c>
      <c r="H1333" t="s">
        <v>28</v>
      </c>
      <c r="I1333">
        <v>4160</v>
      </c>
      <c r="J1333">
        <v>3269</v>
      </c>
      <c r="K1333">
        <v>3190</v>
      </c>
      <c r="L1333">
        <v>61</v>
      </c>
      <c r="M1333">
        <v>20</v>
      </c>
      <c r="N1333">
        <v>1</v>
      </c>
      <c r="O1333">
        <v>535.12</v>
      </c>
      <c r="P1333">
        <v>980.86</v>
      </c>
      <c r="Q1333" s="5">
        <f t="shared" si="160"/>
        <v>0.97583358825328848</v>
      </c>
      <c r="R1333" s="5">
        <f t="shared" si="161"/>
        <v>1.9122257053291535E-2</v>
      </c>
      <c r="S1333" s="5">
        <f t="shared" si="162"/>
        <v>0.32786885245901637</v>
      </c>
      <c r="T1333" s="5">
        <f t="shared" si="163"/>
        <v>0.05</v>
      </c>
      <c r="U1333" s="5">
        <f t="shared" si="164"/>
        <v>3.1347962382445143E-4</v>
      </c>
      <c r="V1333" s="6">
        <f t="shared" si="165"/>
        <v>26.756</v>
      </c>
      <c r="W1333" s="7">
        <f t="shared" si="166"/>
        <v>8.7724590163934426</v>
      </c>
      <c r="X1333" s="5">
        <f t="shared" si="167"/>
        <v>0.83297204365375987</v>
      </c>
    </row>
    <row r="1334" spans="1:24" x14ac:dyDescent="0.35">
      <c r="A1334" s="3">
        <v>46241</v>
      </c>
      <c r="B1334" t="s">
        <v>1856</v>
      </c>
      <c r="C1334" t="s">
        <v>1895</v>
      </c>
      <c r="D1334" t="s">
        <v>31</v>
      </c>
      <c r="E1334" t="s">
        <v>35</v>
      </c>
      <c r="F1334" t="s">
        <v>26</v>
      </c>
      <c r="G1334" t="s">
        <v>36</v>
      </c>
      <c r="H1334" t="s">
        <v>37</v>
      </c>
      <c r="I1334">
        <v>2124</v>
      </c>
      <c r="J1334">
        <v>1879</v>
      </c>
      <c r="K1334">
        <v>1774</v>
      </c>
      <c r="L1334">
        <v>109</v>
      </c>
      <c r="M1334">
        <v>57</v>
      </c>
      <c r="N1334">
        <v>5</v>
      </c>
      <c r="O1334">
        <v>362.8</v>
      </c>
      <c r="P1334">
        <v>7466.54</v>
      </c>
      <c r="Q1334" s="5">
        <f t="shared" si="160"/>
        <v>0.94411921234699303</v>
      </c>
      <c r="R1334" s="5">
        <f t="shared" si="161"/>
        <v>6.144306651634724E-2</v>
      </c>
      <c r="S1334" s="5">
        <f t="shared" si="162"/>
        <v>0.52293577981651373</v>
      </c>
      <c r="T1334" s="5">
        <f t="shared" si="163"/>
        <v>8.771929824561403E-2</v>
      </c>
      <c r="U1334" s="5">
        <f t="shared" si="164"/>
        <v>2.8184892897406989E-3</v>
      </c>
      <c r="V1334" s="6">
        <f t="shared" si="165"/>
        <v>6.3649122807017546</v>
      </c>
      <c r="W1334" s="7">
        <f t="shared" si="166"/>
        <v>3.3284403669724774</v>
      </c>
      <c r="X1334" s="5">
        <f t="shared" si="167"/>
        <v>19.580319735391399</v>
      </c>
    </row>
    <row r="1335" spans="1:24" x14ac:dyDescent="0.35">
      <c r="A1335" s="3">
        <v>46241</v>
      </c>
      <c r="B1335" t="s">
        <v>1824</v>
      </c>
      <c r="C1335" t="s">
        <v>1896</v>
      </c>
      <c r="D1335" t="s">
        <v>34</v>
      </c>
      <c r="E1335" t="s">
        <v>35</v>
      </c>
      <c r="F1335" t="s">
        <v>20</v>
      </c>
      <c r="G1335" t="s">
        <v>59</v>
      </c>
      <c r="H1335" t="s">
        <v>48</v>
      </c>
      <c r="I1335">
        <v>4071</v>
      </c>
      <c r="J1335">
        <v>3419</v>
      </c>
      <c r="K1335">
        <v>3218</v>
      </c>
      <c r="L1335">
        <v>190</v>
      </c>
      <c r="M1335">
        <v>76</v>
      </c>
      <c r="N1335">
        <v>5</v>
      </c>
      <c r="O1335">
        <v>326.48</v>
      </c>
      <c r="P1335">
        <v>5296.5</v>
      </c>
      <c r="Q1335" s="5">
        <f t="shared" si="160"/>
        <v>0.9412108803743785</v>
      </c>
      <c r="R1335" s="5">
        <f t="shared" si="161"/>
        <v>5.9042883778744559E-2</v>
      </c>
      <c r="S1335" s="5">
        <f t="shared" si="162"/>
        <v>0.4</v>
      </c>
      <c r="T1335" s="5">
        <f t="shared" si="163"/>
        <v>6.5789473684210523E-2</v>
      </c>
      <c r="U1335" s="5">
        <f t="shared" si="164"/>
        <v>1.5537600994406464E-3</v>
      </c>
      <c r="V1335" s="6">
        <f t="shared" si="165"/>
        <v>4.295789473684211</v>
      </c>
      <c r="W1335" s="7">
        <f t="shared" si="166"/>
        <v>1.7183157894736842</v>
      </c>
      <c r="X1335" s="5">
        <f t="shared" si="167"/>
        <v>15.223045822102426</v>
      </c>
    </row>
    <row r="1336" spans="1:24" x14ac:dyDescent="0.35">
      <c r="A1336" s="3">
        <v>46241</v>
      </c>
      <c r="B1336" t="s">
        <v>1836</v>
      </c>
      <c r="C1336" t="s">
        <v>1897</v>
      </c>
      <c r="D1336" t="s">
        <v>34</v>
      </c>
      <c r="E1336" t="s">
        <v>56</v>
      </c>
      <c r="F1336" t="s">
        <v>20</v>
      </c>
      <c r="G1336" t="s">
        <v>36</v>
      </c>
      <c r="H1336" t="s">
        <v>28</v>
      </c>
      <c r="I1336">
        <v>1613</v>
      </c>
      <c r="J1336">
        <v>1552</v>
      </c>
      <c r="K1336">
        <v>1481</v>
      </c>
      <c r="L1336">
        <v>91</v>
      </c>
      <c r="M1336">
        <v>40</v>
      </c>
      <c r="N1336">
        <v>2</v>
      </c>
      <c r="O1336">
        <v>129.5</v>
      </c>
      <c r="P1336">
        <v>2022.77</v>
      </c>
      <c r="Q1336" s="5">
        <f t="shared" si="160"/>
        <v>0.95425257731958768</v>
      </c>
      <c r="R1336" s="5">
        <f t="shared" si="161"/>
        <v>6.1444969615124918E-2</v>
      </c>
      <c r="S1336" s="5">
        <f t="shared" si="162"/>
        <v>0.43956043956043955</v>
      </c>
      <c r="T1336" s="5">
        <f t="shared" si="163"/>
        <v>0.05</v>
      </c>
      <c r="U1336" s="5">
        <f t="shared" si="164"/>
        <v>1.3504388926401081E-3</v>
      </c>
      <c r="V1336" s="6">
        <f t="shared" si="165"/>
        <v>3.2374999999999998</v>
      </c>
      <c r="W1336" s="7">
        <f t="shared" si="166"/>
        <v>1.4230769230769231</v>
      </c>
      <c r="X1336" s="5">
        <f t="shared" si="167"/>
        <v>14.61984555984556</v>
      </c>
    </row>
    <row r="1337" spans="1:24" x14ac:dyDescent="0.35">
      <c r="A1337" s="3">
        <v>46241</v>
      </c>
      <c r="B1337" t="s">
        <v>1842</v>
      </c>
      <c r="C1337" t="s">
        <v>1898</v>
      </c>
      <c r="D1337" t="s">
        <v>34</v>
      </c>
      <c r="E1337" t="s">
        <v>35</v>
      </c>
      <c r="F1337" t="s">
        <v>20</v>
      </c>
      <c r="G1337" t="s">
        <v>59</v>
      </c>
      <c r="H1337" t="s">
        <v>48</v>
      </c>
      <c r="I1337">
        <v>1920</v>
      </c>
      <c r="J1337">
        <v>1798</v>
      </c>
      <c r="K1337">
        <v>1713</v>
      </c>
      <c r="L1337">
        <v>136</v>
      </c>
      <c r="M1337">
        <v>62</v>
      </c>
      <c r="N1337">
        <v>5</v>
      </c>
      <c r="O1337">
        <v>157.71</v>
      </c>
      <c r="P1337">
        <v>7829.57</v>
      </c>
      <c r="Q1337" s="5">
        <f t="shared" si="160"/>
        <v>0.95272525027808674</v>
      </c>
      <c r="R1337" s="5">
        <f t="shared" si="161"/>
        <v>7.9392877991827204E-2</v>
      </c>
      <c r="S1337" s="5">
        <f t="shared" si="162"/>
        <v>0.45588235294117646</v>
      </c>
      <c r="T1337" s="5">
        <f t="shared" si="163"/>
        <v>8.0645161290322578E-2</v>
      </c>
      <c r="U1337" s="5">
        <f t="shared" si="164"/>
        <v>2.918855808523059E-3</v>
      </c>
      <c r="V1337" s="6">
        <f t="shared" si="165"/>
        <v>2.5437096774193551</v>
      </c>
      <c r="W1337" s="7">
        <f t="shared" si="166"/>
        <v>1.1596323529411765</v>
      </c>
      <c r="X1337" s="5">
        <f t="shared" si="167"/>
        <v>48.645361739902349</v>
      </c>
    </row>
    <row r="1338" spans="1:24" x14ac:dyDescent="0.35">
      <c r="A1338" s="3">
        <v>46242</v>
      </c>
      <c r="B1338" t="s">
        <v>1899</v>
      </c>
      <c r="C1338" t="s">
        <v>1900</v>
      </c>
      <c r="D1338" t="s">
        <v>18</v>
      </c>
      <c r="E1338" t="s">
        <v>56</v>
      </c>
      <c r="F1338" t="s">
        <v>26</v>
      </c>
      <c r="G1338" t="s">
        <v>59</v>
      </c>
      <c r="H1338" t="s">
        <v>22</v>
      </c>
      <c r="I1338">
        <v>4330</v>
      </c>
      <c r="J1338">
        <v>3180</v>
      </c>
      <c r="K1338">
        <v>2872</v>
      </c>
      <c r="L1338">
        <v>218</v>
      </c>
      <c r="M1338">
        <v>141</v>
      </c>
      <c r="N1338">
        <v>7</v>
      </c>
      <c r="O1338">
        <v>400.45</v>
      </c>
      <c r="P1338">
        <v>6254.2</v>
      </c>
      <c r="Q1338" s="5">
        <f t="shared" si="160"/>
        <v>0.90314465408805034</v>
      </c>
      <c r="R1338" s="5">
        <f t="shared" si="161"/>
        <v>7.5905292479108641E-2</v>
      </c>
      <c r="S1338" s="5">
        <f t="shared" si="162"/>
        <v>0.64678899082568808</v>
      </c>
      <c r="T1338" s="5">
        <f t="shared" si="163"/>
        <v>4.9645390070921988E-2</v>
      </c>
      <c r="U1338" s="5">
        <f t="shared" si="164"/>
        <v>2.4373259052924792E-3</v>
      </c>
      <c r="V1338" s="6">
        <f t="shared" si="165"/>
        <v>2.8400709219858156</v>
      </c>
      <c r="W1338" s="7">
        <f t="shared" si="166"/>
        <v>1.8369266055045872</v>
      </c>
      <c r="X1338" s="5">
        <f t="shared" si="167"/>
        <v>14.61792982894244</v>
      </c>
    </row>
    <row r="1339" spans="1:24" x14ac:dyDescent="0.35">
      <c r="A1339" s="3">
        <v>46242</v>
      </c>
      <c r="B1339" t="s">
        <v>1901</v>
      </c>
      <c r="C1339" t="s">
        <v>1902</v>
      </c>
      <c r="D1339" t="s">
        <v>34</v>
      </c>
      <c r="E1339" t="s">
        <v>25</v>
      </c>
      <c r="F1339" t="s">
        <v>20</v>
      </c>
      <c r="G1339" t="s">
        <v>36</v>
      </c>
      <c r="H1339" t="s">
        <v>22</v>
      </c>
      <c r="I1339">
        <v>2594</v>
      </c>
      <c r="J1339">
        <v>2240</v>
      </c>
      <c r="K1339">
        <v>2113</v>
      </c>
      <c r="L1339">
        <v>66</v>
      </c>
      <c r="M1339">
        <v>23</v>
      </c>
      <c r="N1339">
        <v>1</v>
      </c>
      <c r="O1339">
        <v>183.14</v>
      </c>
      <c r="P1339">
        <v>1067.96</v>
      </c>
      <c r="Q1339" s="5">
        <f t="shared" si="160"/>
        <v>0.94330357142857146</v>
      </c>
      <c r="R1339" s="5">
        <f t="shared" si="161"/>
        <v>3.1235210601041175E-2</v>
      </c>
      <c r="S1339" s="5">
        <f t="shared" si="162"/>
        <v>0.34848484848484851</v>
      </c>
      <c r="T1339" s="5">
        <f t="shared" si="163"/>
        <v>4.3478260869565216E-2</v>
      </c>
      <c r="U1339" s="5">
        <f t="shared" si="164"/>
        <v>4.7326076668244201E-4</v>
      </c>
      <c r="V1339" s="6">
        <f t="shared" si="165"/>
        <v>7.9626086956521736</v>
      </c>
      <c r="W1339" s="7">
        <f t="shared" si="166"/>
        <v>2.7748484848484845</v>
      </c>
      <c r="X1339" s="5">
        <f t="shared" si="167"/>
        <v>4.8313858250518731</v>
      </c>
    </row>
    <row r="1340" spans="1:24" x14ac:dyDescent="0.35">
      <c r="A1340" s="3">
        <v>46242</v>
      </c>
      <c r="B1340" t="s">
        <v>1903</v>
      </c>
      <c r="C1340" t="s">
        <v>1904</v>
      </c>
      <c r="D1340" t="s">
        <v>40</v>
      </c>
      <c r="E1340" t="s">
        <v>19</v>
      </c>
      <c r="F1340" t="s">
        <v>20</v>
      </c>
      <c r="G1340" t="s">
        <v>41</v>
      </c>
      <c r="H1340" t="s">
        <v>22</v>
      </c>
      <c r="I1340">
        <v>727</v>
      </c>
      <c r="J1340">
        <v>545</v>
      </c>
      <c r="K1340">
        <v>503</v>
      </c>
      <c r="L1340">
        <v>11</v>
      </c>
      <c r="M1340">
        <v>4</v>
      </c>
      <c r="N1340">
        <v>0</v>
      </c>
      <c r="O1340">
        <v>72.33</v>
      </c>
      <c r="P1340">
        <v>0</v>
      </c>
      <c r="Q1340" s="5">
        <f t="shared" si="160"/>
        <v>0.92293577981651376</v>
      </c>
      <c r="R1340" s="5">
        <f t="shared" si="161"/>
        <v>2.186878727634195E-2</v>
      </c>
      <c r="S1340" s="5">
        <f t="shared" si="162"/>
        <v>0.36363636363636365</v>
      </c>
      <c r="T1340" s="5">
        <f t="shared" si="163"/>
        <v>0</v>
      </c>
      <c r="U1340" s="5">
        <f t="shared" si="164"/>
        <v>0</v>
      </c>
      <c r="V1340" s="6">
        <f t="shared" si="165"/>
        <v>18.0825</v>
      </c>
      <c r="W1340" s="7">
        <f t="shared" si="166"/>
        <v>6.5754545454545452</v>
      </c>
      <c r="X1340" s="5">
        <f t="shared" si="167"/>
        <v>-1</v>
      </c>
    </row>
    <row r="1341" spans="1:24" x14ac:dyDescent="0.35">
      <c r="A1341" s="3">
        <v>46242</v>
      </c>
      <c r="B1341" t="s">
        <v>1840</v>
      </c>
      <c r="C1341" t="s">
        <v>1905</v>
      </c>
      <c r="D1341" t="s">
        <v>34</v>
      </c>
      <c r="E1341" t="s">
        <v>35</v>
      </c>
      <c r="F1341" t="s">
        <v>20</v>
      </c>
      <c r="G1341" t="s">
        <v>41</v>
      </c>
      <c r="H1341" t="s">
        <v>28</v>
      </c>
      <c r="I1341">
        <v>484</v>
      </c>
      <c r="J1341">
        <v>363</v>
      </c>
      <c r="K1341">
        <v>342</v>
      </c>
      <c r="L1341">
        <v>24</v>
      </c>
      <c r="M1341">
        <v>11</v>
      </c>
      <c r="N1341">
        <v>1</v>
      </c>
      <c r="O1341">
        <v>26.02</v>
      </c>
      <c r="P1341">
        <v>1612.98</v>
      </c>
      <c r="Q1341" s="5">
        <f t="shared" si="160"/>
        <v>0.94214876033057848</v>
      </c>
      <c r="R1341" s="5">
        <f t="shared" si="161"/>
        <v>7.0175438596491224E-2</v>
      </c>
      <c r="S1341" s="5">
        <f t="shared" si="162"/>
        <v>0.45833333333333331</v>
      </c>
      <c r="T1341" s="5">
        <f t="shared" si="163"/>
        <v>9.0909090909090912E-2</v>
      </c>
      <c r="U1341" s="5">
        <f t="shared" si="164"/>
        <v>2.9239766081871343E-3</v>
      </c>
      <c r="V1341" s="6">
        <f t="shared" si="165"/>
        <v>2.3654545454545453</v>
      </c>
      <c r="W1341" s="7">
        <f t="shared" si="166"/>
        <v>1.0841666666666667</v>
      </c>
      <c r="X1341" s="5">
        <f t="shared" si="167"/>
        <v>60.990007686395082</v>
      </c>
    </row>
    <row r="1342" spans="1:24" x14ac:dyDescent="0.35">
      <c r="A1342" s="3">
        <v>46242</v>
      </c>
      <c r="B1342" t="s">
        <v>1880</v>
      </c>
      <c r="C1342" t="s">
        <v>1906</v>
      </c>
      <c r="D1342" t="s">
        <v>31</v>
      </c>
      <c r="E1342" t="s">
        <v>56</v>
      </c>
      <c r="F1342" t="s">
        <v>20</v>
      </c>
      <c r="G1342" t="s">
        <v>21</v>
      </c>
      <c r="H1342" t="s">
        <v>22</v>
      </c>
      <c r="I1342">
        <v>502</v>
      </c>
      <c r="J1342">
        <v>452</v>
      </c>
      <c r="K1342">
        <v>434</v>
      </c>
      <c r="L1342">
        <v>13</v>
      </c>
      <c r="M1342">
        <v>5</v>
      </c>
      <c r="N1342">
        <v>0</v>
      </c>
      <c r="O1342">
        <v>91.9</v>
      </c>
      <c r="P1342">
        <v>0</v>
      </c>
      <c r="Q1342" s="5">
        <f t="shared" si="160"/>
        <v>0.96017699115044253</v>
      </c>
      <c r="R1342" s="5">
        <f t="shared" si="161"/>
        <v>2.9953917050691243E-2</v>
      </c>
      <c r="S1342" s="5">
        <f t="shared" si="162"/>
        <v>0.38461538461538464</v>
      </c>
      <c r="T1342" s="5">
        <f t="shared" si="163"/>
        <v>0</v>
      </c>
      <c r="U1342" s="5">
        <f t="shared" si="164"/>
        <v>0</v>
      </c>
      <c r="V1342" s="6">
        <f t="shared" si="165"/>
        <v>18.380000000000003</v>
      </c>
      <c r="W1342" s="7">
        <f t="shared" si="166"/>
        <v>7.0692307692307699</v>
      </c>
      <c r="X1342" s="5">
        <f t="shared" si="167"/>
        <v>-1</v>
      </c>
    </row>
    <row r="1343" spans="1:24" x14ac:dyDescent="0.35">
      <c r="A1343" s="3">
        <v>46243</v>
      </c>
      <c r="B1343" t="s">
        <v>1907</v>
      </c>
      <c r="C1343" t="s">
        <v>1908</v>
      </c>
      <c r="D1343" t="s">
        <v>34</v>
      </c>
      <c r="E1343" t="s">
        <v>35</v>
      </c>
      <c r="F1343" t="s">
        <v>20</v>
      </c>
      <c r="G1343" t="s">
        <v>27</v>
      </c>
      <c r="H1343" t="s">
        <v>37</v>
      </c>
      <c r="I1343">
        <v>468</v>
      </c>
      <c r="J1343">
        <v>455</v>
      </c>
      <c r="K1343">
        <v>430</v>
      </c>
      <c r="L1343">
        <v>31</v>
      </c>
      <c r="M1343">
        <v>14</v>
      </c>
      <c r="N1343">
        <v>1</v>
      </c>
      <c r="O1343">
        <v>34.840000000000003</v>
      </c>
      <c r="P1343">
        <v>923.15</v>
      </c>
      <c r="Q1343" s="5">
        <f t="shared" si="160"/>
        <v>0.94505494505494503</v>
      </c>
      <c r="R1343" s="5">
        <f t="shared" si="161"/>
        <v>7.2093023255813959E-2</v>
      </c>
      <c r="S1343" s="5">
        <f t="shared" si="162"/>
        <v>0.45161290322580644</v>
      </c>
      <c r="T1343" s="5">
        <f t="shared" si="163"/>
        <v>7.1428571428571425E-2</v>
      </c>
      <c r="U1343" s="5">
        <f t="shared" si="164"/>
        <v>2.3255813953488372E-3</v>
      </c>
      <c r="V1343" s="6">
        <f t="shared" si="165"/>
        <v>2.4885714285714289</v>
      </c>
      <c r="W1343" s="7">
        <f t="shared" si="166"/>
        <v>1.1238709677419356</v>
      </c>
      <c r="X1343" s="5">
        <f t="shared" si="167"/>
        <v>25.496842709529272</v>
      </c>
    </row>
    <row r="1344" spans="1:24" x14ac:dyDescent="0.35">
      <c r="A1344" s="3">
        <v>46243</v>
      </c>
      <c r="B1344" t="s">
        <v>1909</v>
      </c>
      <c r="C1344" t="s">
        <v>1910</v>
      </c>
      <c r="D1344" t="s">
        <v>40</v>
      </c>
      <c r="E1344" t="s">
        <v>35</v>
      </c>
      <c r="F1344" t="s">
        <v>26</v>
      </c>
      <c r="G1344" t="s">
        <v>41</v>
      </c>
      <c r="H1344" t="s">
        <v>51</v>
      </c>
      <c r="I1344">
        <v>4086</v>
      </c>
      <c r="J1344">
        <v>2995</v>
      </c>
      <c r="K1344">
        <v>2695</v>
      </c>
      <c r="L1344">
        <v>285</v>
      </c>
      <c r="M1344">
        <v>204</v>
      </c>
      <c r="N1344">
        <v>17</v>
      </c>
      <c r="O1344">
        <v>518.47</v>
      </c>
      <c r="P1344">
        <v>24254.73</v>
      </c>
      <c r="Q1344" s="5">
        <f t="shared" si="160"/>
        <v>0.89983305509181966</v>
      </c>
      <c r="R1344" s="5">
        <f t="shared" si="161"/>
        <v>0.10575139146567718</v>
      </c>
      <c r="S1344" s="5">
        <f t="shared" si="162"/>
        <v>0.71578947368421053</v>
      </c>
      <c r="T1344" s="5">
        <f t="shared" si="163"/>
        <v>8.3333333333333329E-2</v>
      </c>
      <c r="U1344" s="5">
        <f t="shared" si="164"/>
        <v>6.3079777365491647E-3</v>
      </c>
      <c r="V1344" s="6">
        <f t="shared" si="165"/>
        <v>2.5415196078431372</v>
      </c>
      <c r="W1344" s="7">
        <f t="shared" si="166"/>
        <v>1.8191929824561404</v>
      </c>
      <c r="X1344" s="5">
        <f t="shared" si="167"/>
        <v>45.781356684089722</v>
      </c>
    </row>
    <row r="1345" spans="1:24" x14ac:dyDescent="0.35">
      <c r="A1345" s="3">
        <v>46243</v>
      </c>
      <c r="B1345" t="s">
        <v>1911</v>
      </c>
      <c r="C1345" t="s">
        <v>1912</v>
      </c>
      <c r="D1345" t="s">
        <v>40</v>
      </c>
      <c r="E1345" t="s">
        <v>25</v>
      </c>
      <c r="F1345" t="s">
        <v>20</v>
      </c>
      <c r="G1345" t="s">
        <v>59</v>
      </c>
      <c r="H1345" t="s">
        <v>28</v>
      </c>
      <c r="I1345">
        <v>4513</v>
      </c>
      <c r="J1345">
        <v>3850</v>
      </c>
      <c r="K1345">
        <v>3542</v>
      </c>
      <c r="L1345">
        <v>170</v>
      </c>
      <c r="M1345">
        <v>77</v>
      </c>
      <c r="N1345">
        <v>4</v>
      </c>
      <c r="O1345">
        <v>561.59</v>
      </c>
      <c r="P1345">
        <v>5794.38</v>
      </c>
      <c r="Q1345" s="5">
        <f t="shared" si="160"/>
        <v>0.92</v>
      </c>
      <c r="R1345" s="5">
        <f t="shared" si="161"/>
        <v>4.7995482778091472E-2</v>
      </c>
      <c r="S1345" s="5">
        <f t="shared" si="162"/>
        <v>0.45294117647058824</v>
      </c>
      <c r="T1345" s="5">
        <f t="shared" si="163"/>
        <v>5.1948051948051951E-2</v>
      </c>
      <c r="U1345" s="5">
        <f t="shared" si="164"/>
        <v>1.129305477131564E-3</v>
      </c>
      <c r="V1345" s="6">
        <f t="shared" si="165"/>
        <v>7.2933766233766235</v>
      </c>
      <c r="W1345" s="7">
        <f t="shared" si="166"/>
        <v>3.3034705882352942</v>
      </c>
      <c r="X1345" s="5">
        <f t="shared" si="167"/>
        <v>9.317811926850549</v>
      </c>
    </row>
    <row r="1346" spans="1:24" x14ac:dyDescent="0.35">
      <c r="A1346" s="3">
        <v>46243</v>
      </c>
      <c r="B1346" t="s">
        <v>1853</v>
      </c>
      <c r="C1346" t="s">
        <v>1913</v>
      </c>
      <c r="D1346" t="s">
        <v>31</v>
      </c>
      <c r="E1346" t="s">
        <v>19</v>
      </c>
      <c r="F1346" t="s">
        <v>20</v>
      </c>
      <c r="G1346" t="s">
        <v>36</v>
      </c>
      <c r="H1346" t="s">
        <v>22</v>
      </c>
      <c r="I1346">
        <v>2692</v>
      </c>
      <c r="J1346">
        <v>2639</v>
      </c>
      <c r="K1346">
        <v>2545</v>
      </c>
      <c r="L1346">
        <v>28</v>
      </c>
      <c r="M1346">
        <v>11</v>
      </c>
      <c r="N1346">
        <v>0</v>
      </c>
      <c r="O1346">
        <v>500.17</v>
      </c>
      <c r="P1346">
        <v>0</v>
      </c>
      <c r="Q1346" s="5">
        <f t="shared" si="160"/>
        <v>0.96438044713906779</v>
      </c>
      <c r="R1346" s="5">
        <f t="shared" si="161"/>
        <v>1.100196463654224E-2</v>
      </c>
      <c r="S1346" s="5">
        <f t="shared" si="162"/>
        <v>0.39285714285714285</v>
      </c>
      <c r="T1346" s="5">
        <f t="shared" si="163"/>
        <v>0</v>
      </c>
      <c r="U1346" s="5">
        <f t="shared" si="164"/>
        <v>0</v>
      </c>
      <c r="V1346" s="6">
        <f t="shared" si="165"/>
        <v>45.47</v>
      </c>
      <c r="W1346" s="7">
        <f t="shared" si="166"/>
        <v>17.863214285714285</v>
      </c>
      <c r="X1346" s="5">
        <f t="shared" si="167"/>
        <v>-1</v>
      </c>
    </row>
    <row r="1347" spans="1:24" x14ac:dyDescent="0.35">
      <c r="A1347" s="3">
        <v>46243</v>
      </c>
      <c r="B1347" t="s">
        <v>1914</v>
      </c>
      <c r="C1347" t="s">
        <v>1915</v>
      </c>
      <c r="D1347" t="s">
        <v>31</v>
      </c>
      <c r="E1347" t="s">
        <v>25</v>
      </c>
      <c r="F1347" t="s">
        <v>26</v>
      </c>
      <c r="G1347" t="s">
        <v>41</v>
      </c>
      <c r="H1347" t="s">
        <v>22</v>
      </c>
      <c r="I1347">
        <v>4420</v>
      </c>
      <c r="J1347">
        <v>3382</v>
      </c>
      <c r="K1347">
        <v>3249</v>
      </c>
      <c r="L1347">
        <v>135</v>
      </c>
      <c r="M1347">
        <v>72</v>
      </c>
      <c r="N1347">
        <v>4</v>
      </c>
      <c r="O1347">
        <v>668.55</v>
      </c>
      <c r="P1347">
        <v>3500.37</v>
      </c>
      <c r="Q1347" s="5">
        <f t="shared" ref="Q1347:Q1410" si="168">K1347/J1347</f>
        <v>0.9606741573033708</v>
      </c>
      <c r="R1347" s="5">
        <f t="shared" ref="R1347:R1410" si="169">L1347/K1347</f>
        <v>4.1551246537396121E-2</v>
      </c>
      <c r="S1347" s="5">
        <f t="shared" ref="S1347:S1410" si="170">M1347/L1347</f>
        <v>0.53333333333333333</v>
      </c>
      <c r="T1347" s="5">
        <f t="shared" ref="T1347:T1410" si="171">N1347/M1347</f>
        <v>5.5555555555555552E-2</v>
      </c>
      <c r="U1347" s="5">
        <f t="shared" ref="U1347:U1410" si="172">N1347/K1347</f>
        <v>1.2311480455524776E-3</v>
      </c>
      <c r="V1347" s="6">
        <f t="shared" ref="V1347:V1410" si="173">O1347/M1347</f>
        <v>9.2854166666666664</v>
      </c>
      <c r="W1347" s="7">
        <f t="shared" ref="W1347:W1410" si="174">O1347/L1347</f>
        <v>4.9522222222222219</v>
      </c>
      <c r="X1347" s="5">
        <f t="shared" ref="X1347:X1410" si="175">(P1347-O1347)/O1347</f>
        <v>4.2357639667938072</v>
      </c>
    </row>
    <row r="1348" spans="1:24" x14ac:dyDescent="0.35">
      <c r="A1348" s="3">
        <v>46243</v>
      </c>
      <c r="B1348" t="s">
        <v>1916</v>
      </c>
      <c r="C1348" t="s">
        <v>1917</v>
      </c>
      <c r="D1348" t="s">
        <v>40</v>
      </c>
      <c r="E1348" t="s">
        <v>19</v>
      </c>
      <c r="F1348" t="s">
        <v>20</v>
      </c>
      <c r="G1348" t="s">
        <v>27</v>
      </c>
      <c r="H1348" t="s">
        <v>28</v>
      </c>
      <c r="I1348">
        <v>2559</v>
      </c>
      <c r="J1348">
        <v>2350</v>
      </c>
      <c r="K1348">
        <v>2218</v>
      </c>
      <c r="L1348">
        <v>47</v>
      </c>
      <c r="M1348">
        <v>23</v>
      </c>
      <c r="N1348">
        <v>0</v>
      </c>
      <c r="O1348">
        <v>334.62</v>
      </c>
      <c r="P1348">
        <v>0</v>
      </c>
      <c r="Q1348" s="5">
        <f t="shared" si="168"/>
        <v>0.94382978723404254</v>
      </c>
      <c r="R1348" s="5">
        <f t="shared" si="169"/>
        <v>2.1190261496844005E-2</v>
      </c>
      <c r="S1348" s="5">
        <f t="shared" si="170"/>
        <v>0.48936170212765956</v>
      </c>
      <c r="T1348" s="5">
        <f t="shared" si="171"/>
        <v>0</v>
      </c>
      <c r="U1348" s="5">
        <f t="shared" si="172"/>
        <v>0</v>
      </c>
      <c r="V1348" s="6">
        <f t="shared" si="173"/>
        <v>14.548695652173913</v>
      </c>
      <c r="W1348" s="7">
        <f t="shared" si="174"/>
        <v>7.1195744680851067</v>
      </c>
      <c r="X1348" s="5">
        <f t="shared" si="175"/>
        <v>-1</v>
      </c>
    </row>
    <row r="1349" spans="1:24" x14ac:dyDescent="0.35">
      <c r="A1349" s="3">
        <v>46243</v>
      </c>
      <c r="B1349" t="s">
        <v>1824</v>
      </c>
      <c r="C1349" t="s">
        <v>1918</v>
      </c>
      <c r="D1349" t="s">
        <v>34</v>
      </c>
      <c r="E1349" t="s">
        <v>35</v>
      </c>
      <c r="F1349" t="s">
        <v>20</v>
      </c>
      <c r="G1349" t="s">
        <v>21</v>
      </c>
      <c r="H1349" t="s">
        <v>51</v>
      </c>
      <c r="I1349">
        <v>4970</v>
      </c>
      <c r="J1349">
        <v>3674</v>
      </c>
      <c r="K1349">
        <v>3454</v>
      </c>
      <c r="L1349">
        <v>253</v>
      </c>
      <c r="M1349">
        <v>130</v>
      </c>
      <c r="N1349">
        <v>8</v>
      </c>
      <c r="O1349">
        <v>335.82</v>
      </c>
      <c r="P1349">
        <v>8205.15</v>
      </c>
      <c r="Q1349" s="5">
        <f t="shared" si="168"/>
        <v>0.94011976047904189</v>
      </c>
      <c r="R1349" s="5">
        <f t="shared" si="169"/>
        <v>7.32484076433121E-2</v>
      </c>
      <c r="S1349" s="5">
        <f t="shared" si="170"/>
        <v>0.51383399209486169</v>
      </c>
      <c r="T1349" s="5">
        <f t="shared" si="171"/>
        <v>6.1538461538461542E-2</v>
      </c>
      <c r="U1349" s="5">
        <f t="shared" si="172"/>
        <v>2.3161551823972205E-3</v>
      </c>
      <c r="V1349" s="6">
        <f t="shared" si="173"/>
        <v>2.5832307692307692</v>
      </c>
      <c r="W1349" s="7">
        <f t="shared" si="174"/>
        <v>1.3273517786561264</v>
      </c>
      <c r="X1349" s="5">
        <f t="shared" si="175"/>
        <v>23.433178488475971</v>
      </c>
    </row>
    <row r="1350" spans="1:24" x14ac:dyDescent="0.35">
      <c r="A1350" s="3">
        <v>46243</v>
      </c>
      <c r="B1350" t="s">
        <v>1828</v>
      </c>
      <c r="C1350" t="s">
        <v>1919</v>
      </c>
      <c r="D1350" t="s">
        <v>31</v>
      </c>
      <c r="E1350" t="s">
        <v>56</v>
      </c>
      <c r="F1350" t="s">
        <v>20</v>
      </c>
      <c r="G1350" t="s">
        <v>27</v>
      </c>
      <c r="H1350" t="s">
        <v>48</v>
      </c>
      <c r="I1350">
        <v>4332</v>
      </c>
      <c r="J1350">
        <v>3669</v>
      </c>
      <c r="K1350">
        <v>3550</v>
      </c>
      <c r="L1350">
        <v>139</v>
      </c>
      <c r="M1350">
        <v>46</v>
      </c>
      <c r="N1350">
        <v>3</v>
      </c>
      <c r="O1350">
        <v>624.69000000000005</v>
      </c>
      <c r="P1350">
        <v>2705.62</v>
      </c>
      <c r="Q1350" s="5">
        <f t="shared" si="168"/>
        <v>0.96756609430362495</v>
      </c>
      <c r="R1350" s="5">
        <f t="shared" si="169"/>
        <v>3.9154929577464789E-2</v>
      </c>
      <c r="S1350" s="5">
        <f t="shared" si="170"/>
        <v>0.33093525179856115</v>
      </c>
      <c r="T1350" s="5">
        <f t="shared" si="171"/>
        <v>6.5217391304347824E-2</v>
      </c>
      <c r="U1350" s="5">
        <f t="shared" si="172"/>
        <v>8.4507042253521131E-4</v>
      </c>
      <c r="V1350" s="6">
        <f t="shared" si="173"/>
        <v>13.580217391304348</v>
      </c>
      <c r="W1350" s="7">
        <f t="shared" si="174"/>
        <v>4.494172661870504</v>
      </c>
      <c r="X1350" s="5">
        <f t="shared" si="175"/>
        <v>3.331140245561798</v>
      </c>
    </row>
    <row r="1351" spans="1:24" x14ac:dyDescent="0.35">
      <c r="A1351" s="3">
        <v>46243</v>
      </c>
      <c r="B1351" t="s">
        <v>1920</v>
      </c>
      <c r="C1351" t="s">
        <v>1921</v>
      </c>
      <c r="D1351" t="s">
        <v>34</v>
      </c>
      <c r="E1351" t="s">
        <v>56</v>
      </c>
      <c r="F1351" t="s">
        <v>20</v>
      </c>
      <c r="G1351" t="s">
        <v>41</v>
      </c>
      <c r="H1351" t="s">
        <v>28</v>
      </c>
      <c r="I1351">
        <v>1054</v>
      </c>
      <c r="J1351">
        <v>1021</v>
      </c>
      <c r="K1351">
        <v>940</v>
      </c>
      <c r="L1351">
        <v>35</v>
      </c>
      <c r="M1351">
        <v>18</v>
      </c>
      <c r="N1351">
        <v>0</v>
      </c>
      <c r="O1351">
        <v>85.25</v>
      </c>
      <c r="P1351">
        <v>0</v>
      </c>
      <c r="Q1351" s="5">
        <f t="shared" si="168"/>
        <v>0.92066601371204704</v>
      </c>
      <c r="R1351" s="5">
        <f t="shared" si="169"/>
        <v>3.7234042553191488E-2</v>
      </c>
      <c r="S1351" s="5">
        <f t="shared" si="170"/>
        <v>0.51428571428571423</v>
      </c>
      <c r="T1351" s="5">
        <f t="shared" si="171"/>
        <v>0</v>
      </c>
      <c r="U1351" s="5">
        <f t="shared" si="172"/>
        <v>0</v>
      </c>
      <c r="V1351" s="6">
        <f t="shared" si="173"/>
        <v>4.7361111111111107</v>
      </c>
      <c r="W1351" s="7">
        <f t="shared" si="174"/>
        <v>2.4357142857142855</v>
      </c>
      <c r="X1351" s="5">
        <f t="shared" si="175"/>
        <v>-1</v>
      </c>
    </row>
    <row r="1352" spans="1:24" x14ac:dyDescent="0.35">
      <c r="A1352" s="3">
        <v>46244</v>
      </c>
      <c r="B1352" t="s">
        <v>1922</v>
      </c>
      <c r="C1352" t="s">
        <v>1923</v>
      </c>
      <c r="D1352" t="s">
        <v>40</v>
      </c>
      <c r="E1352" t="s">
        <v>56</v>
      </c>
      <c r="F1352" t="s">
        <v>20</v>
      </c>
      <c r="G1352" t="s">
        <v>27</v>
      </c>
      <c r="H1352" t="s">
        <v>37</v>
      </c>
      <c r="I1352">
        <v>770</v>
      </c>
      <c r="J1352">
        <v>732</v>
      </c>
      <c r="K1352">
        <v>693</v>
      </c>
      <c r="L1352">
        <v>40</v>
      </c>
      <c r="M1352">
        <v>21</v>
      </c>
      <c r="N1352">
        <v>1</v>
      </c>
      <c r="O1352">
        <v>103.48</v>
      </c>
      <c r="P1352">
        <v>1401.25</v>
      </c>
      <c r="Q1352" s="5">
        <f t="shared" si="168"/>
        <v>0.94672131147540983</v>
      </c>
      <c r="R1352" s="5">
        <f t="shared" si="169"/>
        <v>5.772005772005772E-2</v>
      </c>
      <c r="S1352" s="5">
        <f t="shared" si="170"/>
        <v>0.52500000000000002</v>
      </c>
      <c r="T1352" s="5">
        <f t="shared" si="171"/>
        <v>4.7619047619047616E-2</v>
      </c>
      <c r="U1352" s="5">
        <f t="shared" si="172"/>
        <v>1.443001443001443E-3</v>
      </c>
      <c r="V1352" s="6">
        <f t="shared" si="173"/>
        <v>4.9276190476190482</v>
      </c>
      <c r="W1352" s="7">
        <f t="shared" si="174"/>
        <v>2.5870000000000002</v>
      </c>
      <c r="X1352" s="5">
        <f t="shared" si="175"/>
        <v>12.54126401236954</v>
      </c>
    </row>
    <row r="1353" spans="1:24" x14ac:dyDescent="0.35">
      <c r="A1353" s="3">
        <v>46244</v>
      </c>
      <c r="B1353" t="s">
        <v>1924</v>
      </c>
      <c r="C1353" t="s">
        <v>1925</v>
      </c>
      <c r="D1353" t="s">
        <v>34</v>
      </c>
      <c r="E1353" t="s">
        <v>56</v>
      </c>
      <c r="F1353" t="s">
        <v>26</v>
      </c>
      <c r="G1353" t="s">
        <v>27</v>
      </c>
      <c r="H1353" t="s">
        <v>48</v>
      </c>
      <c r="I1353">
        <v>1322</v>
      </c>
      <c r="J1353">
        <v>1172</v>
      </c>
      <c r="K1353">
        <v>1117</v>
      </c>
      <c r="L1353">
        <v>66</v>
      </c>
      <c r="M1353">
        <v>40</v>
      </c>
      <c r="N1353">
        <v>3</v>
      </c>
      <c r="O1353">
        <v>104.66</v>
      </c>
      <c r="P1353">
        <v>2592.58</v>
      </c>
      <c r="Q1353" s="5">
        <f t="shared" si="168"/>
        <v>0.95307167235494883</v>
      </c>
      <c r="R1353" s="5">
        <f t="shared" si="169"/>
        <v>5.908683974932856E-2</v>
      </c>
      <c r="S1353" s="5">
        <f t="shared" si="170"/>
        <v>0.60606060606060608</v>
      </c>
      <c r="T1353" s="5">
        <f t="shared" si="171"/>
        <v>7.4999999999999997E-2</v>
      </c>
      <c r="U1353" s="5">
        <f t="shared" si="172"/>
        <v>2.6857654431512983E-3</v>
      </c>
      <c r="V1353" s="6">
        <f t="shared" si="173"/>
        <v>2.6164999999999998</v>
      </c>
      <c r="W1353" s="7">
        <f t="shared" si="174"/>
        <v>1.5857575757575757</v>
      </c>
      <c r="X1353" s="5">
        <f t="shared" si="175"/>
        <v>23.771450410854197</v>
      </c>
    </row>
    <row r="1354" spans="1:24" x14ac:dyDescent="0.35">
      <c r="A1354" s="3">
        <v>46244</v>
      </c>
      <c r="B1354" t="s">
        <v>1926</v>
      </c>
      <c r="C1354" t="s">
        <v>1927</v>
      </c>
      <c r="D1354" t="s">
        <v>18</v>
      </c>
      <c r="E1354" t="s">
        <v>35</v>
      </c>
      <c r="F1354" t="s">
        <v>20</v>
      </c>
      <c r="G1354" t="s">
        <v>41</v>
      </c>
      <c r="H1354" t="s">
        <v>37</v>
      </c>
      <c r="I1354">
        <v>1155</v>
      </c>
      <c r="J1354">
        <v>857</v>
      </c>
      <c r="K1354">
        <v>791</v>
      </c>
      <c r="L1354">
        <v>62</v>
      </c>
      <c r="M1354">
        <v>26</v>
      </c>
      <c r="N1354">
        <v>2</v>
      </c>
      <c r="O1354">
        <v>92.58</v>
      </c>
      <c r="P1354">
        <v>1727.39</v>
      </c>
      <c r="Q1354" s="5">
        <f t="shared" si="168"/>
        <v>0.92298716452742124</v>
      </c>
      <c r="R1354" s="5">
        <f t="shared" si="169"/>
        <v>7.8381795195954493E-2</v>
      </c>
      <c r="S1354" s="5">
        <f t="shared" si="170"/>
        <v>0.41935483870967744</v>
      </c>
      <c r="T1354" s="5">
        <f t="shared" si="171"/>
        <v>7.6923076923076927E-2</v>
      </c>
      <c r="U1354" s="5">
        <f t="shared" si="172"/>
        <v>2.5284450063211127E-3</v>
      </c>
      <c r="V1354" s="6">
        <f t="shared" si="173"/>
        <v>3.5607692307692309</v>
      </c>
      <c r="W1354" s="7">
        <f t="shared" si="174"/>
        <v>1.4932258064516128</v>
      </c>
      <c r="X1354" s="5">
        <f t="shared" si="175"/>
        <v>17.658349535536836</v>
      </c>
    </row>
    <row r="1355" spans="1:24" x14ac:dyDescent="0.35">
      <c r="A1355" s="3">
        <v>46244</v>
      </c>
      <c r="B1355" t="s">
        <v>1851</v>
      </c>
      <c r="C1355" t="s">
        <v>1928</v>
      </c>
      <c r="D1355" t="s">
        <v>40</v>
      </c>
      <c r="E1355" t="s">
        <v>25</v>
      </c>
      <c r="F1355" t="s">
        <v>20</v>
      </c>
      <c r="G1355" t="s">
        <v>36</v>
      </c>
      <c r="H1355" t="s">
        <v>37</v>
      </c>
      <c r="I1355">
        <v>3045</v>
      </c>
      <c r="J1355">
        <v>2801</v>
      </c>
      <c r="K1355">
        <v>2674</v>
      </c>
      <c r="L1355">
        <v>98</v>
      </c>
      <c r="M1355">
        <v>46</v>
      </c>
      <c r="N1355">
        <v>1</v>
      </c>
      <c r="O1355">
        <v>412.83</v>
      </c>
      <c r="P1355">
        <v>1015.6</v>
      </c>
      <c r="Q1355" s="5">
        <f t="shared" si="168"/>
        <v>0.95465905033916454</v>
      </c>
      <c r="R1355" s="5">
        <f t="shared" si="169"/>
        <v>3.6649214659685861E-2</v>
      </c>
      <c r="S1355" s="5">
        <f t="shared" si="170"/>
        <v>0.46938775510204084</v>
      </c>
      <c r="T1355" s="5">
        <f t="shared" si="171"/>
        <v>2.1739130434782608E-2</v>
      </c>
      <c r="U1355" s="5">
        <f t="shared" si="172"/>
        <v>3.7397157816005983E-4</v>
      </c>
      <c r="V1355" s="6">
        <f t="shared" si="173"/>
        <v>8.9745652173913033</v>
      </c>
      <c r="W1355" s="7">
        <f t="shared" si="174"/>
        <v>4.2125510204081635</v>
      </c>
      <c r="X1355" s="5">
        <f t="shared" si="175"/>
        <v>1.460092532034978</v>
      </c>
    </row>
    <row r="1356" spans="1:24" x14ac:dyDescent="0.35">
      <c r="A1356" s="3">
        <v>46244</v>
      </c>
      <c r="B1356" t="s">
        <v>1856</v>
      </c>
      <c r="C1356" t="s">
        <v>1929</v>
      </c>
      <c r="D1356" t="s">
        <v>18</v>
      </c>
      <c r="E1356" t="s">
        <v>56</v>
      </c>
      <c r="F1356" t="s">
        <v>26</v>
      </c>
      <c r="G1356" t="s">
        <v>41</v>
      </c>
      <c r="H1356" t="s">
        <v>28</v>
      </c>
      <c r="I1356">
        <v>1188</v>
      </c>
      <c r="J1356">
        <v>1119</v>
      </c>
      <c r="K1356">
        <v>1006</v>
      </c>
      <c r="L1356">
        <v>76</v>
      </c>
      <c r="M1356">
        <v>50</v>
      </c>
      <c r="N1356">
        <v>3</v>
      </c>
      <c r="O1356">
        <v>161.02000000000001</v>
      </c>
      <c r="P1356">
        <v>3832.78</v>
      </c>
      <c r="Q1356" s="5">
        <f t="shared" si="168"/>
        <v>0.89901697944593384</v>
      </c>
      <c r="R1356" s="5">
        <f t="shared" si="169"/>
        <v>7.5546719681908542E-2</v>
      </c>
      <c r="S1356" s="5">
        <f t="shared" si="170"/>
        <v>0.65789473684210531</v>
      </c>
      <c r="T1356" s="5">
        <f t="shared" si="171"/>
        <v>0.06</v>
      </c>
      <c r="U1356" s="5">
        <f t="shared" si="172"/>
        <v>2.982107355864811E-3</v>
      </c>
      <c r="V1356" s="6">
        <f t="shared" si="173"/>
        <v>3.2204000000000002</v>
      </c>
      <c r="W1356" s="7">
        <f t="shared" si="174"/>
        <v>2.1186842105263159</v>
      </c>
      <c r="X1356" s="5">
        <f t="shared" si="175"/>
        <v>22.803130045957023</v>
      </c>
    </row>
    <row r="1357" spans="1:24" x14ac:dyDescent="0.35">
      <c r="A1357" s="3">
        <v>46244</v>
      </c>
      <c r="B1357" t="s">
        <v>1930</v>
      </c>
      <c r="C1357" t="s">
        <v>1931</v>
      </c>
      <c r="D1357" t="s">
        <v>34</v>
      </c>
      <c r="E1357" t="s">
        <v>35</v>
      </c>
      <c r="F1357" t="s">
        <v>26</v>
      </c>
      <c r="G1357" t="s">
        <v>59</v>
      </c>
      <c r="H1357" t="s">
        <v>22</v>
      </c>
      <c r="I1357">
        <v>506</v>
      </c>
      <c r="J1357">
        <v>374</v>
      </c>
      <c r="K1357">
        <v>347</v>
      </c>
      <c r="L1357">
        <v>32</v>
      </c>
      <c r="M1357">
        <v>19</v>
      </c>
      <c r="N1357">
        <v>2</v>
      </c>
      <c r="O1357">
        <v>35.32</v>
      </c>
      <c r="P1357">
        <v>2754.5</v>
      </c>
      <c r="Q1357" s="5">
        <f t="shared" si="168"/>
        <v>0.92780748663101609</v>
      </c>
      <c r="R1357" s="5">
        <f t="shared" si="169"/>
        <v>9.2219020172910657E-2</v>
      </c>
      <c r="S1357" s="5">
        <f t="shared" si="170"/>
        <v>0.59375</v>
      </c>
      <c r="T1357" s="5">
        <f t="shared" si="171"/>
        <v>0.10526315789473684</v>
      </c>
      <c r="U1357" s="5">
        <f t="shared" si="172"/>
        <v>5.763688760806916E-3</v>
      </c>
      <c r="V1357" s="6">
        <f t="shared" si="173"/>
        <v>1.8589473684210527</v>
      </c>
      <c r="W1357" s="7">
        <f t="shared" si="174"/>
        <v>1.10375</v>
      </c>
      <c r="X1357" s="5">
        <f t="shared" si="175"/>
        <v>76.986976217440542</v>
      </c>
    </row>
    <row r="1358" spans="1:24" x14ac:dyDescent="0.35">
      <c r="A1358" s="3">
        <v>46245</v>
      </c>
      <c r="B1358" t="s">
        <v>1899</v>
      </c>
      <c r="C1358" t="s">
        <v>1932</v>
      </c>
      <c r="D1358" t="s">
        <v>34</v>
      </c>
      <c r="E1358" t="s">
        <v>25</v>
      </c>
      <c r="F1358" t="s">
        <v>20</v>
      </c>
      <c r="G1358" t="s">
        <v>27</v>
      </c>
      <c r="H1358" t="s">
        <v>22</v>
      </c>
      <c r="I1358">
        <v>4463</v>
      </c>
      <c r="J1358">
        <v>3650</v>
      </c>
      <c r="K1358">
        <v>3387</v>
      </c>
      <c r="L1358">
        <v>74</v>
      </c>
      <c r="M1358">
        <v>37</v>
      </c>
      <c r="N1358">
        <v>1</v>
      </c>
      <c r="O1358">
        <v>276.27999999999997</v>
      </c>
      <c r="P1358">
        <v>1236.52</v>
      </c>
      <c r="Q1358" s="5">
        <f t="shared" si="168"/>
        <v>0.92794520547945203</v>
      </c>
      <c r="R1358" s="5">
        <f t="shared" si="169"/>
        <v>2.1848243283141423E-2</v>
      </c>
      <c r="S1358" s="5">
        <f t="shared" si="170"/>
        <v>0.5</v>
      </c>
      <c r="T1358" s="5">
        <f t="shared" si="171"/>
        <v>2.7027027027027029E-2</v>
      </c>
      <c r="U1358" s="5">
        <f t="shared" si="172"/>
        <v>2.9524653085326248E-4</v>
      </c>
      <c r="V1358" s="6">
        <f t="shared" si="173"/>
        <v>7.4670270270270267</v>
      </c>
      <c r="W1358" s="7">
        <f t="shared" si="174"/>
        <v>3.7335135135135133</v>
      </c>
      <c r="X1358" s="5">
        <f t="shared" si="175"/>
        <v>3.4756044592442454</v>
      </c>
    </row>
    <row r="1359" spans="1:24" x14ac:dyDescent="0.35">
      <c r="A1359" s="3">
        <v>46245</v>
      </c>
      <c r="B1359" t="s">
        <v>1847</v>
      </c>
      <c r="C1359" t="s">
        <v>1933</v>
      </c>
      <c r="D1359" t="s">
        <v>40</v>
      </c>
      <c r="E1359" t="s">
        <v>19</v>
      </c>
      <c r="F1359" t="s">
        <v>26</v>
      </c>
      <c r="G1359" t="s">
        <v>21</v>
      </c>
      <c r="H1359" t="s">
        <v>22</v>
      </c>
      <c r="I1359">
        <v>4952</v>
      </c>
      <c r="J1359">
        <v>3609</v>
      </c>
      <c r="K1359">
        <v>3298</v>
      </c>
      <c r="L1359">
        <v>74</v>
      </c>
      <c r="M1359">
        <v>46</v>
      </c>
      <c r="N1359">
        <v>2</v>
      </c>
      <c r="O1359">
        <v>594.89</v>
      </c>
      <c r="P1359">
        <v>1871.03</v>
      </c>
      <c r="Q1359" s="5">
        <f t="shared" si="168"/>
        <v>0.91382654474923797</v>
      </c>
      <c r="R1359" s="5">
        <f t="shared" si="169"/>
        <v>2.2437841115827774E-2</v>
      </c>
      <c r="S1359" s="5">
        <f t="shared" si="170"/>
        <v>0.6216216216216216</v>
      </c>
      <c r="T1359" s="5">
        <f t="shared" si="171"/>
        <v>4.3478260869565216E-2</v>
      </c>
      <c r="U1359" s="5">
        <f t="shared" si="172"/>
        <v>6.0642813826561554E-4</v>
      </c>
      <c r="V1359" s="6">
        <f t="shared" si="173"/>
        <v>12.932391304347826</v>
      </c>
      <c r="W1359" s="7">
        <f t="shared" si="174"/>
        <v>8.0390540540540538</v>
      </c>
      <c r="X1359" s="5">
        <f t="shared" si="175"/>
        <v>2.145169695237775</v>
      </c>
    </row>
    <row r="1360" spans="1:24" x14ac:dyDescent="0.35">
      <c r="A1360" s="3">
        <v>46245</v>
      </c>
      <c r="B1360" t="s">
        <v>1934</v>
      </c>
      <c r="C1360" t="s">
        <v>1935</v>
      </c>
      <c r="D1360" t="s">
        <v>40</v>
      </c>
      <c r="E1360" t="s">
        <v>19</v>
      </c>
      <c r="F1360" t="s">
        <v>20</v>
      </c>
      <c r="G1360" t="s">
        <v>36</v>
      </c>
      <c r="H1360" t="s">
        <v>22</v>
      </c>
      <c r="I1360">
        <v>2478</v>
      </c>
      <c r="J1360">
        <v>2462</v>
      </c>
      <c r="K1360">
        <v>2229</v>
      </c>
      <c r="L1360">
        <v>39</v>
      </c>
      <c r="M1360">
        <v>15</v>
      </c>
      <c r="N1360">
        <v>1</v>
      </c>
      <c r="O1360">
        <v>340.52</v>
      </c>
      <c r="P1360">
        <v>870.27</v>
      </c>
      <c r="Q1360" s="5">
        <f t="shared" si="168"/>
        <v>0.90536149471974003</v>
      </c>
      <c r="R1360" s="5">
        <f t="shared" si="169"/>
        <v>1.7496635262449527E-2</v>
      </c>
      <c r="S1360" s="5">
        <f t="shared" si="170"/>
        <v>0.38461538461538464</v>
      </c>
      <c r="T1360" s="5">
        <f t="shared" si="171"/>
        <v>6.6666666666666666E-2</v>
      </c>
      <c r="U1360" s="5">
        <f t="shared" si="172"/>
        <v>4.4863167339614175E-4</v>
      </c>
      <c r="V1360" s="6">
        <f t="shared" si="173"/>
        <v>22.701333333333331</v>
      </c>
      <c r="W1360" s="7">
        <f t="shared" si="174"/>
        <v>8.7312820512820508</v>
      </c>
      <c r="X1360" s="5">
        <f t="shared" si="175"/>
        <v>1.5557089157758723</v>
      </c>
    </row>
    <row r="1361" spans="1:24" x14ac:dyDescent="0.35">
      <c r="A1361" s="3">
        <v>46245</v>
      </c>
      <c r="B1361" t="s">
        <v>1936</v>
      </c>
      <c r="C1361" t="s">
        <v>1937</v>
      </c>
      <c r="D1361" t="s">
        <v>34</v>
      </c>
      <c r="E1361" t="s">
        <v>25</v>
      </c>
      <c r="F1361" t="s">
        <v>26</v>
      </c>
      <c r="G1361" t="s">
        <v>59</v>
      </c>
      <c r="H1361" t="s">
        <v>37</v>
      </c>
      <c r="I1361">
        <v>3872</v>
      </c>
      <c r="J1361">
        <v>3689</v>
      </c>
      <c r="K1361">
        <v>3480</v>
      </c>
      <c r="L1361">
        <v>183</v>
      </c>
      <c r="M1361">
        <v>103</v>
      </c>
      <c r="N1361">
        <v>4</v>
      </c>
      <c r="O1361">
        <v>326.14999999999998</v>
      </c>
      <c r="P1361">
        <v>5503.06</v>
      </c>
      <c r="Q1361" s="5">
        <f t="shared" si="168"/>
        <v>0.94334507996747086</v>
      </c>
      <c r="R1361" s="5">
        <f t="shared" si="169"/>
        <v>5.2586206896551725E-2</v>
      </c>
      <c r="S1361" s="5">
        <f t="shared" si="170"/>
        <v>0.56284153005464477</v>
      </c>
      <c r="T1361" s="5">
        <f t="shared" si="171"/>
        <v>3.8834951456310676E-2</v>
      </c>
      <c r="U1361" s="5">
        <f t="shared" si="172"/>
        <v>1.1494252873563218E-3</v>
      </c>
      <c r="V1361" s="6">
        <f t="shared" si="173"/>
        <v>3.1665048543689318</v>
      </c>
      <c r="W1361" s="7">
        <f t="shared" si="174"/>
        <v>1.7822404371584699</v>
      </c>
      <c r="X1361" s="5">
        <f t="shared" si="175"/>
        <v>15.872788594205124</v>
      </c>
    </row>
    <row r="1362" spans="1:24" x14ac:dyDescent="0.35">
      <c r="A1362" s="3">
        <v>46245</v>
      </c>
      <c r="B1362" t="s">
        <v>1909</v>
      </c>
      <c r="C1362" t="s">
        <v>1938</v>
      </c>
      <c r="D1362" t="s">
        <v>18</v>
      </c>
      <c r="E1362" t="s">
        <v>35</v>
      </c>
      <c r="F1362" t="s">
        <v>20</v>
      </c>
      <c r="G1362" t="s">
        <v>59</v>
      </c>
      <c r="H1362" t="s">
        <v>48</v>
      </c>
      <c r="I1362">
        <v>1961</v>
      </c>
      <c r="J1362">
        <v>1632</v>
      </c>
      <c r="K1362">
        <v>1522</v>
      </c>
      <c r="L1362">
        <v>120</v>
      </c>
      <c r="M1362">
        <v>54</v>
      </c>
      <c r="N1362">
        <v>3</v>
      </c>
      <c r="O1362">
        <v>206.56</v>
      </c>
      <c r="P1362">
        <v>3972.07</v>
      </c>
      <c r="Q1362" s="5">
        <f t="shared" si="168"/>
        <v>0.93259803921568629</v>
      </c>
      <c r="R1362" s="5">
        <f t="shared" si="169"/>
        <v>7.8843626806833114E-2</v>
      </c>
      <c r="S1362" s="5">
        <f t="shared" si="170"/>
        <v>0.45</v>
      </c>
      <c r="T1362" s="5">
        <f t="shared" si="171"/>
        <v>5.5555555555555552E-2</v>
      </c>
      <c r="U1362" s="5">
        <f t="shared" si="172"/>
        <v>1.9710906701708277E-3</v>
      </c>
      <c r="V1362" s="6">
        <f t="shared" si="173"/>
        <v>3.8251851851851852</v>
      </c>
      <c r="W1362" s="7">
        <f t="shared" si="174"/>
        <v>1.7213333333333334</v>
      </c>
      <c r="X1362" s="5">
        <f t="shared" si="175"/>
        <v>18.229618512780792</v>
      </c>
    </row>
    <row r="1363" spans="1:24" x14ac:dyDescent="0.35">
      <c r="A1363" s="3">
        <v>46245</v>
      </c>
      <c r="B1363" t="s">
        <v>1939</v>
      </c>
      <c r="C1363" t="s">
        <v>1940</v>
      </c>
      <c r="D1363" t="s">
        <v>34</v>
      </c>
      <c r="E1363" t="s">
        <v>25</v>
      </c>
      <c r="F1363" t="s">
        <v>20</v>
      </c>
      <c r="G1363" t="s">
        <v>36</v>
      </c>
      <c r="H1363" t="s">
        <v>28</v>
      </c>
      <c r="I1363">
        <v>4887</v>
      </c>
      <c r="J1363">
        <v>4014</v>
      </c>
      <c r="K1363">
        <v>3853</v>
      </c>
      <c r="L1363">
        <v>170</v>
      </c>
      <c r="M1363">
        <v>62</v>
      </c>
      <c r="N1363">
        <v>2</v>
      </c>
      <c r="O1363">
        <v>377.9</v>
      </c>
      <c r="P1363">
        <v>2563.9699999999998</v>
      </c>
      <c r="Q1363" s="5">
        <f t="shared" si="168"/>
        <v>0.95989038365719981</v>
      </c>
      <c r="R1363" s="5">
        <f t="shared" si="169"/>
        <v>4.4121463794445884E-2</v>
      </c>
      <c r="S1363" s="5">
        <f t="shared" si="170"/>
        <v>0.36470588235294116</v>
      </c>
      <c r="T1363" s="5">
        <f t="shared" si="171"/>
        <v>3.2258064516129031E-2</v>
      </c>
      <c r="U1363" s="5">
        <f t="shared" si="172"/>
        <v>5.1907604464053979E-4</v>
      </c>
      <c r="V1363" s="6">
        <f t="shared" si="173"/>
        <v>6.0951612903225802</v>
      </c>
      <c r="W1363" s="7">
        <f t="shared" si="174"/>
        <v>2.222941176470588</v>
      </c>
      <c r="X1363" s="5">
        <f t="shared" si="175"/>
        <v>5.7847843344800207</v>
      </c>
    </row>
    <row r="1364" spans="1:24" x14ac:dyDescent="0.35">
      <c r="A1364" s="3">
        <v>46245</v>
      </c>
      <c r="B1364" t="s">
        <v>1941</v>
      </c>
      <c r="C1364" t="s">
        <v>1942</v>
      </c>
      <c r="D1364" t="s">
        <v>18</v>
      </c>
      <c r="E1364" t="s">
        <v>35</v>
      </c>
      <c r="F1364" t="s">
        <v>20</v>
      </c>
      <c r="G1364" t="s">
        <v>59</v>
      </c>
      <c r="H1364" t="s">
        <v>22</v>
      </c>
      <c r="I1364">
        <v>4890</v>
      </c>
      <c r="J1364">
        <v>4260</v>
      </c>
      <c r="K1364">
        <v>3891</v>
      </c>
      <c r="L1364">
        <v>290</v>
      </c>
      <c r="M1364">
        <v>139</v>
      </c>
      <c r="N1364">
        <v>5</v>
      </c>
      <c r="O1364">
        <v>608.84</v>
      </c>
      <c r="P1364">
        <v>5182.76</v>
      </c>
      <c r="Q1364" s="5">
        <f t="shared" si="168"/>
        <v>0.91338028169014085</v>
      </c>
      <c r="R1364" s="5">
        <f t="shared" si="169"/>
        <v>7.4530968902595737E-2</v>
      </c>
      <c r="S1364" s="5">
        <f t="shared" si="170"/>
        <v>0.47931034482758622</v>
      </c>
      <c r="T1364" s="5">
        <f t="shared" si="171"/>
        <v>3.5971223021582732E-2</v>
      </c>
      <c r="U1364" s="5">
        <f t="shared" si="172"/>
        <v>1.2850167052171678E-3</v>
      </c>
      <c r="V1364" s="6">
        <f t="shared" si="173"/>
        <v>4.3801438848920862</v>
      </c>
      <c r="W1364" s="7">
        <f t="shared" si="174"/>
        <v>2.0994482758620689</v>
      </c>
      <c r="X1364" s="5">
        <f t="shared" si="175"/>
        <v>7.5125156034426119</v>
      </c>
    </row>
    <row r="1365" spans="1:24" x14ac:dyDescent="0.35">
      <c r="A1365" s="3">
        <v>46245</v>
      </c>
      <c r="B1365" t="s">
        <v>1853</v>
      </c>
      <c r="C1365" t="s">
        <v>1943</v>
      </c>
      <c r="D1365" t="s">
        <v>34</v>
      </c>
      <c r="E1365" t="s">
        <v>35</v>
      </c>
      <c r="F1365" t="s">
        <v>20</v>
      </c>
      <c r="G1365" t="s">
        <v>27</v>
      </c>
      <c r="H1365" t="s">
        <v>48</v>
      </c>
      <c r="I1365">
        <v>4330</v>
      </c>
      <c r="J1365">
        <v>3574</v>
      </c>
      <c r="K1365">
        <v>3364</v>
      </c>
      <c r="L1365">
        <v>249</v>
      </c>
      <c r="M1365">
        <v>124</v>
      </c>
      <c r="N1365">
        <v>7</v>
      </c>
      <c r="O1365">
        <v>308.97000000000003</v>
      </c>
      <c r="P1365">
        <v>11299.79</v>
      </c>
      <c r="Q1365" s="5">
        <f t="shared" si="168"/>
        <v>0.9412423055400112</v>
      </c>
      <c r="R1365" s="5">
        <f t="shared" si="169"/>
        <v>7.4019024970273489E-2</v>
      </c>
      <c r="S1365" s="5">
        <f t="shared" si="170"/>
        <v>0.49799196787148592</v>
      </c>
      <c r="T1365" s="5">
        <f t="shared" si="171"/>
        <v>5.6451612903225805E-2</v>
      </c>
      <c r="U1365" s="5">
        <f t="shared" si="172"/>
        <v>2.0808561236623068E-3</v>
      </c>
      <c r="V1365" s="6">
        <f t="shared" si="173"/>
        <v>2.4916935483870968</v>
      </c>
      <c r="W1365" s="7">
        <f t="shared" si="174"/>
        <v>1.2408433734939761</v>
      </c>
      <c r="X1365" s="5">
        <f t="shared" si="175"/>
        <v>35.572450399715187</v>
      </c>
    </row>
    <row r="1366" spans="1:24" x14ac:dyDescent="0.35">
      <c r="A1366" s="3">
        <v>46245</v>
      </c>
      <c r="B1366" t="s">
        <v>1876</v>
      </c>
      <c r="C1366" t="s">
        <v>1944</v>
      </c>
      <c r="D1366" t="s">
        <v>18</v>
      </c>
      <c r="E1366" t="s">
        <v>25</v>
      </c>
      <c r="F1366" t="s">
        <v>20</v>
      </c>
      <c r="G1366" t="s">
        <v>27</v>
      </c>
      <c r="H1366" t="s">
        <v>51</v>
      </c>
      <c r="I1366">
        <v>3551</v>
      </c>
      <c r="J1366">
        <v>3090</v>
      </c>
      <c r="K1366">
        <v>2791</v>
      </c>
      <c r="L1366">
        <v>148</v>
      </c>
      <c r="M1366">
        <v>73</v>
      </c>
      <c r="N1366">
        <v>3</v>
      </c>
      <c r="O1366">
        <v>376.89</v>
      </c>
      <c r="P1366">
        <v>3766.63</v>
      </c>
      <c r="Q1366" s="5">
        <f t="shared" si="168"/>
        <v>0.90323624595469254</v>
      </c>
      <c r="R1366" s="5">
        <f t="shared" si="169"/>
        <v>5.3027588677893228E-2</v>
      </c>
      <c r="S1366" s="5">
        <f t="shared" si="170"/>
        <v>0.49324324324324326</v>
      </c>
      <c r="T1366" s="5">
        <f t="shared" si="171"/>
        <v>4.1095890410958902E-2</v>
      </c>
      <c r="U1366" s="5">
        <f t="shared" si="172"/>
        <v>1.0748835542816195E-3</v>
      </c>
      <c r="V1366" s="6">
        <f t="shared" si="173"/>
        <v>5.1628767123287673</v>
      </c>
      <c r="W1366" s="7">
        <f t="shared" si="174"/>
        <v>2.5465540540540541</v>
      </c>
      <c r="X1366" s="5">
        <f t="shared" si="175"/>
        <v>8.9939770224734019</v>
      </c>
    </row>
    <row r="1367" spans="1:24" x14ac:dyDescent="0.35">
      <c r="A1367" s="3">
        <v>46246</v>
      </c>
      <c r="B1367" t="s">
        <v>1922</v>
      </c>
      <c r="C1367" t="s">
        <v>1945</v>
      </c>
      <c r="D1367" t="s">
        <v>31</v>
      </c>
      <c r="E1367" t="s">
        <v>56</v>
      </c>
      <c r="F1367" t="s">
        <v>20</v>
      </c>
      <c r="G1367" t="s">
        <v>59</v>
      </c>
      <c r="H1367" t="s">
        <v>37</v>
      </c>
      <c r="I1367">
        <v>2690</v>
      </c>
      <c r="J1367">
        <v>2244</v>
      </c>
      <c r="K1367">
        <v>2153</v>
      </c>
      <c r="L1367">
        <v>79</v>
      </c>
      <c r="M1367">
        <v>26</v>
      </c>
      <c r="N1367">
        <v>1</v>
      </c>
      <c r="O1367">
        <v>481.94</v>
      </c>
      <c r="P1367">
        <v>1213.19</v>
      </c>
      <c r="Q1367" s="5">
        <f t="shared" si="168"/>
        <v>0.95944741532976829</v>
      </c>
      <c r="R1367" s="5">
        <f t="shared" si="169"/>
        <v>3.6692986530422668E-2</v>
      </c>
      <c r="S1367" s="5">
        <f t="shared" si="170"/>
        <v>0.32911392405063289</v>
      </c>
      <c r="T1367" s="5">
        <f t="shared" si="171"/>
        <v>3.8461538461538464E-2</v>
      </c>
      <c r="U1367" s="5">
        <f t="shared" si="172"/>
        <v>4.6446818392940084E-4</v>
      </c>
      <c r="V1367" s="6">
        <f t="shared" si="173"/>
        <v>18.536153846153844</v>
      </c>
      <c r="W1367" s="7">
        <f t="shared" si="174"/>
        <v>6.1005063291139239</v>
      </c>
      <c r="X1367" s="5">
        <f t="shared" si="175"/>
        <v>1.5173050587210026</v>
      </c>
    </row>
    <row r="1368" spans="1:24" x14ac:dyDescent="0.35">
      <c r="A1368" s="3">
        <v>46246</v>
      </c>
      <c r="B1368" t="s">
        <v>1946</v>
      </c>
      <c r="C1368" t="s">
        <v>1947</v>
      </c>
      <c r="D1368" t="s">
        <v>34</v>
      </c>
      <c r="E1368" t="s">
        <v>35</v>
      </c>
      <c r="F1368" t="s">
        <v>20</v>
      </c>
      <c r="G1368" t="s">
        <v>41</v>
      </c>
      <c r="H1368" t="s">
        <v>22</v>
      </c>
      <c r="I1368">
        <v>4607</v>
      </c>
      <c r="J1368">
        <v>4342</v>
      </c>
      <c r="K1368">
        <v>4076</v>
      </c>
      <c r="L1368">
        <v>307</v>
      </c>
      <c r="M1368">
        <v>138</v>
      </c>
      <c r="N1368">
        <v>11</v>
      </c>
      <c r="O1368">
        <v>378.93</v>
      </c>
      <c r="P1368">
        <v>17657.310000000001</v>
      </c>
      <c r="Q1368" s="5">
        <f t="shared" si="168"/>
        <v>0.93873790879778907</v>
      </c>
      <c r="R1368" s="5">
        <f t="shared" si="169"/>
        <v>7.5318940137389601E-2</v>
      </c>
      <c r="S1368" s="5">
        <f t="shared" si="170"/>
        <v>0.44951140065146578</v>
      </c>
      <c r="T1368" s="5">
        <f t="shared" si="171"/>
        <v>7.9710144927536225E-2</v>
      </c>
      <c r="U1368" s="5">
        <f t="shared" si="172"/>
        <v>2.6987242394504417E-3</v>
      </c>
      <c r="V1368" s="6">
        <f t="shared" si="173"/>
        <v>2.7458695652173915</v>
      </c>
      <c r="W1368" s="7">
        <f t="shared" si="174"/>
        <v>1.2342996742671011</v>
      </c>
      <c r="X1368" s="5">
        <f t="shared" si="175"/>
        <v>45.597814899849581</v>
      </c>
    </row>
    <row r="1369" spans="1:24" x14ac:dyDescent="0.35">
      <c r="A1369" s="3">
        <v>46246</v>
      </c>
      <c r="B1369" t="s">
        <v>1911</v>
      </c>
      <c r="C1369" t="s">
        <v>1948</v>
      </c>
      <c r="D1369" t="s">
        <v>40</v>
      </c>
      <c r="E1369" t="s">
        <v>56</v>
      </c>
      <c r="F1369" t="s">
        <v>26</v>
      </c>
      <c r="G1369" t="s">
        <v>36</v>
      </c>
      <c r="H1369" t="s">
        <v>51</v>
      </c>
      <c r="I1369">
        <v>995</v>
      </c>
      <c r="J1369">
        <v>947</v>
      </c>
      <c r="K1369">
        <v>890</v>
      </c>
      <c r="L1369">
        <v>64</v>
      </c>
      <c r="M1369">
        <v>39</v>
      </c>
      <c r="N1369">
        <v>3</v>
      </c>
      <c r="O1369">
        <v>168</v>
      </c>
      <c r="P1369">
        <v>3592.35</v>
      </c>
      <c r="Q1369" s="5">
        <f t="shared" si="168"/>
        <v>0.93980992608236535</v>
      </c>
      <c r="R1369" s="5">
        <f t="shared" si="169"/>
        <v>7.1910112359550568E-2</v>
      </c>
      <c r="S1369" s="5">
        <f t="shared" si="170"/>
        <v>0.609375</v>
      </c>
      <c r="T1369" s="5">
        <f t="shared" si="171"/>
        <v>7.6923076923076927E-2</v>
      </c>
      <c r="U1369" s="5">
        <f t="shared" si="172"/>
        <v>3.3707865168539327E-3</v>
      </c>
      <c r="V1369" s="6">
        <f t="shared" si="173"/>
        <v>4.3076923076923075</v>
      </c>
      <c r="W1369" s="7">
        <f t="shared" si="174"/>
        <v>2.625</v>
      </c>
      <c r="X1369" s="5">
        <f t="shared" si="175"/>
        <v>20.383035714285715</v>
      </c>
    </row>
    <row r="1370" spans="1:24" x14ac:dyDescent="0.35">
      <c r="A1370" s="3">
        <v>46246</v>
      </c>
      <c r="B1370" t="s">
        <v>1941</v>
      </c>
      <c r="C1370" t="s">
        <v>1949</v>
      </c>
      <c r="D1370" t="s">
        <v>18</v>
      </c>
      <c r="E1370" t="s">
        <v>25</v>
      </c>
      <c r="F1370" t="s">
        <v>20</v>
      </c>
      <c r="G1370" t="s">
        <v>21</v>
      </c>
      <c r="H1370" t="s">
        <v>51</v>
      </c>
      <c r="I1370">
        <v>542</v>
      </c>
      <c r="J1370">
        <v>436</v>
      </c>
      <c r="K1370">
        <v>400</v>
      </c>
      <c r="L1370">
        <v>16</v>
      </c>
      <c r="M1370">
        <v>8</v>
      </c>
      <c r="N1370">
        <v>0</v>
      </c>
      <c r="O1370">
        <v>53.75</v>
      </c>
      <c r="P1370">
        <v>0</v>
      </c>
      <c r="Q1370" s="5">
        <f t="shared" si="168"/>
        <v>0.91743119266055051</v>
      </c>
      <c r="R1370" s="5">
        <f t="shared" si="169"/>
        <v>0.04</v>
      </c>
      <c r="S1370" s="5">
        <f t="shared" si="170"/>
        <v>0.5</v>
      </c>
      <c r="T1370" s="5">
        <f t="shared" si="171"/>
        <v>0</v>
      </c>
      <c r="U1370" s="5">
        <f t="shared" si="172"/>
        <v>0</v>
      </c>
      <c r="V1370" s="6">
        <f t="shared" si="173"/>
        <v>6.71875</v>
      </c>
      <c r="W1370" s="7">
        <f t="shared" si="174"/>
        <v>3.359375</v>
      </c>
      <c r="X1370" s="5">
        <f t="shared" si="175"/>
        <v>-1</v>
      </c>
    </row>
    <row r="1371" spans="1:24" x14ac:dyDescent="0.35">
      <c r="A1371" s="3">
        <v>46246</v>
      </c>
      <c r="B1371" t="s">
        <v>1874</v>
      </c>
      <c r="C1371" t="s">
        <v>1950</v>
      </c>
      <c r="D1371" t="s">
        <v>18</v>
      </c>
      <c r="E1371" t="s">
        <v>25</v>
      </c>
      <c r="F1371" t="s">
        <v>20</v>
      </c>
      <c r="G1371" t="s">
        <v>27</v>
      </c>
      <c r="H1371" t="s">
        <v>28</v>
      </c>
      <c r="I1371">
        <v>2749</v>
      </c>
      <c r="J1371">
        <v>2312</v>
      </c>
      <c r="K1371">
        <v>2055</v>
      </c>
      <c r="L1371">
        <v>76</v>
      </c>
      <c r="M1371">
        <v>37</v>
      </c>
      <c r="N1371">
        <v>2</v>
      </c>
      <c r="O1371">
        <v>329.1</v>
      </c>
      <c r="P1371">
        <v>1615.08</v>
      </c>
      <c r="Q1371" s="5">
        <f t="shared" si="168"/>
        <v>0.88884083044982698</v>
      </c>
      <c r="R1371" s="5">
        <f t="shared" si="169"/>
        <v>3.6982968369829686E-2</v>
      </c>
      <c r="S1371" s="5">
        <f t="shared" si="170"/>
        <v>0.48684210526315791</v>
      </c>
      <c r="T1371" s="5">
        <f t="shared" si="171"/>
        <v>5.4054054054054057E-2</v>
      </c>
      <c r="U1371" s="5">
        <f t="shared" si="172"/>
        <v>9.7323600973236014E-4</v>
      </c>
      <c r="V1371" s="6">
        <f t="shared" si="173"/>
        <v>8.8945945945945954</v>
      </c>
      <c r="W1371" s="7">
        <f t="shared" si="174"/>
        <v>4.3302631578947368</v>
      </c>
      <c r="X1371" s="5">
        <f t="shared" si="175"/>
        <v>3.9075660893345487</v>
      </c>
    </row>
    <row r="1372" spans="1:24" x14ac:dyDescent="0.35">
      <c r="A1372" s="3">
        <v>46246</v>
      </c>
      <c r="B1372" t="s">
        <v>1822</v>
      </c>
      <c r="C1372" t="s">
        <v>1951</v>
      </c>
      <c r="D1372" t="s">
        <v>31</v>
      </c>
      <c r="E1372" t="s">
        <v>25</v>
      </c>
      <c r="F1372" t="s">
        <v>20</v>
      </c>
      <c r="G1372" t="s">
        <v>59</v>
      </c>
      <c r="H1372" t="s">
        <v>51</v>
      </c>
      <c r="I1372">
        <v>3341</v>
      </c>
      <c r="J1372">
        <v>2906</v>
      </c>
      <c r="K1372">
        <v>2779</v>
      </c>
      <c r="L1372">
        <v>57</v>
      </c>
      <c r="M1372">
        <v>19</v>
      </c>
      <c r="N1372">
        <v>1</v>
      </c>
      <c r="O1372">
        <v>567.66</v>
      </c>
      <c r="P1372">
        <v>1211.73</v>
      </c>
      <c r="Q1372" s="5">
        <f t="shared" si="168"/>
        <v>0.95629731589814182</v>
      </c>
      <c r="R1372" s="5">
        <f t="shared" si="169"/>
        <v>2.0510975170924792E-2</v>
      </c>
      <c r="S1372" s="5">
        <f t="shared" si="170"/>
        <v>0.33333333333333331</v>
      </c>
      <c r="T1372" s="5">
        <f t="shared" si="171"/>
        <v>5.2631578947368418E-2</v>
      </c>
      <c r="U1372" s="5">
        <f t="shared" si="172"/>
        <v>3.5984166966534722E-4</v>
      </c>
      <c r="V1372" s="6">
        <f t="shared" si="173"/>
        <v>29.876842105263155</v>
      </c>
      <c r="W1372" s="7">
        <f t="shared" si="174"/>
        <v>9.9589473684210521</v>
      </c>
      <c r="X1372" s="5">
        <f t="shared" si="175"/>
        <v>1.1346052214353664</v>
      </c>
    </row>
    <row r="1373" spans="1:24" x14ac:dyDescent="0.35">
      <c r="A1373" s="3">
        <v>46246</v>
      </c>
      <c r="B1373" t="s">
        <v>1859</v>
      </c>
      <c r="C1373" t="s">
        <v>1952</v>
      </c>
      <c r="D1373" t="s">
        <v>18</v>
      </c>
      <c r="E1373" t="s">
        <v>56</v>
      </c>
      <c r="F1373" t="s">
        <v>20</v>
      </c>
      <c r="G1373" t="s">
        <v>59</v>
      </c>
      <c r="H1373" t="s">
        <v>28</v>
      </c>
      <c r="I1373">
        <v>764</v>
      </c>
      <c r="J1373">
        <v>713</v>
      </c>
      <c r="K1373">
        <v>646</v>
      </c>
      <c r="L1373">
        <v>43</v>
      </c>
      <c r="M1373">
        <v>19</v>
      </c>
      <c r="N1373">
        <v>1</v>
      </c>
      <c r="O1373">
        <v>78.55</v>
      </c>
      <c r="P1373">
        <v>696.12</v>
      </c>
      <c r="Q1373" s="5">
        <f t="shared" si="168"/>
        <v>0.90603085553997198</v>
      </c>
      <c r="R1373" s="5">
        <f t="shared" si="169"/>
        <v>6.6563467492260067E-2</v>
      </c>
      <c r="S1373" s="5">
        <f t="shared" si="170"/>
        <v>0.44186046511627908</v>
      </c>
      <c r="T1373" s="5">
        <f t="shared" si="171"/>
        <v>5.2631578947368418E-2</v>
      </c>
      <c r="U1373" s="5">
        <f t="shared" si="172"/>
        <v>1.5479876160990713E-3</v>
      </c>
      <c r="V1373" s="6">
        <f t="shared" si="173"/>
        <v>4.1342105263157896</v>
      </c>
      <c r="W1373" s="7">
        <f t="shared" si="174"/>
        <v>1.8267441860465115</v>
      </c>
      <c r="X1373" s="5">
        <f t="shared" si="175"/>
        <v>7.8621260343730119</v>
      </c>
    </row>
    <row r="1374" spans="1:24" x14ac:dyDescent="0.35">
      <c r="A1374" s="3">
        <v>46246</v>
      </c>
      <c r="B1374" t="s">
        <v>1953</v>
      </c>
      <c r="C1374" t="s">
        <v>1954</v>
      </c>
      <c r="D1374" t="s">
        <v>34</v>
      </c>
      <c r="E1374" t="s">
        <v>35</v>
      </c>
      <c r="F1374" t="s">
        <v>26</v>
      </c>
      <c r="G1374" t="s">
        <v>27</v>
      </c>
      <c r="H1374" t="s">
        <v>51</v>
      </c>
      <c r="I1374">
        <v>4941</v>
      </c>
      <c r="J1374">
        <v>4074</v>
      </c>
      <c r="K1374">
        <v>3803</v>
      </c>
      <c r="L1374">
        <v>362</v>
      </c>
      <c r="M1374">
        <v>216</v>
      </c>
      <c r="N1374">
        <v>19</v>
      </c>
      <c r="O1374">
        <v>338.51</v>
      </c>
      <c r="P1374">
        <v>20231.490000000002</v>
      </c>
      <c r="Q1374" s="5">
        <f t="shared" si="168"/>
        <v>0.93348060873834071</v>
      </c>
      <c r="R1374" s="5">
        <f t="shared" si="169"/>
        <v>9.5188009466210879E-2</v>
      </c>
      <c r="S1374" s="5">
        <f t="shared" si="170"/>
        <v>0.59668508287292821</v>
      </c>
      <c r="T1374" s="5">
        <f t="shared" si="171"/>
        <v>8.7962962962962965E-2</v>
      </c>
      <c r="U1374" s="5">
        <f t="shared" si="172"/>
        <v>4.9960557454641072E-3</v>
      </c>
      <c r="V1374" s="6">
        <f t="shared" si="173"/>
        <v>1.5671759259259259</v>
      </c>
      <c r="W1374" s="7">
        <f t="shared" si="174"/>
        <v>0.935110497237569</v>
      </c>
      <c r="X1374" s="5">
        <f t="shared" si="175"/>
        <v>58.766299370771925</v>
      </c>
    </row>
    <row r="1375" spans="1:24" x14ac:dyDescent="0.35">
      <c r="A1375" s="3">
        <v>46246</v>
      </c>
      <c r="B1375" t="s">
        <v>1920</v>
      </c>
      <c r="C1375" t="s">
        <v>1955</v>
      </c>
      <c r="D1375" t="s">
        <v>34</v>
      </c>
      <c r="E1375" t="s">
        <v>56</v>
      </c>
      <c r="F1375" t="s">
        <v>20</v>
      </c>
      <c r="G1375" t="s">
        <v>27</v>
      </c>
      <c r="H1375" t="s">
        <v>48</v>
      </c>
      <c r="I1375">
        <v>3740</v>
      </c>
      <c r="J1375">
        <v>2870</v>
      </c>
      <c r="K1375">
        <v>2704</v>
      </c>
      <c r="L1375">
        <v>122</v>
      </c>
      <c r="M1375">
        <v>57</v>
      </c>
      <c r="N1375">
        <v>2</v>
      </c>
      <c r="O1375">
        <v>204.19</v>
      </c>
      <c r="P1375">
        <v>1831.18</v>
      </c>
      <c r="Q1375" s="5">
        <f t="shared" si="168"/>
        <v>0.94216027874564456</v>
      </c>
      <c r="R1375" s="5">
        <f t="shared" si="169"/>
        <v>4.5118343195266274E-2</v>
      </c>
      <c r="S1375" s="5">
        <f t="shared" si="170"/>
        <v>0.46721311475409838</v>
      </c>
      <c r="T1375" s="5">
        <f t="shared" si="171"/>
        <v>3.5087719298245612E-2</v>
      </c>
      <c r="U1375" s="5">
        <f t="shared" si="172"/>
        <v>7.3964497041420117E-4</v>
      </c>
      <c r="V1375" s="6">
        <f t="shared" si="173"/>
        <v>3.5822807017543861</v>
      </c>
      <c r="W1375" s="7">
        <f t="shared" si="174"/>
        <v>1.6736885245901638</v>
      </c>
      <c r="X1375" s="5">
        <f t="shared" si="175"/>
        <v>7.9680199813898822</v>
      </c>
    </row>
    <row r="1376" spans="1:24" x14ac:dyDescent="0.35">
      <c r="A1376" s="3">
        <v>46246</v>
      </c>
      <c r="B1376" t="s">
        <v>1830</v>
      </c>
      <c r="C1376" t="s">
        <v>1956</v>
      </c>
      <c r="D1376" t="s">
        <v>31</v>
      </c>
      <c r="E1376" t="s">
        <v>25</v>
      </c>
      <c r="F1376" t="s">
        <v>20</v>
      </c>
      <c r="G1376" t="s">
        <v>27</v>
      </c>
      <c r="H1376" t="s">
        <v>22</v>
      </c>
      <c r="I1376">
        <v>4613</v>
      </c>
      <c r="J1376">
        <v>3497</v>
      </c>
      <c r="K1376">
        <v>3305</v>
      </c>
      <c r="L1376">
        <v>49</v>
      </c>
      <c r="M1376">
        <v>16</v>
      </c>
      <c r="N1376">
        <v>0</v>
      </c>
      <c r="O1376">
        <v>560.79999999999995</v>
      </c>
      <c r="P1376">
        <v>0</v>
      </c>
      <c r="Q1376" s="5">
        <f t="shared" si="168"/>
        <v>0.94509579639691166</v>
      </c>
      <c r="R1376" s="5">
        <f t="shared" si="169"/>
        <v>1.4826021180030256E-2</v>
      </c>
      <c r="S1376" s="5">
        <f t="shared" si="170"/>
        <v>0.32653061224489793</v>
      </c>
      <c r="T1376" s="5">
        <f t="shared" si="171"/>
        <v>0</v>
      </c>
      <c r="U1376" s="5">
        <f t="shared" si="172"/>
        <v>0</v>
      </c>
      <c r="V1376" s="6">
        <f t="shared" si="173"/>
        <v>35.049999999999997</v>
      </c>
      <c r="W1376" s="7">
        <f t="shared" si="174"/>
        <v>11.444897959183672</v>
      </c>
      <c r="X1376" s="5">
        <f t="shared" si="175"/>
        <v>-1</v>
      </c>
    </row>
    <row r="1377" spans="1:24" x14ac:dyDescent="0.35">
      <c r="A1377" s="3">
        <v>46247</v>
      </c>
      <c r="B1377" t="s">
        <v>1957</v>
      </c>
      <c r="C1377" t="s">
        <v>1958</v>
      </c>
      <c r="D1377" t="s">
        <v>40</v>
      </c>
      <c r="E1377" t="s">
        <v>35</v>
      </c>
      <c r="F1377" t="s">
        <v>20</v>
      </c>
      <c r="G1377" t="s">
        <v>36</v>
      </c>
      <c r="H1377" t="s">
        <v>48</v>
      </c>
      <c r="I1377">
        <v>3970</v>
      </c>
      <c r="J1377">
        <v>3657</v>
      </c>
      <c r="K1377">
        <v>3386</v>
      </c>
      <c r="L1377">
        <v>253</v>
      </c>
      <c r="M1377">
        <v>113</v>
      </c>
      <c r="N1377">
        <v>8</v>
      </c>
      <c r="O1377">
        <v>538.32000000000005</v>
      </c>
      <c r="P1377">
        <v>6275.77</v>
      </c>
      <c r="Q1377" s="5">
        <f t="shared" si="168"/>
        <v>0.92589554279464037</v>
      </c>
      <c r="R1377" s="5">
        <f t="shared" si="169"/>
        <v>7.471943295924395E-2</v>
      </c>
      <c r="S1377" s="5">
        <f t="shared" si="170"/>
        <v>0.44664031620553357</v>
      </c>
      <c r="T1377" s="5">
        <f t="shared" si="171"/>
        <v>7.0796460176991149E-2</v>
      </c>
      <c r="U1377" s="5">
        <f t="shared" si="172"/>
        <v>2.3626698168930892E-3</v>
      </c>
      <c r="V1377" s="6">
        <f t="shared" si="173"/>
        <v>4.7638938053097348</v>
      </c>
      <c r="W1377" s="7">
        <f t="shared" si="174"/>
        <v>2.1277470355731229</v>
      </c>
      <c r="X1377" s="5">
        <f t="shared" si="175"/>
        <v>10.658065834447912</v>
      </c>
    </row>
    <row r="1378" spans="1:24" x14ac:dyDescent="0.35">
      <c r="A1378" s="3">
        <v>46247</v>
      </c>
      <c r="B1378" t="s">
        <v>1901</v>
      </c>
      <c r="C1378" t="s">
        <v>1959</v>
      </c>
      <c r="D1378" t="s">
        <v>31</v>
      </c>
      <c r="E1378" t="s">
        <v>19</v>
      </c>
      <c r="F1378" t="s">
        <v>20</v>
      </c>
      <c r="G1378" t="s">
        <v>59</v>
      </c>
      <c r="H1378" t="s">
        <v>22</v>
      </c>
      <c r="I1378">
        <v>575</v>
      </c>
      <c r="J1378">
        <v>488</v>
      </c>
      <c r="K1378">
        <v>464</v>
      </c>
      <c r="L1378">
        <v>12</v>
      </c>
      <c r="M1378">
        <v>4</v>
      </c>
      <c r="N1378">
        <v>0</v>
      </c>
      <c r="O1378">
        <v>102.18</v>
      </c>
      <c r="P1378">
        <v>0</v>
      </c>
      <c r="Q1378" s="5">
        <f t="shared" si="168"/>
        <v>0.95081967213114749</v>
      </c>
      <c r="R1378" s="5">
        <f t="shared" si="169"/>
        <v>2.5862068965517241E-2</v>
      </c>
      <c r="S1378" s="5">
        <f t="shared" si="170"/>
        <v>0.33333333333333331</v>
      </c>
      <c r="T1378" s="5">
        <f t="shared" si="171"/>
        <v>0</v>
      </c>
      <c r="U1378" s="5">
        <f t="shared" si="172"/>
        <v>0</v>
      </c>
      <c r="V1378" s="6">
        <f t="shared" si="173"/>
        <v>25.545000000000002</v>
      </c>
      <c r="W1378" s="7">
        <f t="shared" si="174"/>
        <v>8.5150000000000006</v>
      </c>
      <c r="X1378" s="5">
        <f t="shared" si="175"/>
        <v>-1</v>
      </c>
    </row>
    <row r="1379" spans="1:24" x14ac:dyDescent="0.35">
      <c r="A1379" s="3">
        <v>46247</v>
      </c>
      <c r="B1379" t="s">
        <v>1909</v>
      </c>
      <c r="C1379" t="s">
        <v>1960</v>
      </c>
      <c r="D1379" t="s">
        <v>31</v>
      </c>
      <c r="E1379" t="s">
        <v>35</v>
      </c>
      <c r="F1379" t="s">
        <v>20</v>
      </c>
      <c r="G1379" t="s">
        <v>27</v>
      </c>
      <c r="H1379" t="s">
        <v>28</v>
      </c>
      <c r="I1379">
        <v>4385</v>
      </c>
      <c r="J1379">
        <v>3240</v>
      </c>
      <c r="K1379">
        <v>3111</v>
      </c>
      <c r="L1379">
        <v>195</v>
      </c>
      <c r="M1379">
        <v>68</v>
      </c>
      <c r="N1379">
        <v>4</v>
      </c>
      <c r="O1379">
        <v>645.17999999999995</v>
      </c>
      <c r="P1379">
        <v>4062.54</v>
      </c>
      <c r="Q1379" s="5">
        <f t="shared" si="168"/>
        <v>0.96018518518518514</v>
      </c>
      <c r="R1379" s="5">
        <f t="shared" si="169"/>
        <v>6.2680810028929598E-2</v>
      </c>
      <c r="S1379" s="5">
        <f t="shared" si="170"/>
        <v>0.3487179487179487</v>
      </c>
      <c r="T1379" s="5">
        <f t="shared" si="171"/>
        <v>5.8823529411764705E-2</v>
      </c>
      <c r="U1379" s="5">
        <f t="shared" si="172"/>
        <v>1.2857602057216328E-3</v>
      </c>
      <c r="V1379" s="6">
        <f t="shared" si="173"/>
        <v>9.4879411764705868</v>
      </c>
      <c r="W1379" s="7">
        <f t="shared" si="174"/>
        <v>3.3086153846153845</v>
      </c>
      <c r="X1379" s="5">
        <f t="shared" si="175"/>
        <v>5.296754394122571</v>
      </c>
    </row>
    <row r="1380" spans="1:24" x14ac:dyDescent="0.35">
      <c r="A1380" s="3">
        <v>46247</v>
      </c>
      <c r="B1380" t="s">
        <v>1849</v>
      </c>
      <c r="C1380" t="s">
        <v>1961</v>
      </c>
      <c r="D1380" t="s">
        <v>34</v>
      </c>
      <c r="E1380" t="s">
        <v>56</v>
      </c>
      <c r="F1380" t="s">
        <v>20</v>
      </c>
      <c r="G1380" t="s">
        <v>59</v>
      </c>
      <c r="H1380" t="s">
        <v>51</v>
      </c>
      <c r="I1380">
        <v>4677</v>
      </c>
      <c r="J1380">
        <v>4462</v>
      </c>
      <c r="K1380">
        <v>4222</v>
      </c>
      <c r="L1380">
        <v>205</v>
      </c>
      <c r="M1380">
        <v>88</v>
      </c>
      <c r="N1380">
        <v>3</v>
      </c>
      <c r="O1380">
        <v>345.53</v>
      </c>
      <c r="P1380">
        <v>3773.02</v>
      </c>
      <c r="Q1380" s="5">
        <f t="shared" si="168"/>
        <v>0.94621246077991927</v>
      </c>
      <c r="R1380" s="5">
        <f t="shared" si="169"/>
        <v>4.8555187115111323E-2</v>
      </c>
      <c r="S1380" s="5">
        <f t="shared" si="170"/>
        <v>0.42926829268292682</v>
      </c>
      <c r="T1380" s="5">
        <f t="shared" si="171"/>
        <v>3.4090909090909088E-2</v>
      </c>
      <c r="U1380" s="5">
        <f t="shared" si="172"/>
        <v>7.1056371387967791E-4</v>
      </c>
      <c r="V1380" s="6">
        <f t="shared" si="173"/>
        <v>3.9264772727272725</v>
      </c>
      <c r="W1380" s="7">
        <f t="shared" si="174"/>
        <v>1.6855121951219512</v>
      </c>
      <c r="X1380" s="5">
        <f t="shared" si="175"/>
        <v>9.9195149480508213</v>
      </c>
    </row>
    <row r="1381" spans="1:24" x14ac:dyDescent="0.35">
      <c r="A1381" s="3">
        <v>46247</v>
      </c>
      <c r="B1381" t="s">
        <v>1853</v>
      </c>
      <c r="C1381" t="s">
        <v>1962</v>
      </c>
      <c r="D1381" t="s">
        <v>40</v>
      </c>
      <c r="E1381" t="s">
        <v>19</v>
      </c>
      <c r="F1381" t="s">
        <v>26</v>
      </c>
      <c r="G1381" t="s">
        <v>41</v>
      </c>
      <c r="H1381" t="s">
        <v>28</v>
      </c>
      <c r="I1381">
        <v>2570</v>
      </c>
      <c r="J1381">
        <v>2316</v>
      </c>
      <c r="K1381">
        <v>2166</v>
      </c>
      <c r="L1381">
        <v>38</v>
      </c>
      <c r="M1381">
        <v>22</v>
      </c>
      <c r="N1381">
        <v>0</v>
      </c>
      <c r="O1381">
        <v>339.34</v>
      </c>
      <c r="P1381">
        <v>0</v>
      </c>
      <c r="Q1381" s="5">
        <f t="shared" si="168"/>
        <v>0.93523316062176165</v>
      </c>
      <c r="R1381" s="5">
        <f t="shared" si="169"/>
        <v>1.7543859649122806E-2</v>
      </c>
      <c r="S1381" s="5">
        <f t="shared" si="170"/>
        <v>0.57894736842105265</v>
      </c>
      <c r="T1381" s="5">
        <f t="shared" si="171"/>
        <v>0</v>
      </c>
      <c r="U1381" s="5">
        <f t="shared" si="172"/>
        <v>0</v>
      </c>
      <c r="V1381" s="6">
        <f t="shared" si="173"/>
        <v>15.424545454545454</v>
      </c>
      <c r="W1381" s="7">
        <f t="shared" si="174"/>
        <v>8.93</v>
      </c>
      <c r="X1381" s="5">
        <f t="shared" si="175"/>
        <v>-1</v>
      </c>
    </row>
    <row r="1382" spans="1:24" x14ac:dyDescent="0.35">
      <c r="A1382" s="3">
        <v>46247</v>
      </c>
      <c r="B1382" t="s">
        <v>1824</v>
      </c>
      <c r="C1382" t="s">
        <v>1963</v>
      </c>
      <c r="D1382" t="s">
        <v>31</v>
      </c>
      <c r="E1382" t="s">
        <v>25</v>
      </c>
      <c r="F1382" t="s">
        <v>20</v>
      </c>
      <c r="G1382" t="s">
        <v>36</v>
      </c>
      <c r="H1382" t="s">
        <v>51</v>
      </c>
      <c r="I1382">
        <v>1528</v>
      </c>
      <c r="J1382">
        <v>1439</v>
      </c>
      <c r="K1382">
        <v>1423</v>
      </c>
      <c r="L1382">
        <v>34</v>
      </c>
      <c r="M1382">
        <v>13</v>
      </c>
      <c r="N1382">
        <v>0</v>
      </c>
      <c r="O1382">
        <v>293.51</v>
      </c>
      <c r="P1382">
        <v>0</v>
      </c>
      <c r="Q1382" s="5">
        <f t="shared" si="168"/>
        <v>0.98888116747741484</v>
      </c>
      <c r="R1382" s="5">
        <f t="shared" si="169"/>
        <v>2.3893183415319746E-2</v>
      </c>
      <c r="S1382" s="5">
        <f t="shared" si="170"/>
        <v>0.38235294117647056</v>
      </c>
      <c r="T1382" s="5">
        <f t="shared" si="171"/>
        <v>0</v>
      </c>
      <c r="U1382" s="5">
        <f t="shared" si="172"/>
        <v>0</v>
      </c>
      <c r="V1382" s="6">
        <f t="shared" si="173"/>
        <v>22.577692307692306</v>
      </c>
      <c r="W1382" s="7">
        <f t="shared" si="174"/>
        <v>8.6326470588235296</v>
      </c>
      <c r="X1382" s="5">
        <f t="shared" si="175"/>
        <v>-1</v>
      </c>
    </row>
    <row r="1383" spans="1:24" x14ac:dyDescent="0.35">
      <c r="A1383" s="3">
        <v>46247</v>
      </c>
      <c r="B1383" t="s">
        <v>1930</v>
      </c>
      <c r="C1383" t="s">
        <v>1964</v>
      </c>
      <c r="D1383" t="s">
        <v>40</v>
      </c>
      <c r="E1383" t="s">
        <v>35</v>
      </c>
      <c r="F1383" t="s">
        <v>20</v>
      </c>
      <c r="G1383" t="s">
        <v>59</v>
      </c>
      <c r="H1383" t="s">
        <v>37</v>
      </c>
      <c r="I1383">
        <v>4720</v>
      </c>
      <c r="J1383">
        <v>3636</v>
      </c>
      <c r="K1383">
        <v>3317</v>
      </c>
      <c r="L1383">
        <v>223</v>
      </c>
      <c r="M1383">
        <v>105</v>
      </c>
      <c r="N1383">
        <v>7</v>
      </c>
      <c r="O1383">
        <v>520.28</v>
      </c>
      <c r="P1383">
        <v>10927.06</v>
      </c>
      <c r="Q1383" s="5">
        <f t="shared" si="168"/>
        <v>0.91226622662266221</v>
      </c>
      <c r="R1383" s="5">
        <f t="shared" si="169"/>
        <v>6.7229424178474523E-2</v>
      </c>
      <c r="S1383" s="5">
        <f t="shared" si="170"/>
        <v>0.47085201793721976</v>
      </c>
      <c r="T1383" s="5">
        <f t="shared" si="171"/>
        <v>6.6666666666666666E-2</v>
      </c>
      <c r="U1383" s="5">
        <f t="shared" si="172"/>
        <v>2.1103406692794696E-3</v>
      </c>
      <c r="V1383" s="6">
        <f t="shared" si="173"/>
        <v>4.9550476190476189</v>
      </c>
      <c r="W1383" s="7">
        <f t="shared" si="174"/>
        <v>2.3330941704035872</v>
      </c>
      <c r="X1383" s="5">
        <f t="shared" si="175"/>
        <v>20.002268009533328</v>
      </c>
    </row>
    <row r="1384" spans="1:24" x14ac:dyDescent="0.35">
      <c r="A1384" s="3">
        <v>46247</v>
      </c>
      <c r="B1384" t="s">
        <v>1965</v>
      </c>
      <c r="C1384" t="s">
        <v>1966</v>
      </c>
      <c r="D1384" t="s">
        <v>18</v>
      </c>
      <c r="E1384" t="s">
        <v>19</v>
      </c>
      <c r="F1384" t="s">
        <v>20</v>
      </c>
      <c r="G1384" t="s">
        <v>27</v>
      </c>
      <c r="H1384" t="s">
        <v>48</v>
      </c>
      <c r="I1384">
        <v>3619</v>
      </c>
      <c r="J1384">
        <v>3036</v>
      </c>
      <c r="K1384">
        <v>2700</v>
      </c>
      <c r="L1384">
        <v>19</v>
      </c>
      <c r="M1384">
        <v>9</v>
      </c>
      <c r="N1384">
        <v>0</v>
      </c>
      <c r="O1384">
        <v>374.83</v>
      </c>
      <c r="P1384">
        <v>0</v>
      </c>
      <c r="Q1384" s="5">
        <f t="shared" si="168"/>
        <v>0.88932806324110669</v>
      </c>
      <c r="R1384" s="5">
        <f t="shared" si="169"/>
        <v>7.037037037037037E-3</v>
      </c>
      <c r="S1384" s="5">
        <f t="shared" si="170"/>
        <v>0.47368421052631576</v>
      </c>
      <c r="T1384" s="5">
        <f t="shared" si="171"/>
        <v>0</v>
      </c>
      <c r="U1384" s="5">
        <f t="shared" si="172"/>
        <v>0</v>
      </c>
      <c r="V1384" s="6">
        <f t="shared" si="173"/>
        <v>41.647777777777776</v>
      </c>
      <c r="W1384" s="7">
        <f t="shared" si="174"/>
        <v>19.727894736842103</v>
      </c>
      <c r="X1384" s="5">
        <f t="shared" si="175"/>
        <v>-1</v>
      </c>
    </row>
    <row r="1385" spans="1:24" x14ac:dyDescent="0.35">
      <c r="A1385" s="3">
        <v>46247</v>
      </c>
      <c r="B1385" t="s">
        <v>1967</v>
      </c>
      <c r="C1385" t="s">
        <v>1968</v>
      </c>
      <c r="D1385" t="s">
        <v>34</v>
      </c>
      <c r="E1385" t="s">
        <v>25</v>
      </c>
      <c r="F1385" t="s">
        <v>20</v>
      </c>
      <c r="G1385" t="s">
        <v>36</v>
      </c>
      <c r="H1385" t="s">
        <v>22</v>
      </c>
      <c r="I1385">
        <v>1109</v>
      </c>
      <c r="J1385">
        <v>957</v>
      </c>
      <c r="K1385">
        <v>879</v>
      </c>
      <c r="L1385">
        <v>27</v>
      </c>
      <c r="M1385">
        <v>12</v>
      </c>
      <c r="N1385">
        <v>0</v>
      </c>
      <c r="O1385">
        <v>90.34</v>
      </c>
      <c r="P1385">
        <v>0</v>
      </c>
      <c r="Q1385" s="5">
        <f t="shared" si="168"/>
        <v>0.91849529780564265</v>
      </c>
      <c r="R1385" s="5">
        <f t="shared" si="169"/>
        <v>3.0716723549488054E-2</v>
      </c>
      <c r="S1385" s="5">
        <f t="shared" si="170"/>
        <v>0.44444444444444442</v>
      </c>
      <c r="T1385" s="5">
        <f t="shared" si="171"/>
        <v>0</v>
      </c>
      <c r="U1385" s="5">
        <f t="shared" si="172"/>
        <v>0</v>
      </c>
      <c r="V1385" s="6">
        <f t="shared" si="173"/>
        <v>7.5283333333333333</v>
      </c>
      <c r="W1385" s="7">
        <f t="shared" si="174"/>
        <v>3.345925925925926</v>
      </c>
      <c r="X1385" s="5">
        <f t="shared" si="175"/>
        <v>-1</v>
      </c>
    </row>
    <row r="1386" spans="1:24" x14ac:dyDescent="0.35">
      <c r="A1386" s="3">
        <v>46247</v>
      </c>
      <c r="B1386" t="s">
        <v>1969</v>
      </c>
      <c r="C1386" t="s">
        <v>1970</v>
      </c>
      <c r="D1386" t="s">
        <v>18</v>
      </c>
      <c r="E1386" t="s">
        <v>19</v>
      </c>
      <c r="F1386" t="s">
        <v>20</v>
      </c>
      <c r="G1386" t="s">
        <v>41</v>
      </c>
      <c r="H1386" t="s">
        <v>51</v>
      </c>
      <c r="I1386">
        <v>2948</v>
      </c>
      <c r="J1386">
        <v>2256</v>
      </c>
      <c r="K1386">
        <v>2068</v>
      </c>
      <c r="L1386">
        <v>42</v>
      </c>
      <c r="M1386">
        <v>18</v>
      </c>
      <c r="N1386">
        <v>0</v>
      </c>
      <c r="O1386">
        <v>282.69</v>
      </c>
      <c r="P1386">
        <v>0</v>
      </c>
      <c r="Q1386" s="5">
        <f t="shared" si="168"/>
        <v>0.91666666666666663</v>
      </c>
      <c r="R1386" s="5">
        <f t="shared" si="169"/>
        <v>2.0309477756286266E-2</v>
      </c>
      <c r="S1386" s="5">
        <f t="shared" si="170"/>
        <v>0.42857142857142855</v>
      </c>
      <c r="T1386" s="5">
        <f t="shared" si="171"/>
        <v>0</v>
      </c>
      <c r="U1386" s="5">
        <f t="shared" si="172"/>
        <v>0</v>
      </c>
      <c r="V1386" s="6">
        <f t="shared" si="173"/>
        <v>15.705</v>
      </c>
      <c r="W1386" s="7">
        <f t="shared" si="174"/>
        <v>6.7307142857142859</v>
      </c>
      <c r="X1386" s="5">
        <f t="shared" si="175"/>
        <v>-1</v>
      </c>
    </row>
    <row r="1387" spans="1:24" x14ac:dyDescent="0.35">
      <c r="A1387" s="3">
        <v>46248</v>
      </c>
      <c r="B1387" t="s">
        <v>1957</v>
      </c>
      <c r="C1387" t="s">
        <v>1971</v>
      </c>
      <c r="D1387" t="s">
        <v>18</v>
      </c>
      <c r="E1387" t="s">
        <v>56</v>
      </c>
      <c r="F1387" t="s">
        <v>20</v>
      </c>
      <c r="G1387" t="s">
        <v>21</v>
      </c>
      <c r="H1387" t="s">
        <v>22</v>
      </c>
      <c r="I1387">
        <v>4331</v>
      </c>
      <c r="J1387">
        <v>3985</v>
      </c>
      <c r="K1387">
        <v>3641</v>
      </c>
      <c r="L1387">
        <v>221</v>
      </c>
      <c r="M1387">
        <v>100</v>
      </c>
      <c r="N1387">
        <v>7</v>
      </c>
      <c r="O1387">
        <v>406.68</v>
      </c>
      <c r="P1387">
        <v>5222.8900000000003</v>
      </c>
      <c r="Q1387" s="5">
        <f t="shared" si="168"/>
        <v>0.91367628607277285</v>
      </c>
      <c r="R1387" s="5">
        <f t="shared" si="169"/>
        <v>6.0697610546553142E-2</v>
      </c>
      <c r="S1387" s="5">
        <f t="shared" si="170"/>
        <v>0.45248868778280543</v>
      </c>
      <c r="T1387" s="5">
        <f t="shared" si="171"/>
        <v>7.0000000000000007E-2</v>
      </c>
      <c r="U1387" s="5">
        <f t="shared" si="172"/>
        <v>1.9225487503433123E-3</v>
      </c>
      <c r="V1387" s="6">
        <f t="shared" si="173"/>
        <v>4.0667999999999997</v>
      </c>
      <c r="W1387" s="7">
        <f t="shared" si="174"/>
        <v>1.8401809954751132</v>
      </c>
      <c r="X1387" s="5">
        <f t="shared" si="175"/>
        <v>11.842751057342381</v>
      </c>
    </row>
    <row r="1388" spans="1:24" x14ac:dyDescent="0.35">
      <c r="A1388" s="3">
        <v>46248</v>
      </c>
      <c r="B1388" t="s">
        <v>1907</v>
      </c>
      <c r="C1388" t="s">
        <v>1972</v>
      </c>
      <c r="D1388" t="s">
        <v>34</v>
      </c>
      <c r="E1388" t="s">
        <v>19</v>
      </c>
      <c r="F1388" t="s">
        <v>20</v>
      </c>
      <c r="G1388" t="s">
        <v>21</v>
      </c>
      <c r="H1388" t="s">
        <v>51</v>
      </c>
      <c r="I1388">
        <v>4963</v>
      </c>
      <c r="J1388">
        <v>4588</v>
      </c>
      <c r="K1388">
        <v>4435</v>
      </c>
      <c r="L1388">
        <v>28</v>
      </c>
      <c r="M1388">
        <v>14</v>
      </c>
      <c r="N1388">
        <v>0</v>
      </c>
      <c r="O1388">
        <v>318.66000000000003</v>
      </c>
      <c r="P1388">
        <v>0</v>
      </c>
      <c r="Q1388" s="5">
        <f t="shared" si="168"/>
        <v>0.96665213600697475</v>
      </c>
      <c r="R1388" s="5">
        <f t="shared" si="169"/>
        <v>6.3134160090191661E-3</v>
      </c>
      <c r="S1388" s="5">
        <f t="shared" si="170"/>
        <v>0.5</v>
      </c>
      <c r="T1388" s="5">
        <f t="shared" si="171"/>
        <v>0</v>
      </c>
      <c r="U1388" s="5">
        <f t="shared" si="172"/>
        <v>0</v>
      </c>
      <c r="V1388" s="6">
        <f t="shared" si="173"/>
        <v>22.761428571428574</v>
      </c>
      <c r="W1388" s="7">
        <f t="shared" si="174"/>
        <v>11.380714285714287</v>
      </c>
      <c r="X1388" s="5">
        <f t="shared" si="175"/>
        <v>-1</v>
      </c>
    </row>
    <row r="1389" spans="1:24" x14ac:dyDescent="0.35">
      <c r="A1389" s="3">
        <v>46248</v>
      </c>
      <c r="B1389" t="s">
        <v>1849</v>
      </c>
      <c r="C1389" t="s">
        <v>1973</v>
      </c>
      <c r="D1389" t="s">
        <v>40</v>
      </c>
      <c r="E1389" t="s">
        <v>25</v>
      </c>
      <c r="F1389" t="s">
        <v>26</v>
      </c>
      <c r="G1389" t="s">
        <v>41</v>
      </c>
      <c r="H1389" t="s">
        <v>51</v>
      </c>
      <c r="I1389">
        <v>2064</v>
      </c>
      <c r="J1389">
        <v>1675</v>
      </c>
      <c r="K1389">
        <v>1548</v>
      </c>
      <c r="L1389">
        <v>74</v>
      </c>
      <c r="M1389">
        <v>42</v>
      </c>
      <c r="N1389">
        <v>3</v>
      </c>
      <c r="O1389">
        <v>251.9</v>
      </c>
      <c r="P1389">
        <v>3645.78</v>
      </c>
      <c r="Q1389" s="5">
        <f t="shared" si="168"/>
        <v>0.92417910447761198</v>
      </c>
      <c r="R1389" s="5">
        <f t="shared" si="169"/>
        <v>4.7803617571059429E-2</v>
      </c>
      <c r="S1389" s="5">
        <f t="shared" si="170"/>
        <v>0.56756756756756754</v>
      </c>
      <c r="T1389" s="5">
        <f t="shared" si="171"/>
        <v>7.1428571428571425E-2</v>
      </c>
      <c r="U1389" s="5">
        <f t="shared" si="172"/>
        <v>1.937984496124031E-3</v>
      </c>
      <c r="V1389" s="6">
        <f t="shared" si="173"/>
        <v>5.9976190476190476</v>
      </c>
      <c r="W1389" s="7">
        <f t="shared" si="174"/>
        <v>3.404054054054054</v>
      </c>
      <c r="X1389" s="5">
        <f t="shared" si="175"/>
        <v>13.473124255657007</v>
      </c>
    </row>
    <row r="1390" spans="1:24" x14ac:dyDescent="0.35">
      <c r="A1390" s="3">
        <v>46248</v>
      </c>
      <c r="B1390" t="s">
        <v>1941</v>
      </c>
      <c r="C1390" t="s">
        <v>1974</v>
      </c>
      <c r="D1390" t="s">
        <v>31</v>
      </c>
      <c r="E1390" t="s">
        <v>56</v>
      </c>
      <c r="F1390" t="s">
        <v>26</v>
      </c>
      <c r="G1390" t="s">
        <v>36</v>
      </c>
      <c r="H1390" t="s">
        <v>51</v>
      </c>
      <c r="I1390">
        <v>3652</v>
      </c>
      <c r="J1390">
        <v>2918</v>
      </c>
      <c r="K1390">
        <v>2779</v>
      </c>
      <c r="L1390">
        <v>136</v>
      </c>
      <c r="M1390">
        <v>70</v>
      </c>
      <c r="N1390">
        <v>4</v>
      </c>
      <c r="O1390">
        <v>446.46</v>
      </c>
      <c r="P1390">
        <v>4247.6499999999996</v>
      </c>
      <c r="Q1390" s="5">
        <f t="shared" si="168"/>
        <v>0.9523646333104866</v>
      </c>
      <c r="R1390" s="5">
        <f t="shared" si="169"/>
        <v>4.8938467074487228E-2</v>
      </c>
      <c r="S1390" s="5">
        <f t="shared" si="170"/>
        <v>0.51470588235294112</v>
      </c>
      <c r="T1390" s="5">
        <f t="shared" si="171"/>
        <v>5.7142857142857141E-2</v>
      </c>
      <c r="U1390" s="5">
        <f t="shared" si="172"/>
        <v>1.4393666786613889E-3</v>
      </c>
      <c r="V1390" s="6">
        <f t="shared" si="173"/>
        <v>6.3780000000000001</v>
      </c>
      <c r="W1390" s="7">
        <f t="shared" si="174"/>
        <v>3.2827941176470588</v>
      </c>
      <c r="X1390" s="5">
        <f t="shared" si="175"/>
        <v>8.514066209738834</v>
      </c>
    </row>
    <row r="1391" spans="1:24" x14ac:dyDescent="0.35">
      <c r="A1391" s="3">
        <v>46248</v>
      </c>
      <c r="B1391" t="s">
        <v>1975</v>
      </c>
      <c r="C1391" t="s">
        <v>1976</v>
      </c>
      <c r="D1391" t="s">
        <v>34</v>
      </c>
      <c r="E1391" t="s">
        <v>25</v>
      </c>
      <c r="F1391" t="s">
        <v>20</v>
      </c>
      <c r="G1391" t="s">
        <v>36</v>
      </c>
      <c r="H1391" t="s">
        <v>48</v>
      </c>
      <c r="I1391">
        <v>1642</v>
      </c>
      <c r="J1391">
        <v>1188</v>
      </c>
      <c r="K1391">
        <v>1139</v>
      </c>
      <c r="L1391">
        <v>24</v>
      </c>
      <c r="M1391">
        <v>13</v>
      </c>
      <c r="N1391">
        <v>0</v>
      </c>
      <c r="O1391">
        <v>91.31</v>
      </c>
      <c r="P1391">
        <v>0</v>
      </c>
      <c r="Q1391" s="5">
        <f t="shared" si="168"/>
        <v>0.9587542087542088</v>
      </c>
      <c r="R1391" s="5">
        <f t="shared" si="169"/>
        <v>2.1071115013169446E-2</v>
      </c>
      <c r="S1391" s="5">
        <f t="shared" si="170"/>
        <v>0.54166666666666663</v>
      </c>
      <c r="T1391" s="5">
        <f t="shared" si="171"/>
        <v>0</v>
      </c>
      <c r="U1391" s="5">
        <f t="shared" si="172"/>
        <v>0</v>
      </c>
      <c r="V1391" s="6">
        <f t="shared" si="173"/>
        <v>7.0238461538461543</v>
      </c>
      <c r="W1391" s="7">
        <f t="shared" si="174"/>
        <v>3.8045833333333334</v>
      </c>
      <c r="X1391" s="5">
        <f t="shared" si="175"/>
        <v>-1</v>
      </c>
    </row>
    <row r="1392" spans="1:24" x14ac:dyDescent="0.35">
      <c r="A1392" s="3">
        <v>46248</v>
      </c>
      <c r="B1392" t="s">
        <v>1975</v>
      </c>
      <c r="C1392" t="s">
        <v>1977</v>
      </c>
      <c r="D1392" t="s">
        <v>34</v>
      </c>
      <c r="E1392" t="s">
        <v>35</v>
      </c>
      <c r="F1392" t="s">
        <v>20</v>
      </c>
      <c r="G1392" t="s">
        <v>27</v>
      </c>
      <c r="H1392" t="s">
        <v>48</v>
      </c>
      <c r="I1392">
        <v>4859</v>
      </c>
      <c r="J1392">
        <v>3998</v>
      </c>
      <c r="K1392">
        <v>3704</v>
      </c>
      <c r="L1392">
        <v>293</v>
      </c>
      <c r="M1392">
        <v>125</v>
      </c>
      <c r="N1392">
        <v>10</v>
      </c>
      <c r="O1392">
        <v>313.66000000000003</v>
      </c>
      <c r="P1392">
        <v>14261.46</v>
      </c>
      <c r="Q1392" s="5">
        <f t="shared" si="168"/>
        <v>0.9264632316158079</v>
      </c>
      <c r="R1392" s="5">
        <f t="shared" si="169"/>
        <v>7.9103671706263493E-2</v>
      </c>
      <c r="S1392" s="5">
        <f t="shared" si="170"/>
        <v>0.42662116040955633</v>
      </c>
      <c r="T1392" s="5">
        <f t="shared" si="171"/>
        <v>0.08</v>
      </c>
      <c r="U1392" s="5">
        <f t="shared" si="172"/>
        <v>2.6997840172786176E-3</v>
      </c>
      <c r="V1392" s="6">
        <f t="shared" si="173"/>
        <v>2.5092800000000004</v>
      </c>
      <c r="W1392" s="7">
        <f t="shared" si="174"/>
        <v>1.0705119453924916</v>
      </c>
      <c r="X1392" s="5">
        <f t="shared" si="175"/>
        <v>44.467895173117384</v>
      </c>
    </row>
    <row r="1393" spans="1:24" x14ac:dyDescent="0.35">
      <c r="A1393" s="3">
        <v>46248</v>
      </c>
      <c r="B1393" t="s">
        <v>1953</v>
      </c>
      <c r="C1393" t="s">
        <v>1978</v>
      </c>
      <c r="D1393" t="s">
        <v>18</v>
      </c>
      <c r="E1393" t="s">
        <v>56</v>
      </c>
      <c r="F1393" t="s">
        <v>20</v>
      </c>
      <c r="G1393" t="s">
        <v>59</v>
      </c>
      <c r="H1393" t="s">
        <v>37</v>
      </c>
      <c r="I1393">
        <v>2617</v>
      </c>
      <c r="J1393">
        <v>2408</v>
      </c>
      <c r="K1393">
        <v>2170</v>
      </c>
      <c r="L1393">
        <v>126</v>
      </c>
      <c r="M1393">
        <v>76</v>
      </c>
      <c r="N1393">
        <v>3</v>
      </c>
      <c r="O1393">
        <v>314.14</v>
      </c>
      <c r="P1393">
        <v>2845.49</v>
      </c>
      <c r="Q1393" s="5">
        <f t="shared" si="168"/>
        <v>0.90116279069767447</v>
      </c>
      <c r="R1393" s="5">
        <f t="shared" si="169"/>
        <v>5.8064516129032261E-2</v>
      </c>
      <c r="S1393" s="5">
        <f t="shared" si="170"/>
        <v>0.60317460317460314</v>
      </c>
      <c r="T1393" s="5">
        <f t="shared" si="171"/>
        <v>3.9473684210526314E-2</v>
      </c>
      <c r="U1393" s="5">
        <f t="shared" si="172"/>
        <v>1.3824884792626728E-3</v>
      </c>
      <c r="V1393" s="6">
        <f t="shared" si="173"/>
        <v>4.1334210526315784</v>
      </c>
      <c r="W1393" s="7">
        <f t="shared" si="174"/>
        <v>2.4931746031746029</v>
      </c>
      <c r="X1393" s="5">
        <f t="shared" si="175"/>
        <v>8.0580314509454389</v>
      </c>
    </row>
    <row r="1394" spans="1:24" x14ac:dyDescent="0.35">
      <c r="A1394" s="3">
        <v>46248</v>
      </c>
      <c r="B1394" t="s">
        <v>1979</v>
      </c>
      <c r="C1394" t="s">
        <v>1980</v>
      </c>
      <c r="D1394" t="s">
        <v>18</v>
      </c>
      <c r="E1394" t="s">
        <v>25</v>
      </c>
      <c r="F1394" t="s">
        <v>20</v>
      </c>
      <c r="G1394" t="s">
        <v>21</v>
      </c>
      <c r="H1394" t="s">
        <v>22</v>
      </c>
      <c r="I1394">
        <v>3651</v>
      </c>
      <c r="J1394">
        <v>3211</v>
      </c>
      <c r="K1394">
        <v>2860</v>
      </c>
      <c r="L1394">
        <v>104</v>
      </c>
      <c r="M1394">
        <v>49</v>
      </c>
      <c r="N1394">
        <v>2</v>
      </c>
      <c r="O1394">
        <v>341.53</v>
      </c>
      <c r="P1394">
        <v>2436.23</v>
      </c>
      <c r="Q1394" s="5">
        <f t="shared" si="168"/>
        <v>0.89068825910931171</v>
      </c>
      <c r="R1394" s="5">
        <f t="shared" si="169"/>
        <v>3.6363636363636362E-2</v>
      </c>
      <c r="S1394" s="5">
        <f t="shared" si="170"/>
        <v>0.47115384615384615</v>
      </c>
      <c r="T1394" s="5">
        <f t="shared" si="171"/>
        <v>4.0816326530612242E-2</v>
      </c>
      <c r="U1394" s="5">
        <f t="shared" si="172"/>
        <v>6.993006993006993E-4</v>
      </c>
      <c r="V1394" s="6">
        <f t="shared" si="173"/>
        <v>6.97</v>
      </c>
      <c r="W1394" s="7">
        <f t="shared" si="174"/>
        <v>3.2839423076923073</v>
      </c>
      <c r="X1394" s="5">
        <f t="shared" si="175"/>
        <v>6.1332825813252132</v>
      </c>
    </row>
    <row r="1395" spans="1:24" x14ac:dyDescent="0.35">
      <c r="A1395" s="3">
        <v>46248</v>
      </c>
      <c r="B1395" t="s">
        <v>1981</v>
      </c>
      <c r="C1395" t="s">
        <v>1982</v>
      </c>
      <c r="D1395" t="s">
        <v>40</v>
      </c>
      <c r="E1395" t="s">
        <v>35</v>
      </c>
      <c r="F1395" t="s">
        <v>26</v>
      </c>
      <c r="G1395" t="s">
        <v>59</v>
      </c>
      <c r="H1395" t="s">
        <v>51</v>
      </c>
      <c r="I1395">
        <v>578</v>
      </c>
      <c r="J1395">
        <v>493</v>
      </c>
      <c r="K1395">
        <v>454</v>
      </c>
      <c r="L1395">
        <v>47</v>
      </c>
      <c r="M1395">
        <v>26</v>
      </c>
      <c r="N1395">
        <v>1</v>
      </c>
      <c r="O1395">
        <v>68.349999999999994</v>
      </c>
      <c r="P1395">
        <v>898.06</v>
      </c>
      <c r="Q1395" s="5">
        <f t="shared" si="168"/>
        <v>0.92089249492900604</v>
      </c>
      <c r="R1395" s="5">
        <f t="shared" si="169"/>
        <v>0.10352422907488987</v>
      </c>
      <c r="S1395" s="5">
        <f t="shared" si="170"/>
        <v>0.55319148936170215</v>
      </c>
      <c r="T1395" s="5">
        <f t="shared" si="171"/>
        <v>3.8461538461538464E-2</v>
      </c>
      <c r="U1395" s="5">
        <f t="shared" si="172"/>
        <v>2.2026431718061676E-3</v>
      </c>
      <c r="V1395" s="6">
        <f t="shared" si="173"/>
        <v>2.6288461538461538</v>
      </c>
      <c r="W1395" s="7">
        <f t="shared" si="174"/>
        <v>1.454255319148936</v>
      </c>
      <c r="X1395" s="5">
        <f t="shared" si="175"/>
        <v>12.139136795903438</v>
      </c>
    </row>
    <row r="1396" spans="1:24" x14ac:dyDescent="0.35">
      <c r="A1396" s="3">
        <v>46248</v>
      </c>
      <c r="B1396" t="s">
        <v>1965</v>
      </c>
      <c r="C1396" t="s">
        <v>1983</v>
      </c>
      <c r="D1396" t="s">
        <v>34</v>
      </c>
      <c r="E1396" t="s">
        <v>35</v>
      </c>
      <c r="F1396" t="s">
        <v>20</v>
      </c>
      <c r="G1396" t="s">
        <v>21</v>
      </c>
      <c r="H1396" t="s">
        <v>22</v>
      </c>
      <c r="I1396">
        <v>4410</v>
      </c>
      <c r="J1396">
        <v>3784</v>
      </c>
      <c r="K1396">
        <v>3621</v>
      </c>
      <c r="L1396">
        <v>229</v>
      </c>
      <c r="M1396">
        <v>100</v>
      </c>
      <c r="N1396">
        <v>7</v>
      </c>
      <c r="O1396">
        <v>294.47000000000003</v>
      </c>
      <c r="P1396">
        <v>9374.59</v>
      </c>
      <c r="Q1396" s="5">
        <f t="shared" si="168"/>
        <v>0.95692389006342493</v>
      </c>
      <c r="R1396" s="5">
        <f t="shared" si="169"/>
        <v>6.3242198287765811E-2</v>
      </c>
      <c r="S1396" s="5">
        <f t="shared" si="170"/>
        <v>0.4366812227074236</v>
      </c>
      <c r="T1396" s="5">
        <f t="shared" si="171"/>
        <v>7.0000000000000007E-2</v>
      </c>
      <c r="U1396" s="5">
        <f t="shared" si="172"/>
        <v>1.9331676332504833E-3</v>
      </c>
      <c r="V1396" s="6">
        <f t="shared" si="173"/>
        <v>2.9447000000000001</v>
      </c>
      <c r="W1396" s="7">
        <f t="shared" si="174"/>
        <v>1.2858951965065504</v>
      </c>
      <c r="X1396" s="5">
        <f t="shared" si="175"/>
        <v>30.835467110401737</v>
      </c>
    </row>
    <row r="1397" spans="1:24" x14ac:dyDescent="0.35">
      <c r="A1397" s="3">
        <v>46248</v>
      </c>
      <c r="B1397" t="s">
        <v>1984</v>
      </c>
      <c r="C1397" t="s">
        <v>1985</v>
      </c>
      <c r="D1397" t="s">
        <v>31</v>
      </c>
      <c r="E1397" t="s">
        <v>25</v>
      </c>
      <c r="F1397" t="s">
        <v>20</v>
      </c>
      <c r="G1397" t="s">
        <v>36</v>
      </c>
      <c r="H1397" t="s">
        <v>51</v>
      </c>
      <c r="I1397">
        <v>3172</v>
      </c>
      <c r="J1397">
        <v>2572</v>
      </c>
      <c r="K1397">
        <v>2420</v>
      </c>
      <c r="L1397">
        <v>28</v>
      </c>
      <c r="M1397">
        <v>10</v>
      </c>
      <c r="N1397">
        <v>1</v>
      </c>
      <c r="O1397">
        <v>466.22</v>
      </c>
      <c r="P1397">
        <v>840.04</v>
      </c>
      <c r="Q1397" s="5">
        <f t="shared" si="168"/>
        <v>0.94090202177293936</v>
      </c>
      <c r="R1397" s="5">
        <f t="shared" si="169"/>
        <v>1.1570247933884297E-2</v>
      </c>
      <c r="S1397" s="5">
        <f t="shared" si="170"/>
        <v>0.35714285714285715</v>
      </c>
      <c r="T1397" s="5">
        <f t="shared" si="171"/>
        <v>0.1</v>
      </c>
      <c r="U1397" s="5">
        <f t="shared" si="172"/>
        <v>4.1322314049586776E-4</v>
      </c>
      <c r="V1397" s="6">
        <f t="shared" si="173"/>
        <v>46.622</v>
      </c>
      <c r="W1397" s="7">
        <f t="shared" si="174"/>
        <v>16.650714285714287</v>
      </c>
      <c r="X1397" s="5">
        <f t="shared" si="175"/>
        <v>0.80181030414825605</v>
      </c>
    </row>
    <row r="1398" spans="1:24" x14ac:dyDescent="0.35">
      <c r="A1398" s="3">
        <v>46249</v>
      </c>
      <c r="B1398" t="s">
        <v>1901</v>
      </c>
      <c r="C1398" t="s">
        <v>1986</v>
      </c>
      <c r="D1398" t="s">
        <v>31</v>
      </c>
      <c r="E1398" t="s">
        <v>35</v>
      </c>
      <c r="F1398" t="s">
        <v>20</v>
      </c>
      <c r="G1398" t="s">
        <v>36</v>
      </c>
      <c r="H1398" t="s">
        <v>48</v>
      </c>
      <c r="I1398">
        <v>3351</v>
      </c>
      <c r="J1398">
        <v>2676</v>
      </c>
      <c r="K1398">
        <v>2552</v>
      </c>
      <c r="L1398">
        <v>101</v>
      </c>
      <c r="M1398">
        <v>37</v>
      </c>
      <c r="N1398">
        <v>3</v>
      </c>
      <c r="O1398">
        <v>536</v>
      </c>
      <c r="P1398">
        <v>2521.31</v>
      </c>
      <c r="Q1398" s="5">
        <f t="shared" si="168"/>
        <v>0.95366218236173395</v>
      </c>
      <c r="R1398" s="5">
        <f t="shared" si="169"/>
        <v>3.9576802507836989E-2</v>
      </c>
      <c r="S1398" s="5">
        <f t="shared" si="170"/>
        <v>0.36633663366336633</v>
      </c>
      <c r="T1398" s="5">
        <f t="shared" si="171"/>
        <v>8.1081081081081086E-2</v>
      </c>
      <c r="U1398" s="5">
        <f t="shared" si="172"/>
        <v>1.1755485893416929E-3</v>
      </c>
      <c r="V1398" s="6">
        <f t="shared" si="173"/>
        <v>14.486486486486486</v>
      </c>
      <c r="W1398" s="7">
        <f t="shared" si="174"/>
        <v>5.3069306930693072</v>
      </c>
      <c r="X1398" s="5">
        <f t="shared" si="175"/>
        <v>3.7039365671641789</v>
      </c>
    </row>
    <row r="1399" spans="1:24" x14ac:dyDescent="0.35">
      <c r="A1399" s="3">
        <v>46249</v>
      </c>
      <c r="B1399" t="s">
        <v>1818</v>
      </c>
      <c r="C1399" t="s">
        <v>1987</v>
      </c>
      <c r="D1399" t="s">
        <v>18</v>
      </c>
      <c r="E1399" t="s">
        <v>56</v>
      </c>
      <c r="F1399" t="s">
        <v>20</v>
      </c>
      <c r="G1399" t="s">
        <v>36</v>
      </c>
      <c r="H1399" t="s">
        <v>51</v>
      </c>
      <c r="I1399">
        <v>2428</v>
      </c>
      <c r="J1399">
        <v>1889</v>
      </c>
      <c r="K1399">
        <v>1731</v>
      </c>
      <c r="L1399">
        <v>85</v>
      </c>
      <c r="M1399">
        <v>39</v>
      </c>
      <c r="N1399">
        <v>2</v>
      </c>
      <c r="O1399">
        <v>247.09</v>
      </c>
      <c r="P1399">
        <v>1789.85</v>
      </c>
      <c r="Q1399" s="5">
        <f t="shared" si="168"/>
        <v>0.91635786130227637</v>
      </c>
      <c r="R1399" s="5">
        <f t="shared" si="169"/>
        <v>4.9104563835932986E-2</v>
      </c>
      <c r="S1399" s="5">
        <f t="shared" si="170"/>
        <v>0.45882352941176469</v>
      </c>
      <c r="T1399" s="5">
        <f t="shared" si="171"/>
        <v>5.128205128205128E-2</v>
      </c>
      <c r="U1399" s="5">
        <f t="shared" si="172"/>
        <v>1.1554015020219526E-3</v>
      </c>
      <c r="V1399" s="6">
        <f t="shared" si="173"/>
        <v>6.335641025641026</v>
      </c>
      <c r="W1399" s="7">
        <f t="shared" si="174"/>
        <v>2.9069411764705881</v>
      </c>
      <c r="X1399" s="5">
        <f t="shared" si="175"/>
        <v>6.243716864300457</v>
      </c>
    </row>
    <row r="1400" spans="1:24" x14ac:dyDescent="0.35">
      <c r="A1400" s="3">
        <v>46249</v>
      </c>
      <c r="B1400" t="s">
        <v>1851</v>
      </c>
      <c r="C1400" t="s">
        <v>1988</v>
      </c>
      <c r="D1400" t="s">
        <v>18</v>
      </c>
      <c r="E1400" t="s">
        <v>56</v>
      </c>
      <c r="F1400" t="s">
        <v>26</v>
      </c>
      <c r="G1400" t="s">
        <v>59</v>
      </c>
      <c r="H1400" t="s">
        <v>51</v>
      </c>
      <c r="I1400">
        <v>1759</v>
      </c>
      <c r="J1400">
        <v>1535</v>
      </c>
      <c r="K1400">
        <v>1409</v>
      </c>
      <c r="L1400">
        <v>104</v>
      </c>
      <c r="M1400">
        <v>69</v>
      </c>
      <c r="N1400">
        <v>4</v>
      </c>
      <c r="O1400">
        <v>201.99</v>
      </c>
      <c r="P1400">
        <v>4376.49</v>
      </c>
      <c r="Q1400" s="5">
        <f t="shared" si="168"/>
        <v>0.9179153094462541</v>
      </c>
      <c r="R1400" s="5">
        <f t="shared" si="169"/>
        <v>7.3811213626685593E-2</v>
      </c>
      <c r="S1400" s="5">
        <f t="shared" si="170"/>
        <v>0.66346153846153844</v>
      </c>
      <c r="T1400" s="5">
        <f t="shared" si="171"/>
        <v>5.7971014492753624E-2</v>
      </c>
      <c r="U1400" s="5">
        <f t="shared" si="172"/>
        <v>2.8388928317955998E-3</v>
      </c>
      <c r="V1400" s="6">
        <f t="shared" si="173"/>
        <v>2.9273913043478261</v>
      </c>
      <c r="W1400" s="7">
        <f t="shared" si="174"/>
        <v>1.9422115384615386</v>
      </c>
      <c r="X1400" s="5">
        <f t="shared" si="175"/>
        <v>20.666864696272093</v>
      </c>
    </row>
    <row r="1401" spans="1:24" x14ac:dyDescent="0.35">
      <c r="A1401" s="3">
        <v>46249</v>
      </c>
      <c r="B1401" t="s">
        <v>1893</v>
      </c>
      <c r="C1401" t="s">
        <v>1989</v>
      </c>
      <c r="D1401" t="s">
        <v>31</v>
      </c>
      <c r="E1401" t="s">
        <v>35</v>
      </c>
      <c r="F1401" t="s">
        <v>20</v>
      </c>
      <c r="G1401" t="s">
        <v>27</v>
      </c>
      <c r="H1401" t="s">
        <v>48</v>
      </c>
      <c r="I1401">
        <v>550</v>
      </c>
      <c r="J1401">
        <v>545</v>
      </c>
      <c r="K1401">
        <v>520</v>
      </c>
      <c r="L1401">
        <v>27</v>
      </c>
      <c r="M1401">
        <v>11</v>
      </c>
      <c r="N1401">
        <v>1</v>
      </c>
      <c r="O1401">
        <v>100.2</v>
      </c>
      <c r="P1401">
        <v>828.03</v>
      </c>
      <c r="Q1401" s="5">
        <f t="shared" si="168"/>
        <v>0.95412844036697253</v>
      </c>
      <c r="R1401" s="5">
        <f t="shared" si="169"/>
        <v>5.1923076923076926E-2</v>
      </c>
      <c r="S1401" s="5">
        <f t="shared" si="170"/>
        <v>0.40740740740740738</v>
      </c>
      <c r="T1401" s="5">
        <f t="shared" si="171"/>
        <v>9.0909090909090912E-2</v>
      </c>
      <c r="U1401" s="5">
        <f t="shared" si="172"/>
        <v>1.9230769230769232E-3</v>
      </c>
      <c r="V1401" s="6">
        <f t="shared" si="173"/>
        <v>9.1090909090909093</v>
      </c>
      <c r="W1401" s="7">
        <f t="shared" si="174"/>
        <v>3.7111111111111112</v>
      </c>
      <c r="X1401" s="5">
        <f t="shared" si="175"/>
        <v>7.2637724550898195</v>
      </c>
    </row>
    <row r="1402" spans="1:24" x14ac:dyDescent="0.35">
      <c r="A1402" s="3">
        <v>46249</v>
      </c>
      <c r="B1402" t="s">
        <v>1914</v>
      </c>
      <c r="C1402" t="s">
        <v>1990</v>
      </c>
      <c r="D1402" t="s">
        <v>31</v>
      </c>
      <c r="E1402" t="s">
        <v>56</v>
      </c>
      <c r="F1402" t="s">
        <v>26</v>
      </c>
      <c r="G1402" t="s">
        <v>41</v>
      </c>
      <c r="H1402" t="s">
        <v>48</v>
      </c>
      <c r="I1402">
        <v>2101</v>
      </c>
      <c r="J1402">
        <v>2056</v>
      </c>
      <c r="K1402">
        <v>1984</v>
      </c>
      <c r="L1402">
        <v>103</v>
      </c>
      <c r="M1402">
        <v>45</v>
      </c>
      <c r="N1402">
        <v>4</v>
      </c>
      <c r="O1402">
        <v>319.18</v>
      </c>
      <c r="P1402">
        <v>6041.62</v>
      </c>
      <c r="Q1402" s="5">
        <f t="shared" si="168"/>
        <v>0.96498054474708173</v>
      </c>
      <c r="R1402" s="5">
        <f t="shared" si="169"/>
        <v>5.1915322580645164E-2</v>
      </c>
      <c r="S1402" s="5">
        <f t="shared" si="170"/>
        <v>0.43689320388349512</v>
      </c>
      <c r="T1402" s="5">
        <f t="shared" si="171"/>
        <v>8.8888888888888892E-2</v>
      </c>
      <c r="U1402" s="5">
        <f t="shared" si="172"/>
        <v>2.0161290322580645E-3</v>
      </c>
      <c r="V1402" s="6">
        <f t="shared" si="173"/>
        <v>7.092888888888889</v>
      </c>
      <c r="W1402" s="7">
        <f t="shared" si="174"/>
        <v>3.0988349514563107</v>
      </c>
      <c r="X1402" s="5">
        <f t="shared" si="175"/>
        <v>17.928566952816592</v>
      </c>
    </row>
    <row r="1403" spans="1:24" x14ac:dyDescent="0.35">
      <c r="A1403" s="3">
        <v>46249</v>
      </c>
      <c r="B1403" t="s">
        <v>1836</v>
      </c>
      <c r="C1403" t="s">
        <v>1991</v>
      </c>
      <c r="D1403" t="s">
        <v>18</v>
      </c>
      <c r="E1403" t="s">
        <v>25</v>
      </c>
      <c r="F1403" t="s">
        <v>26</v>
      </c>
      <c r="G1403" t="s">
        <v>21</v>
      </c>
      <c r="H1403" t="s">
        <v>37</v>
      </c>
      <c r="I1403">
        <v>4656</v>
      </c>
      <c r="J1403">
        <v>4632</v>
      </c>
      <c r="K1403">
        <v>4305</v>
      </c>
      <c r="L1403">
        <v>218</v>
      </c>
      <c r="M1403">
        <v>133</v>
      </c>
      <c r="N1403">
        <v>7</v>
      </c>
      <c r="O1403">
        <v>632.76</v>
      </c>
      <c r="P1403">
        <v>9009.11</v>
      </c>
      <c r="Q1403" s="5">
        <f t="shared" si="168"/>
        <v>0.92940414507772018</v>
      </c>
      <c r="R1403" s="5">
        <f t="shared" si="169"/>
        <v>5.0638792102206738E-2</v>
      </c>
      <c r="S1403" s="5">
        <f t="shared" si="170"/>
        <v>0.61009174311926606</v>
      </c>
      <c r="T1403" s="5">
        <f t="shared" si="171"/>
        <v>5.2631578947368418E-2</v>
      </c>
      <c r="U1403" s="5">
        <f t="shared" si="172"/>
        <v>1.6260162601626016E-3</v>
      </c>
      <c r="V1403" s="6">
        <f t="shared" si="173"/>
        <v>4.7575939849624058</v>
      </c>
      <c r="W1403" s="7">
        <f t="shared" si="174"/>
        <v>2.9025688073394496</v>
      </c>
      <c r="X1403" s="5">
        <f t="shared" si="175"/>
        <v>13.237799481636008</v>
      </c>
    </row>
    <row r="1404" spans="1:24" x14ac:dyDescent="0.35">
      <c r="A1404" s="3">
        <v>46249</v>
      </c>
      <c r="B1404" t="s">
        <v>1992</v>
      </c>
      <c r="C1404" t="s">
        <v>1993</v>
      </c>
      <c r="D1404" t="s">
        <v>18</v>
      </c>
      <c r="E1404" t="s">
        <v>25</v>
      </c>
      <c r="F1404" t="s">
        <v>20</v>
      </c>
      <c r="G1404" t="s">
        <v>21</v>
      </c>
      <c r="H1404" t="s">
        <v>28</v>
      </c>
      <c r="I1404">
        <v>3169</v>
      </c>
      <c r="J1404">
        <v>2790</v>
      </c>
      <c r="K1404">
        <v>2493</v>
      </c>
      <c r="L1404">
        <v>122</v>
      </c>
      <c r="M1404">
        <v>58</v>
      </c>
      <c r="N1404">
        <v>2</v>
      </c>
      <c r="O1404">
        <v>296.22000000000003</v>
      </c>
      <c r="P1404">
        <v>2422.81</v>
      </c>
      <c r="Q1404" s="5">
        <f t="shared" si="168"/>
        <v>0.8935483870967742</v>
      </c>
      <c r="R1404" s="5">
        <f t="shared" si="169"/>
        <v>4.8937023666265546E-2</v>
      </c>
      <c r="S1404" s="5">
        <f t="shared" si="170"/>
        <v>0.47540983606557374</v>
      </c>
      <c r="T1404" s="5">
        <f t="shared" si="171"/>
        <v>3.4482758620689655E-2</v>
      </c>
      <c r="U1404" s="5">
        <f t="shared" si="172"/>
        <v>8.0224628961091051E-4</v>
      </c>
      <c r="V1404" s="6">
        <f t="shared" si="173"/>
        <v>5.1072413793103451</v>
      </c>
      <c r="W1404" s="7">
        <f t="shared" si="174"/>
        <v>2.4280327868852463</v>
      </c>
      <c r="X1404" s="5">
        <f t="shared" si="175"/>
        <v>7.1790898656404023</v>
      </c>
    </row>
    <row r="1405" spans="1:24" x14ac:dyDescent="0.35">
      <c r="A1405" s="3">
        <v>46249</v>
      </c>
      <c r="B1405" t="s">
        <v>1878</v>
      </c>
      <c r="C1405" t="s">
        <v>1994</v>
      </c>
      <c r="D1405" t="s">
        <v>18</v>
      </c>
      <c r="E1405" t="s">
        <v>19</v>
      </c>
      <c r="F1405" t="s">
        <v>20</v>
      </c>
      <c r="G1405" t="s">
        <v>59</v>
      </c>
      <c r="H1405" t="s">
        <v>51</v>
      </c>
      <c r="I1405">
        <v>3790</v>
      </c>
      <c r="J1405">
        <v>3274</v>
      </c>
      <c r="K1405">
        <v>3004</v>
      </c>
      <c r="L1405">
        <v>73</v>
      </c>
      <c r="M1405">
        <v>41</v>
      </c>
      <c r="N1405">
        <v>1</v>
      </c>
      <c r="O1405">
        <v>457.13</v>
      </c>
      <c r="P1405">
        <v>1245.18</v>
      </c>
      <c r="Q1405" s="5">
        <f t="shared" si="168"/>
        <v>0.91753207086133171</v>
      </c>
      <c r="R1405" s="5">
        <f t="shared" si="169"/>
        <v>2.430093209054594E-2</v>
      </c>
      <c r="S1405" s="5">
        <f t="shared" si="170"/>
        <v>0.56164383561643838</v>
      </c>
      <c r="T1405" s="5">
        <f t="shared" si="171"/>
        <v>2.4390243902439025E-2</v>
      </c>
      <c r="U1405" s="5">
        <f t="shared" si="172"/>
        <v>3.3288948069241014E-4</v>
      </c>
      <c r="V1405" s="6">
        <f t="shared" si="173"/>
        <v>11.14951219512195</v>
      </c>
      <c r="W1405" s="7">
        <f t="shared" si="174"/>
        <v>6.262054794520548</v>
      </c>
      <c r="X1405" s="5">
        <f t="shared" si="175"/>
        <v>1.72390785990856</v>
      </c>
    </row>
    <row r="1406" spans="1:24" x14ac:dyDescent="0.35">
      <c r="A1406" s="3">
        <v>46249</v>
      </c>
      <c r="B1406" t="s">
        <v>1995</v>
      </c>
      <c r="C1406" t="s">
        <v>1996</v>
      </c>
      <c r="D1406" t="s">
        <v>40</v>
      </c>
      <c r="E1406" t="s">
        <v>19</v>
      </c>
      <c r="F1406" t="s">
        <v>26</v>
      </c>
      <c r="G1406" t="s">
        <v>21</v>
      </c>
      <c r="H1406" t="s">
        <v>22</v>
      </c>
      <c r="I1406">
        <v>2886</v>
      </c>
      <c r="J1406">
        <v>2501</v>
      </c>
      <c r="K1406">
        <v>2367</v>
      </c>
      <c r="L1406">
        <v>93</v>
      </c>
      <c r="M1406">
        <v>57</v>
      </c>
      <c r="N1406">
        <v>1</v>
      </c>
      <c r="O1406">
        <v>321.66000000000003</v>
      </c>
      <c r="P1406">
        <v>882.36</v>
      </c>
      <c r="Q1406" s="5">
        <f t="shared" si="168"/>
        <v>0.94642143142742907</v>
      </c>
      <c r="R1406" s="5">
        <f t="shared" si="169"/>
        <v>3.9290240811153357E-2</v>
      </c>
      <c r="S1406" s="5">
        <f t="shared" si="170"/>
        <v>0.61290322580645162</v>
      </c>
      <c r="T1406" s="5">
        <f t="shared" si="171"/>
        <v>1.7543859649122806E-2</v>
      </c>
      <c r="U1406" s="5">
        <f t="shared" si="172"/>
        <v>4.224757076468103E-4</v>
      </c>
      <c r="V1406" s="6">
        <f t="shared" si="173"/>
        <v>5.6431578947368424</v>
      </c>
      <c r="W1406" s="7">
        <f t="shared" si="174"/>
        <v>3.4587096774193551</v>
      </c>
      <c r="X1406" s="5">
        <f t="shared" si="175"/>
        <v>1.7431449356463347</v>
      </c>
    </row>
    <row r="1407" spans="1:24" x14ac:dyDescent="0.35">
      <c r="A1407" s="3">
        <v>46249</v>
      </c>
      <c r="B1407" t="s">
        <v>1965</v>
      </c>
      <c r="C1407" t="s">
        <v>1997</v>
      </c>
      <c r="D1407" t="s">
        <v>40</v>
      </c>
      <c r="E1407" t="s">
        <v>56</v>
      </c>
      <c r="F1407" t="s">
        <v>20</v>
      </c>
      <c r="G1407" t="s">
        <v>59</v>
      </c>
      <c r="H1407" t="s">
        <v>28</v>
      </c>
      <c r="I1407">
        <v>1847</v>
      </c>
      <c r="J1407">
        <v>1566</v>
      </c>
      <c r="K1407">
        <v>1429</v>
      </c>
      <c r="L1407">
        <v>78</v>
      </c>
      <c r="M1407">
        <v>37</v>
      </c>
      <c r="N1407">
        <v>1</v>
      </c>
      <c r="O1407">
        <v>280.64999999999998</v>
      </c>
      <c r="P1407">
        <v>727</v>
      </c>
      <c r="Q1407" s="5">
        <f t="shared" si="168"/>
        <v>0.91251596424010217</v>
      </c>
      <c r="R1407" s="5">
        <f t="shared" si="169"/>
        <v>5.4583624912526239E-2</v>
      </c>
      <c r="S1407" s="5">
        <f t="shared" si="170"/>
        <v>0.47435897435897434</v>
      </c>
      <c r="T1407" s="5">
        <f t="shared" si="171"/>
        <v>2.7027027027027029E-2</v>
      </c>
      <c r="U1407" s="5">
        <f t="shared" si="172"/>
        <v>6.9979006298110562E-4</v>
      </c>
      <c r="V1407" s="6">
        <f t="shared" si="173"/>
        <v>7.5851351351351344</v>
      </c>
      <c r="W1407" s="7">
        <f t="shared" si="174"/>
        <v>3.5980769230769227</v>
      </c>
      <c r="X1407" s="5">
        <f t="shared" si="175"/>
        <v>1.5904151077854982</v>
      </c>
    </row>
    <row r="1408" spans="1:24" x14ac:dyDescent="0.35">
      <c r="A1408" s="3">
        <v>46250</v>
      </c>
      <c r="B1408" t="s">
        <v>1922</v>
      </c>
      <c r="C1408" t="s">
        <v>1998</v>
      </c>
      <c r="D1408" t="s">
        <v>18</v>
      </c>
      <c r="E1408" t="s">
        <v>35</v>
      </c>
      <c r="F1408" t="s">
        <v>20</v>
      </c>
      <c r="G1408" t="s">
        <v>41</v>
      </c>
      <c r="H1408" t="s">
        <v>48</v>
      </c>
      <c r="I1408">
        <v>3168</v>
      </c>
      <c r="J1408">
        <v>2291</v>
      </c>
      <c r="K1408">
        <v>2079</v>
      </c>
      <c r="L1408">
        <v>150</v>
      </c>
      <c r="M1408">
        <v>94</v>
      </c>
      <c r="N1408">
        <v>6</v>
      </c>
      <c r="O1408">
        <v>261.75</v>
      </c>
      <c r="P1408">
        <v>8104.22</v>
      </c>
      <c r="Q1408" s="5">
        <f t="shared" si="168"/>
        <v>0.90746398952422525</v>
      </c>
      <c r="R1408" s="5">
        <f t="shared" si="169"/>
        <v>7.2150072150072145E-2</v>
      </c>
      <c r="S1408" s="5">
        <f t="shared" si="170"/>
        <v>0.62666666666666671</v>
      </c>
      <c r="T1408" s="5">
        <f t="shared" si="171"/>
        <v>6.3829787234042548E-2</v>
      </c>
      <c r="U1408" s="5">
        <f t="shared" si="172"/>
        <v>2.886002886002886E-3</v>
      </c>
      <c r="V1408" s="6">
        <f t="shared" si="173"/>
        <v>2.7845744680851063</v>
      </c>
      <c r="W1408" s="7">
        <f t="shared" si="174"/>
        <v>1.7450000000000001</v>
      </c>
      <c r="X1408" s="5">
        <f t="shared" si="175"/>
        <v>29.961680993314232</v>
      </c>
    </row>
    <row r="1409" spans="1:24" x14ac:dyDescent="0.35">
      <c r="A1409" s="3">
        <v>46250</v>
      </c>
      <c r="B1409" t="s">
        <v>1911</v>
      </c>
      <c r="C1409" t="s">
        <v>1999</v>
      </c>
      <c r="D1409" t="s">
        <v>31</v>
      </c>
      <c r="E1409" t="s">
        <v>56</v>
      </c>
      <c r="F1409" t="s">
        <v>20</v>
      </c>
      <c r="G1409" t="s">
        <v>21</v>
      </c>
      <c r="H1409" t="s">
        <v>28</v>
      </c>
      <c r="I1409">
        <v>4214</v>
      </c>
      <c r="J1409">
        <v>3500</v>
      </c>
      <c r="K1409">
        <v>3281</v>
      </c>
      <c r="L1409">
        <v>105</v>
      </c>
      <c r="M1409">
        <v>43</v>
      </c>
      <c r="N1409">
        <v>1</v>
      </c>
      <c r="O1409">
        <v>722.55</v>
      </c>
      <c r="P1409">
        <v>1071.94</v>
      </c>
      <c r="Q1409" s="5">
        <f t="shared" si="168"/>
        <v>0.93742857142857139</v>
      </c>
      <c r="R1409" s="5">
        <f t="shared" si="169"/>
        <v>3.2002438281011888E-2</v>
      </c>
      <c r="S1409" s="5">
        <f t="shared" si="170"/>
        <v>0.40952380952380951</v>
      </c>
      <c r="T1409" s="5">
        <f t="shared" si="171"/>
        <v>2.3255813953488372E-2</v>
      </c>
      <c r="U1409" s="5">
        <f t="shared" si="172"/>
        <v>3.0478512648582747E-4</v>
      </c>
      <c r="V1409" s="6">
        <f t="shared" si="173"/>
        <v>16.803488372093021</v>
      </c>
      <c r="W1409" s="7">
        <f t="shared" si="174"/>
        <v>6.8814285714285708</v>
      </c>
      <c r="X1409" s="5">
        <f t="shared" si="175"/>
        <v>0.48355131132793594</v>
      </c>
    </row>
    <row r="1410" spans="1:24" x14ac:dyDescent="0.35">
      <c r="A1410" s="3">
        <v>46250</v>
      </c>
      <c r="B1410" t="s">
        <v>2000</v>
      </c>
      <c r="C1410" t="s">
        <v>2001</v>
      </c>
      <c r="D1410" t="s">
        <v>18</v>
      </c>
      <c r="E1410" t="s">
        <v>35</v>
      </c>
      <c r="F1410" t="s">
        <v>20</v>
      </c>
      <c r="G1410" t="s">
        <v>36</v>
      </c>
      <c r="H1410" t="s">
        <v>37</v>
      </c>
      <c r="I1410">
        <v>1878</v>
      </c>
      <c r="J1410">
        <v>1400</v>
      </c>
      <c r="K1410">
        <v>1282</v>
      </c>
      <c r="L1410">
        <v>110</v>
      </c>
      <c r="M1410">
        <v>51</v>
      </c>
      <c r="N1410">
        <v>4</v>
      </c>
      <c r="O1410">
        <v>174.38</v>
      </c>
      <c r="P1410">
        <v>5554.19</v>
      </c>
      <c r="Q1410" s="5">
        <f t="shared" si="168"/>
        <v>0.9157142857142857</v>
      </c>
      <c r="R1410" s="5">
        <f t="shared" si="169"/>
        <v>8.5803432137285487E-2</v>
      </c>
      <c r="S1410" s="5">
        <f t="shared" si="170"/>
        <v>0.46363636363636362</v>
      </c>
      <c r="T1410" s="5">
        <f t="shared" si="171"/>
        <v>7.8431372549019607E-2</v>
      </c>
      <c r="U1410" s="5">
        <f t="shared" si="172"/>
        <v>3.1201248049921998E-3</v>
      </c>
      <c r="V1410" s="6">
        <f t="shared" si="173"/>
        <v>3.4192156862745096</v>
      </c>
      <c r="W1410" s="7">
        <f t="shared" si="174"/>
        <v>1.5852727272727272</v>
      </c>
      <c r="X1410" s="5">
        <f t="shared" si="175"/>
        <v>30.851072370684708</v>
      </c>
    </row>
    <row r="1411" spans="1:24" x14ac:dyDescent="0.35">
      <c r="A1411" s="3">
        <v>46250</v>
      </c>
      <c r="B1411" t="s">
        <v>1916</v>
      </c>
      <c r="C1411" t="s">
        <v>2002</v>
      </c>
      <c r="D1411" t="s">
        <v>40</v>
      </c>
      <c r="E1411" t="s">
        <v>25</v>
      </c>
      <c r="F1411" t="s">
        <v>20</v>
      </c>
      <c r="G1411" t="s">
        <v>41</v>
      </c>
      <c r="H1411" t="s">
        <v>22</v>
      </c>
      <c r="I1411">
        <v>1348</v>
      </c>
      <c r="J1411">
        <v>1338</v>
      </c>
      <c r="K1411">
        <v>1260</v>
      </c>
      <c r="L1411">
        <v>46</v>
      </c>
      <c r="M1411">
        <v>22</v>
      </c>
      <c r="N1411">
        <v>1</v>
      </c>
      <c r="O1411">
        <v>193.08</v>
      </c>
      <c r="P1411">
        <v>1322.39</v>
      </c>
      <c r="Q1411" s="5">
        <f t="shared" ref="Q1411:Q1474" si="176">K1411/J1411</f>
        <v>0.94170403587443952</v>
      </c>
      <c r="R1411" s="5">
        <f t="shared" ref="R1411:R1474" si="177">L1411/K1411</f>
        <v>3.650793650793651E-2</v>
      </c>
      <c r="S1411" s="5">
        <f t="shared" ref="S1411:S1474" si="178">M1411/L1411</f>
        <v>0.47826086956521741</v>
      </c>
      <c r="T1411" s="5">
        <f t="shared" ref="T1411:T1474" si="179">N1411/M1411</f>
        <v>4.5454545454545456E-2</v>
      </c>
      <c r="U1411" s="5">
        <f t="shared" ref="U1411:U1474" si="180">N1411/K1411</f>
        <v>7.9365079365079365E-4</v>
      </c>
      <c r="V1411" s="6">
        <f t="shared" ref="V1411:V1474" si="181">O1411/M1411</f>
        <v>8.7763636363636373</v>
      </c>
      <c r="W1411" s="7">
        <f t="shared" ref="W1411:W1474" si="182">O1411/L1411</f>
        <v>4.1973913043478266</v>
      </c>
      <c r="X1411" s="5">
        <f t="shared" ref="X1411:X1474" si="183">(P1411-O1411)/O1411</f>
        <v>5.8489227263310548</v>
      </c>
    </row>
    <row r="1412" spans="1:24" x14ac:dyDescent="0.35">
      <c r="A1412" s="3">
        <v>46250</v>
      </c>
      <c r="B1412" t="s">
        <v>1876</v>
      </c>
      <c r="C1412" t="s">
        <v>2003</v>
      </c>
      <c r="D1412" t="s">
        <v>18</v>
      </c>
      <c r="E1412" t="s">
        <v>19</v>
      </c>
      <c r="F1412" t="s">
        <v>26</v>
      </c>
      <c r="G1412" t="s">
        <v>21</v>
      </c>
      <c r="H1412" t="s">
        <v>51</v>
      </c>
      <c r="I1412">
        <v>2701</v>
      </c>
      <c r="J1412">
        <v>2686</v>
      </c>
      <c r="K1412">
        <v>2480</v>
      </c>
      <c r="L1412">
        <v>70</v>
      </c>
      <c r="M1412">
        <v>42</v>
      </c>
      <c r="N1412">
        <v>0</v>
      </c>
      <c r="O1412">
        <v>376.21</v>
      </c>
      <c r="P1412">
        <v>0</v>
      </c>
      <c r="Q1412" s="5">
        <f t="shared" si="176"/>
        <v>0.92330603127326882</v>
      </c>
      <c r="R1412" s="5">
        <f t="shared" si="177"/>
        <v>2.8225806451612902E-2</v>
      </c>
      <c r="S1412" s="5">
        <f t="shared" si="178"/>
        <v>0.6</v>
      </c>
      <c r="T1412" s="5">
        <f t="shared" si="179"/>
        <v>0</v>
      </c>
      <c r="U1412" s="5">
        <f t="shared" si="180"/>
        <v>0</v>
      </c>
      <c r="V1412" s="6">
        <f t="shared" si="181"/>
        <v>8.9573809523809516</v>
      </c>
      <c r="W1412" s="7">
        <f t="shared" si="182"/>
        <v>5.3744285714285711</v>
      </c>
      <c r="X1412" s="5">
        <f t="shared" si="183"/>
        <v>-1</v>
      </c>
    </row>
    <row r="1413" spans="1:24" x14ac:dyDescent="0.35">
      <c r="A1413" s="3">
        <v>46250</v>
      </c>
      <c r="B1413" t="s">
        <v>1878</v>
      </c>
      <c r="C1413" t="s">
        <v>2004</v>
      </c>
      <c r="D1413" t="s">
        <v>31</v>
      </c>
      <c r="E1413" t="s">
        <v>25</v>
      </c>
      <c r="F1413" t="s">
        <v>20</v>
      </c>
      <c r="G1413" t="s">
        <v>21</v>
      </c>
      <c r="H1413" t="s">
        <v>48</v>
      </c>
      <c r="I1413">
        <v>2413</v>
      </c>
      <c r="J1413">
        <v>1880</v>
      </c>
      <c r="K1413">
        <v>1780</v>
      </c>
      <c r="L1413">
        <v>60</v>
      </c>
      <c r="M1413">
        <v>19</v>
      </c>
      <c r="N1413">
        <v>1</v>
      </c>
      <c r="O1413">
        <v>401.31</v>
      </c>
      <c r="P1413">
        <v>1331.27</v>
      </c>
      <c r="Q1413" s="5">
        <f t="shared" si="176"/>
        <v>0.94680851063829785</v>
      </c>
      <c r="R1413" s="5">
        <f t="shared" si="177"/>
        <v>3.3707865168539325E-2</v>
      </c>
      <c r="S1413" s="5">
        <f t="shared" si="178"/>
        <v>0.31666666666666665</v>
      </c>
      <c r="T1413" s="5">
        <f t="shared" si="179"/>
        <v>5.2631578947368418E-2</v>
      </c>
      <c r="U1413" s="5">
        <f t="shared" si="180"/>
        <v>5.6179775280898881E-4</v>
      </c>
      <c r="V1413" s="6">
        <f t="shared" si="181"/>
        <v>21.12157894736842</v>
      </c>
      <c r="W1413" s="7">
        <f t="shared" si="182"/>
        <v>6.6885000000000003</v>
      </c>
      <c r="X1413" s="5">
        <f t="shared" si="183"/>
        <v>2.3173108071067254</v>
      </c>
    </row>
    <row r="1414" spans="1:24" x14ac:dyDescent="0.35">
      <c r="A1414" s="3">
        <v>46250</v>
      </c>
      <c r="B1414" t="s">
        <v>1845</v>
      </c>
      <c r="C1414" t="s">
        <v>2005</v>
      </c>
      <c r="D1414" t="s">
        <v>31</v>
      </c>
      <c r="E1414" t="s">
        <v>56</v>
      </c>
      <c r="F1414" t="s">
        <v>26</v>
      </c>
      <c r="G1414" t="s">
        <v>41</v>
      </c>
      <c r="H1414" t="s">
        <v>28</v>
      </c>
      <c r="I1414">
        <v>4161</v>
      </c>
      <c r="J1414">
        <v>3668</v>
      </c>
      <c r="K1414">
        <v>3461</v>
      </c>
      <c r="L1414">
        <v>187</v>
      </c>
      <c r="M1414">
        <v>98</v>
      </c>
      <c r="N1414">
        <v>6</v>
      </c>
      <c r="O1414">
        <v>618.19000000000005</v>
      </c>
      <c r="P1414">
        <v>7676.78</v>
      </c>
      <c r="Q1414" s="5">
        <f t="shared" si="176"/>
        <v>0.94356597600872405</v>
      </c>
      <c r="R1414" s="5">
        <f t="shared" si="177"/>
        <v>5.4030626986420111E-2</v>
      </c>
      <c r="S1414" s="5">
        <f t="shared" si="178"/>
        <v>0.52406417112299464</v>
      </c>
      <c r="T1414" s="5">
        <f t="shared" si="179"/>
        <v>6.1224489795918366E-2</v>
      </c>
      <c r="U1414" s="5">
        <f t="shared" si="180"/>
        <v>1.7336030049118752E-3</v>
      </c>
      <c r="V1414" s="6">
        <f t="shared" si="181"/>
        <v>6.3080612244897969</v>
      </c>
      <c r="W1414" s="7">
        <f t="shared" si="182"/>
        <v>3.3058288770053479</v>
      </c>
      <c r="X1414" s="5">
        <f t="shared" si="183"/>
        <v>11.418156230285186</v>
      </c>
    </row>
    <row r="1415" spans="1:24" x14ac:dyDescent="0.35">
      <c r="A1415" s="3">
        <v>46251</v>
      </c>
      <c r="B1415" t="s">
        <v>2006</v>
      </c>
      <c r="C1415" t="s">
        <v>2007</v>
      </c>
      <c r="D1415" t="s">
        <v>31</v>
      </c>
      <c r="E1415" t="s">
        <v>19</v>
      </c>
      <c r="F1415" t="s">
        <v>20</v>
      </c>
      <c r="G1415" t="s">
        <v>59</v>
      </c>
      <c r="H1415" t="s">
        <v>28</v>
      </c>
      <c r="I1415">
        <v>4267</v>
      </c>
      <c r="J1415">
        <v>3740</v>
      </c>
      <c r="K1415">
        <v>3511</v>
      </c>
      <c r="L1415">
        <v>47</v>
      </c>
      <c r="M1415">
        <v>21</v>
      </c>
      <c r="N1415">
        <v>1</v>
      </c>
      <c r="O1415">
        <v>633.27</v>
      </c>
      <c r="P1415">
        <v>814.25</v>
      </c>
      <c r="Q1415" s="5">
        <f t="shared" si="176"/>
        <v>0.93877005347593578</v>
      </c>
      <c r="R1415" s="5">
        <f t="shared" si="177"/>
        <v>1.338649957277129E-2</v>
      </c>
      <c r="S1415" s="5">
        <f t="shared" si="178"/>
        <v>0.44680851063829785</v>
      </c>
      <c r="T1415" s="5">
        <f t="shared" si="179"/>
        <v>4.7619047619047616E-2</v>
      </c>
      <c r="U1415" s="5">
        <f t="shared" si="180"/>
        <v>2.8481913984619768E-4</v>
      </c>
      <c r="V1415" s="6">
        <f t="shared" si="181"/>
        <v>30.155714285714286</v>
      </c>
      <c r="W1415" s="7">
        <f t="shared" si="182"/>
        <v>13.473829787234042</v>
      </c>
      <c r="X1415" s="5">
        <f t="shared" si="183"/>
        <v>0.28578647338418056</v>
      </c>
    </row>
    <row r="1416" spans="1:24" x14ac:dyDescent="0.35">
      <c r="A1416" s="3">
        <v>46251</v>
      </c>
      <c r="B1416" t="s">
        <v>1926</v>
      </c>
      <c r="C1416" t="s">
        <v>2008</v>
      </c>
      <c r="D1416" t="s">
        <v>18</v>
      </c>
      <c r="E1416" t="s">
        <v>25</v>
      </c>
      <c r="F1416" t="s">
        <v>20</v>
      </c>
      <c r="G1416" t="s">
        <v>27</v>
      </c>
      <c r="H1416" t="s">
        <v>28</v>
      </c>
      <c r="I1416">
        <v>3659</v>
      </c>
      <c r="J1416">
        <v>3480</v>
      </c>
      <c r="K1416">
        <v>3124</v>
      </c>
      <c r="L1416">
        <v>123</v>
      </c>
      <c r="M1416">
        <v>61</v>
      </c>
      <c r="N1416">
        <v>2</v>
      </c>
      <c r="O1416">
        <v>469.68</v>
      </c>
      <c r="P1416">
        <v>2432.29</v>
      </c>
      <c r="Q1416" s="5">
        <f t="shared" si="176"/>
        <v>0.89770114942528734</v>
      </c>
      <c r="R1416" s="5">
        <f t="shared" si="177"/>
        <v>3.9372599231754159E-2</v>
      </c>
      <c r="S1416" s="5">
        <f t="shared" si="178"/>
        <v>0.49593495934959347</v>
      </c>
      <c r="T1416" s="5">
        <f t="shared" si="179"/>
        <v>3.2786885245901641E-2</v>
      </c>
      <c r="U1416" s="5">
        <f t="shared" si="180"/>
        <v>6.4020486555697821E-4</v>
      </c>
      <c r="V1416" s="6">
        <f t="shared" si="181"/>
        <v>7.6996721311475413</v>
      </c>
      <c r="W1416" s="7">
        <f t="shared" si="182"/>
        <v>3.8185365853658535</v>
      </c>
      <c r="X1416" s="5">
        <f t="shared" si="183"/>
        <v>4.1786109691704985</v>
      </c>
    </row>
    <row r="1417" spans="1:24" x14ac:dyDescent="0.35">
      <c r="A1417" s="3">
        <v>46251</v>
      </c>
      <c r="B1417" t="s">
        <v>1874</v>
      </c>
      <c r="C1417" t="s">
        <v>2009</v>
      </c>
      <c r="D1417" t="s">
        <v>34</v>
      </c>
      <c r="E1417" t="s">
        <v>56</v>
      </c>
      <c r="F1417" t="s">
        <v>20</v>
      </c>
      <c r="G1417" t="s">
        <v>41</v>
      </c>
      <c r="H1417" t="s">
        <v>51</v>
      </c>
      <c r="I1417">
        <v>2988</v>
      </c>
      <c r="J1417">
        <v>2987</v>
      </c>
      <c r="K1417">
        <v>2742</v>
      </c>
      <c r="L1417">
        <v>172</v>
      </c>
      <c r="M1417">
        <v>71</v>
      </c>
      <c r="N1417">
        <v>3</v>
      </c>
      <c r="O1417">
        <v>243.22</v>
      </c>
      <c r="P1417">
        <v>2831.47</v>
      </c>
      <c r="Q1417" s="5">
        <f t="shared" si="176"/>
        <v>0.91797790425175763</v>
      </c>
      <c r="R1417" s="5">
        <f t="shared" si="177"/>
        <v>6.2727935813274988E-2</v>
      </c>
      <c r="S1417" s="5">
        <f t="shared" si="178"/>
        <v>0.41279069767441862</v>
      </c>
      <c r="T1417" s="5">
        <f t="shared" si="179"/>
        <v>4.2253521126760563E-2</v>
      </c>
      <c r="U1417" s="5">
        <f t="shared" si="180"/>
        <v>1.0940919037199124E-3</v>
      </c>
      <c r="V1417" s="6">
        <f t="shared" si="181"/>
        <v>3.4256338028169013</v>
      </c>
      <c r="W1417" s="7">
        <f t="shared" si="182"/>
        <v>1.4140697674418605</v>
      </c>
      <c r="X1417" s="5">
        <f t="shared" si="183"/>
        <v>10.641600197352192</v>
      </c>
    </row>
    <row r="1418" spans="1:24" x14ac:dyDescent="0.35">
      <c r="A1418" s="3">
        <v>46251</v>
      </c>
      <c r="B1418" t="s">
        <v>2000</v>
      </c>
      <c r="C1418" t="s">
        <v>2010</v>
      </c>
      <c r="D1418" t="s">
        <v>31</v>
      </c>
      <c r="E1418" t="s">
        <v>56</v>
      </c>
      <c r="F1418" t="s">
        <v>20</v>
      </c>
      <c r="G1418" t="s">
        <v>27</v>
      </c>
      <c r="H1418" t="s">
        <v>51</v>
      </c>
      <c r="I1418">
        <v>3150</v>
      </c>
      <c r="J1418">
        <v>2330</v>
      </c>
      <c r="K1418">
        <v>2253</v>
      </c>
      <c r="L1418">
        <v>104</v>
      </c>
      <c r="M1418">
        <v>33</v>
      </c>
      <c r="N1418">
        <v>3</v>
      </c>
      <c r="O1418">
        <v>397.16</v>
      </c>
      <c r="P1418">
        <v>3063.77</v>
      </c>
      <c r="Q1418" s="5">
        <f t="shared" si="176"/>
        <v>0.96695278969957077</v>
      </c>
      <c r="R1418" s="5">
        <f t="shared" si="177"/>
        <v>4.61606746560142E-2</v>
      </c>
      <c r="S1418" s="5">
        <f t="shared" si="178"/>
        <v>0.31730769230769229</v>
      </c>
      <c r="T1418" s="5">
        <f t="shared" si="179"/>
        <v>9.0909090909090912E-2</v>
      </c>
      <c r="U1418" s="5">
        <f t="shared" si="180"/>
        <v>1.3315579227696406E-3</v>
      </c>
      <c r="V1418" s="6">
        <f t="shared" si="181"/>
        <v>12.035151515151515</v>
      </c>
      <c r="W1418" s="7">
        <f t="shared" si="182"/>
        <v>3.8188461538461542</v>
      </c>
      <c r="X1418" s="5">
        <f t="shared" si="183"/>
        <v>6.7141957901097795</v>
      </c>
    </row>
    <row r="1419" spans="1:24" x14ac:dyDescent="0.35">
      <c r="A1419" s="3">
        <v>46252</v>
      </c>
      <c r="B1419" t="s">
        <v>1820</v>
      </c>
      <c r="C1419" t="s">
        <v>2011</v>
      </c>
      <c r="D1419" t="s">
        <v>31</v>
      </c>
      <c r="E1419" t="s">
        <v>19</v>
      </c>
      <c r="F1419" t="s">
        <v>26</v>
      </c>
      <c r="G1419" t="s">
        <v>36</v>
      </c>
      <c r="H1419" t="s">
        <v>37</v>
      </c>
      <c r="I1419">
        <v>1984</v>
      </c>
      <c r="J1419">
        <v>1952</v>
      </c>
      <c r="K1419">
        <v>1882</v>
      </c>
      <c r="L1419">
        <v>30</v>
      </c>
      <c r="M1419">
        <v>15</v>
      </c>
      <c r="N1419">
        <v>0</v>
      </c>
      <c r="O1419">
        <v>370.11</v>
      </c>
      <c r="P1419">
        <v>0</v>
      </c>
      <c r="Q1419" s="5">
        <f t="shared" si="176"/>
        <v>0.96413934426229508</v>
      </c>
      <c r="R1419" s="5">
        <f t="shared" si="177"/>
        <v>1.5940488841657812E-2</v>
      </c>
      <c r="S1419" s="5">
        <f t="shared" si="178"/>
        <v>0.5</v>
      </c>
      <c r="T1419" s="5">
        <f t="shared" si="179"/>
        <v>0</v>
      </c>
      <c r="U1419" s="5">
        <f t="shared" si="180"/>
        <v>0</v>
      </c>
      <c r="V1419" s="6">
        <f t="shared" si="181"/>
        <v>24.673999999999999</v>
      </c>
      <c r="W1419" s="7">
        <f t="shared" si="182"/>
        <v>12.337</v>
      </c>
      <c r="X1419" s="5">
        <f t="shared" si="183"/>
        <v>-1</v>
      </c>
    </row>
    <row r="1420" spans="1:24" x14ac:dyDescent="0.35">
      <c r="A1420" s="3">
        <v>46252</v>
      </c>
      <c r="B1420" t="s">
        <v>1818</v>
      </c>
      <c r="C1420" t="s">
        <v>2012</v>
      </c>
      <c r="D1420" t="s">
        <v>34</v>
      </c>
      <c r="E1420" t="s">
        <v>19</v>
      </c>
      <c r="F1420" t="s">
        <v>20</v>
      </c>
      <c r="G1420" t="s">
        <v>36</v>
      </c>
      <c r="H1420" t="s">
        <v>22</v>
      </c>
      <c r="I1420">
        <v>3376</v>
      </c>
      <c r="J1420">
        <v>3282</v>
      </c>
      <c r="K1420">
        <v>3059</v>
      </c>
      <c r="L1420">
        <v>9</v>
      </c>
      <c r="M1420">
        <v>4</v>
      </c>
      <c r="N1420">
        <v>0</v>
      </c>
      <c r="O1420">
        <v>240.13</v>
      </c>
      <c r="P1420">
        <v>0</v>
      </c>
      <c r="Q1420" s="5">
        <f t="shared" si="176"/>
        <v>0.93205362583790374</v>
      </c>
      <c r="R1420" s="5">
        <f t="shared" si="177"/>
        <v>2.9421379535796012E-3</v>
      </c>
      <c r="S1420" s="5">
        <f t="shared" si="178"/>
        <v>0.44444444444444442</v>
      </c>
      <c r="T1420" s="5">
        <f t="shared" si="179"/>
        <v>0</v>
      </c>
      <c r="U1420" s="5">
        <f t="shared" si="180"/>
        <v>0</v>
      </c>
      <c r="V1420" s="6">
        <f t="shared" si="181"/>
        <v>60.032499999999999</v>
      </c>
      <c r="W1420" s="7">
        <f t="shared" si="182"/>
        <v>26.681111111111111</v>
      </c>
      <c r="X1420" s="5">
        <f t="shared" si="183"/>
        <v>-1</v>
      </c>
    </row>
    <row r="1421" spans="1:24" x14ac:dyDescent="0.35">
      <c r="A1421" s="3">
        <v>46252</v>
      </c>
      <c r="B1421" t="s">
        <v>2013</v>
      </c>
      <c r="C1421" t="s">
        <v>2014</v>
      </c>
      <c r="D1421" t="s">
        <v>31</v>
      </c>
      <c r="E1421" t="s">
        <v>35</v>
      </c>
      <c r="F1421" t="s">
        <v>20</v>
      </c>
      <c r="G1421" t="s">
        <v>21</v>
      </c>
      <c r="H1421" t="s">
        <v>51</v>
      </c>
      <c r="I1421">
        <v>4625</v>
      </c>
      <c r="J1421">
        <v>4289</v>
      </c>
      <c r="K1421">
        <v>4105</v>
      </c>
      <c r="L1421">
        <v>178</v>
      </c>
      <c r="M1421">
        <v>70</v>
      </c>
      <c r="N1421">
        <v>5</v>
      </c>
      <c r="O1421">
        <v>694.4</v>
      </c>
      <c r="P1421">
        <v>7603.71</v>
      </c>
      <c r="Q1421" s="5">
        <f t="shared" si="176"/>
        <v>0.95709955700629512</v>
      </c>
      <c r="R1421" s="5">
        <f t="shared" si="177"/>
        <v>4.3361753958587088E-2</v>
      </c>
      <c r="S1421" s="5">
        <f t="shared" si="178"/>
        <v>0.39325842696629215</v>
      </c>
      <c r="T1421" s="5">
        <f t="shared" si="179"/>
        <v>7.1428571428571425E-2</v>
      </c>
      <c r="U1421" s="5">
        <f t="shared" si="180"/>
        <v>1.2180267965895249E-3</v>
      </c>
      <c r="V1421" s="6">
        <f t="shared" si="181"/>
        <v>9.92</v>
      </c>
      <c r="W1421" s="7">
        <f t="shared" si="182"/>
        <v>3.9011235955056178</v>
      </c>
      <c r="X1421" s="5">
        <f t="shared" si="183"/>
        <v>9.9500432027649772</v>
      </c>
    </row>
    <row r="1422" spans="1:24" x14ac:dyDescent="0.35">
      <c r="A1422" s="3">
        <v>46252</v>
      </c>
      <c r="B1422" t="s">
        <v>1861</v>
      </c>
      <c r="C1422" t="s">
        <v>2015</v>
      </c>
      <c r="D1422" t="s">
        <v>31</v>
      </c>
      <c r="E1422" t="s">
        <v>35</v>
      </c>
      <c r="F1422" t="s">
        <v>20</v>
      </c>
      <c r="G1422" t="s">
        <v>27</v>
      </c>
      <c r="H1422" t="s">
        <v>22</v>
      </c>
      <c r="I1422">
        <v>4966</v>
      </c>
      <c r="J1422">
        <v>3787</v>
      </c>
      <c r="K1422">
        <v>3639</v>
      </c>
      <c r="L1422">
        <v>184</v>
      </c>
      <c r="M1422">
        <v>64</v>
      </c>
      <c r="N1422">
        <v>4</v>
      </c>
      <c r="O1422">
        <v>739.18</v>
      </c>
      <c r="P1422">
        <v>3405.89</v>
      </c>
      <c r="Q1422" s="5">
        <f t="shared" si="176"/>
        <v>0.96091893319250066</v>
      </c>
      <c r="R1422" s="5">
        <f t="shared" si="177"/>
        <v>5.0563341577356417E-2</v>
      </c>
      <c r="S1422" s="5">
        <f t="shared" si="178"/>
        <v>0.34782608695652173</v>
      </c>
      <c r="T1422" s="5">
        <f t="shared" si="179"/>
        <v>6.25E-2</v>
      </c>
      <c r="U1422" s="5">
        <f t="shared" si="180"/>
        <v>1.0992030777686177E-3</v>
      </c>
      <c r="V1422" s="6">
        <f t="shared" si="181"/>
        <v>11.549687499999999</v>
      </c>
      <c r="W1422" s="7">
        <f t="shared" si="182"/>
        <v>4.0172826086956519</v>
      </c>
      <c r="X1422" s="5">
        <f t="shared" si="183"/>
        <v>3.6076598392813661</v>
      </c>
    </row>
    <row r="1423" spans="1:24" x14ac:dyDescent="0.35">
      <c r="A1423" s="3">
        <v>46252</v>
      </c>
      <c r="B1423" t="s">
        <v>1840</v>
      </c>
      <c r="C1423" t="s">
        <v>2016</v>
      </c>
      <c r="D1423" t="s">
        <v>31</v>
      </c>
      <c r="E1423" t="s">
        <v>56</v>
      </c>
      <c r="F1423" t="s">
        <v>20</v>
      </c>
      <c r="G1423" t="s">
        <v>21</v>
      </c>
      <c r="H1423" t="s">
        <v>22</v>
      </c>
      <c r="I1423">
        <v>4164</v>
      </c>
      <c r="J1423">
        <v>3087</v>
      </c>
      <c r="K1423">
        <v>2893</v>
      </c>
      <c r="L1423">
        <v>72</v>
      </c>
      <c r="M1423">
        <v>27</v>
      </c>
      <c r="N1423">
        <v>1</v>
      </c>
      <c r="O1423">
        <v>536.9</v>
      </c>
      <c r="P1423">
        <v>923.44</v>
      </c>
      <c r="Q1423" s="5">
        <f t="shared" si="176"/>
        <v>0.93715581470683507</v>
      </c>
      <c r="R1423" s="5">
        <f t="shared" si="177"/>
        <v>2.4887659868648462E-2</v>
      </c>
      <c r="S1423" s="5">
        <f t="shared" si="178"/>
        <v>0.375</v>
      </c>
      <c r="T1423" s="5">
        <f t="shared" si="179"/>
        <v>3.7037037037037035E-2</v>
      </c>
      <c r="U1423" s="5">
        <f t="shared" si="180"/>
        <v>3.4566194262011752E-4</v>
      </c>
      <c r="V1423" s="6">
        <f t="shared" si="181"/>
        <v>19.885185185185183</v>
      </c>
      <c r="W1423" s="7">
        <f t="shared" si="182"/>
        <v>7.4569444444444439</v>
      </c>
      <c r="X1423" s="5">
        <f t="shared" si="183"/>
        <v>0.71994784876140827</v>
      </c>
    </row>
    <row r="1424" spans="1:24" x14ac:dyDescent="0.35">
      <c r="A1424" s="3">
        <v>46252</v>
      </c>
      <c r="B1424" t="s">
        <v>1967</v>
      </c>
      <c r="C1424" t="s">
        <v>2017</v>
      </c>
      <c r="D1424" t="s">
        <v>31</v>
      </c>
      <c r="E1424" t="s">
        <v>56</v>
      </c>
      <c r="F1424" t="s">
        <v>26</v>
      </c>
      <c r="G1424" t="s">
        <v>21</v>
      </c>
      <c r="H1424" t="s">
        <v>48</v>
      </c>
      <c r="I1424">
        <v>3592</v>
      </c>
      <c r="J1424">
        <v>3538</v>
      </c>
      <c r="K1424">
        <v>3408</v>
      </c>
      <c r="L1424">
        <v>180</v>
      </c>
      <c r="M1424">
        <v>77</v>
      </c>
      <c r="N1424">
        <v>5</v>
      </c>
      <c r="O1424">
        <v>590.67999999999995</v>
      </c>
      <c r="P1424">
        <v>5423.93</v>
      </c>
      <c r="Q1424" s="5">
        <f t="shared" si="176"/>
        <v>0.96325607687959303</v>
      </c>
      <c r="R1424" s="5">
        <f t="shared" si="177"/>
        <v>5.2816901408450703E-2</v>
      </c>
      <c r="S1424" s="5">
        <f t="shared" si="178"/>
        <v>0.42777777777777776</v>
      </c>
      <c r="T1424" s="5">
        <f t="shared" si="179"/>
        <v>6.4935064935064929E-2</v>
      </c>
      <c r="U1424" s="5">
        <f t="shared" si="180"/>
        <v>1.4671361502347417E-3</v>
      </c>
      <c r="V1424" s="6">
        <f t="shared" si="181"/>
        <v>7.6711688311688304</v>
      </c>
      <c r="W1424" s="7">
        <f t="shared" si="182"/>
        <v>3.2815555555555553</v>
      </c>
      <c r="X1424" s="5">
        <f t="shared" si="183"/>
        <v>8.1825184533080524</v>
      </c>
    </row>
    <row r="1425" spans="1:24" x14ac:dyDescent="0.35">
      <c r="A1425" s="3">
        <v>46253</v>
      </c>
      <c r="B1425" t="s">
        <v>2018</v>
      </c>
      <c r="C1425" t="s">
        <v>2019</v>
      </c>
      <c r="D1425" t="s">
        <v>18</v>
      </c>
      <c r="E1425" t="s">
        <v>35</v>
      </c>
      <c r="F1425" t="s">
        <v>20</v>
      </c>
      <c r="G1425" t="s">
        <v>59</v>
      </c>
      <c r="H1425" t="s">
        <v>28</v>
      </c>
      <c r="I1425">
        <v>1684</v>
      </c>
      <c r="J1425">
        <v>1321</v>
      </c>
      <c r="K1425">
        <v>1189</v>
      </c>
      <c r="L1425">
        <v>103</v>
      </c>
      <c r="M1425">
        <v>57</v>
      </c>
      <c r="N1425">
        <v>3</v>
      </c>
      <c r="O1425">
        <v>166.17</v>
      </c>
      <c r="P1425">
        <v>3452.08</v>
      </c>
      <c r="Q1425" s="5">
        <f t="shared" si="176"/>
        <v>0.90007570022710071</v>
      </c>
      <c r="R1425" s="5">
        <f t="shared" si="177"/>
        <v>8.6627417998317913E-2</v>
      </c>
      <c r="S1425" s="5">
        <f t="shared" si="178"/>
        <v>0.55339805825242716</v>
      </c>
      <c r="T1425" s="5">
        <f t="shared" si="179"/>
        <v>5.2631578947368418E-2</v>
      </c>
      <c r="U1425" s="5">
        <f t="shared" si="180"/>
        <v>2.5231286795626578E-3</v>
      </c>
      <c r="V1425" s="6">
        <f t="shared" si="181"/>
        <v>2.9152631578947368</v>
      </c>
      <c r="W1425" s="7">
        <f t="shared" si="182"/>
        <v>1.6133009708737862</v>
      </c>
      <c r="X1425" s="5">
        <f t="shared" si="183"/>
        <v>19.774387675272312</v>
      </c>
    </row>
    <row r="1426" spans="1:24" x14ac:dyDescent="0.35">
      <c r="A1426" s="3">
        <v>46253</v>
      </c>
      <c r="B1426" t="s">
        <v>1847</v>
      </c>
      <c r="C1426" t="s">
        <v>2020</v>
      </c>
      <c r="D1426" t="s">
        <v>34</v>
      </c>
      <c r="E1426" t="s">
        <v>56</v>
      </c>
      <c r="F1426" t="s">
        <v>20</v>
      </c>
      <c r="G1426" t="s">
        <v>36</v>
      </c>
      <c r="H1426" t="s">
        <v>22</v>
      </c>
      <c r="I1426">
        <v>2428</v>
      </c>
      <c r="J1426">
        <v>2089</v>
      </c>
      <c r="K1426">
        <v>1981</v>
      </c>
      <c r="L1426">
        <v>105</v>
      </c>
      <c r="M1426">
        <v>57</v>
      </c>
      <c r="N1426">
        <v>4</v>
      </c>
      <c r="O1426">
        <v>158.6</v>
      </c>
      <c r="P1426">
        <v>5463.58</v>
      </c>
      <c r="Q1426" s="5">
        <f t="shared" si="176"/>
        <v>0.94830062230732404</v>
      </c>
      <c r="R1426" s="5">
        <f t="shared" si="177"/>
        <v>5.3003533568904596E-2</v>
      </c>
      <c r="S1426" s="5">
        <f t="shared" si="178"/>
        <v>0.54285714285714282</v>
      </c>
      <c r="T1426" s="5">
        <f t="shared" si="179"/>
        <v>7.0175438596491224E-2</v>
      </c>
      <c r="U1426" s="5">
        <f t="shared" si="180"/>
        <v>2.0191822311963654E-3</v>
      </c>
      <c r="V1426" s="6">
        <f t="shared" si="181"/>
        <v>2.782456140350877</v>
      </c>
      <c r="W1426" s="7">
        <f t="shared" si="182"/>
        <v>1.5104761904761905</v>
      </c>
      <c r="X1426" s="5">
        <f t="shared" si="183"/>
        <v>33.448802017654472</v>
      </c>
    </row>
    <row r="1427" spans="1:24" x14ac:dyDescent="0.35">
      <c r="A1427" s="3">
        <v>46253</v>
      </c>
      <c r="B1427" t="s">
        <v>2021</v>
      </c>
      <c r="C1427" t="s">
        <v>2022</v>
      </c>
      <c r="D1427" t="s">
        <v>18</v>
      </c>
      <c r="E1427" t="s">
        <v>25</v>
      </c>
      <c r="F1427" t="s">
        <v>26</v>
      </c>
      <c r="G1427" t="s">
        <v>36</v>
      </c>
      <c r="H1427" t="s">
        <v>22</v>
      </c>
      <c r="I1427">
        <v>3993</v>
      </c>
      <c r="J1427">
        <v>3282</v>
      </c>
      <c r="K1427">
        <v>2982</v>
      </c>
      <c r="L1427">
        <v>165</v>
      </c>
      <c r="M1427">
        <v>101</v>
      </c>
      <c r="N1427">
        <v>3</v>
      </c>
      <c r="O1427">
        <v>462.53</v>
      </c>
      <c r="P1427">
        <v>3411.88</v>
      </c>
      <c r="Q1427" s="5">
        <f t="shared" si="176"/>
        <v>0.90859232175502747</v>
      </c>
      <c r="R1427" s="5">
        <f t="shared" si="177"/>
        <v>5.5331991951710263E-2</v>
      </c>
      <c r="S1427" s="5">
        <f t="shared" si="178"/>
        <v>0.61212121212121207</v>
      </c>
      <c r="T1427" s="5">
        <f t="shared" si="179"/>
        <v>2.9702970297029702E-2</v>
      </c>
      <c r="U1427" s="5">
        <f t="shared" si="180"/>
        <v>1.006036217303823E-3</v>
      </c>
      <c r="V1427" s="6">
        <f t="shared" si="181"/>
        <v>4.5795049504950489</v>
      </c>
      <c r="W1427" s="7">
        <f t="shared" si="182"/>
        <v>2.803212121212121</v>
      </c>
      <c r="X1427" s="5">
        <f t="shared" si="183"/>
        <v>6.3765593583118942</v>
      </c>
    </row>
    <row r="1428" spans="1:24" x14ac:dyDescent="0.35">
      <c r="A1428" s="3">
        <v>46253</v>
      </c>
      <c r="B1428" t="s">
        <v>1911</v>
      </c>
      <c r="C1428" t="s">
        <v>2023</v>
      </c>
      <c r="D1428" t="s">
        <v>31</v>
      </c>
      <c r="E1428" t="s">
        <v>35</v>
      </c>
      <c r="F1428" t="s">
        <v>26</v>
      </c>
      <c r="G1428" t="s">
        <v>59</v>
      </c>
      <c r="H1428" t="s">
        <v>51</v>
      </c>
      <c r="I1428">
        <v>1508</v>
      </c>
      <c r="J1428">
        <v>1488</v>
      </c>
      <c r="K1428">
        <v>1473</v>
      </c>
      <c r="L1428">
        <v>113</v>
      </c>
      <c r="M1428">
        <v>60</v>
      </c>
      <c r="N1428">
        <v>5</v>
      </c>
      <c r="O1428">
        <v>290.08999999999997</v>
      </c>
      <c r="P1428">
        <v>7911.55</v>
      </c>
      <c r="Q1428" s="5">
        <f t="shared" si="176"/>
        <v>0.98991935483870963</v>
      </c>
      <c r="R1428" s="5">
        <f t="shared" si="177"/>
        <v>7.6714188730482011E-2</v>
      </c>
      <c r="S1428" s="5">
        <f t="shared" si="178"/>
        <v>0.53097345132743368</v>
      </c>
      <c r="T1428" s="5">
        <f t="shared" si="179"/>
        <v>8.3333333333333329E-2</v>
      </c>
      <c r="U1428" s="5">
        <f t="shared" si="180"/>
        <v>3.3944331296673455E-3</v>
      </c>
      <c r="V1428" s="6">
        <f t="shared" si="181"/>
        <v>4.8348333333333331</v>
      </c>
      <c r="W1428" s="7">
        <f t="shared" si="182"/>
        <v>2.5671681415929202</v>
      </c>
      <c r="X1428" s="5">
        <f t="shared" si="183"/>
        <v>26.272742941845635</v>
      </c>
    </row>
    <row r="1429" spans="1:24" x14ac:dyDescent="0.35">
      <c r="A1429" s="3">
        <v>46253</v>
      </c>
      <c r="B1429" t="s">
        <v>1832</v>
      </c>
      <c r="C1429" t="s">
        <v>2024</v>
      </c>
      <c r="D1429" t="s">
        <v>18</v>
      </c>
      <c r="E1429" t="s">
        <v>25</v>
      </c>
      <c r="F1429" t="s">
        <v>20</v>
      </c>
      <c r="G1429" t="s">
        <v>27</v>
      </c>
      <c r="H1429" t="s">
        <v>51</v>
      </c>
      <c r="I1429">
        <v>675</v>
      </c>
      <c r="J1429">
        <v>557</v>
      </c>
      <c r="K1429">
        <v>500</v>
      </c>
      <c r="L1429">
        <v>16</v>
      </c>
      <c r="M1429">
        <v>7</v>
      </c>
      <c r="N1429">
        <v>0</v>
      </c>
      <c r="O1429">
        <v>63.69</v>
      </c>
      <c r="P1429">
        <v>0</v>
      </c>
      <c r="Q1429" s="5">
        <f t="shared" si="176"/>
        <v>0.89766606822262118</v>
      </c>
      <c r="R1429" s="5">
        <f t="shared" si="177"/>
        <v>3.2000000000000001E-2</v>
      </c>
      <c r="S1429" s="5">
        <f t="shared" si="178"/>
        <v>0.4375</v>
      </c>
      <c r="T1429" s="5">
        <f t="shared" si="179"/>
        <v>0</v>
      </c>
      <c r="U1429" s="5">
        <f t="shared" si="180"/>
        <v>0</v>
      </c>
      <c r="V1429" s="6">
        <f t="shared" si="181"/>
        <v>9.0985714285714288</v>
      </c>
      <c r="W1429" s="7">
        <f t="shared" si="182"/>
        <v>3.9806249999999999</v>
      </c>
      <c r="X1429" s="5">
        <f t="shared" si="183"/>
        <v>-1</v>
      </c>
    </row>
    <row r="1430" spans="1:24" x14ac:dyDescent="0.35">
      <c r="A1430" s="3">
        <v>46253</v>
      </c>
      <c r="B1430" t="s">
        <v>1995</v>
      </c>
      <c r="C1430" t="s">
        <v>2025</v>
      </c>
      <c r="D1430" t="s">
        <v>31</v>
      </c>
      <c r="E1430" t="s">
        <v>56</v>
      </c>
      <c r="F1430" t="s">
        <v>26</v>
      </c>
      <c r="G1430" t="s">
        <v>41</v>
      </c>
      <c r="H1430" t="s">
        <v>51</v>
      </c>
      <c r="I1430">
        <v>3582</v>
      </c>
      <c r="J1430">
        <v>3180</v>
      </c>
      <c r="K1430">
        <v>2990</v>
      </c>
      <c r="L1430">
        <v>149</v>
      </c>
      <c r="M1430">
        <v>60</v>
      </c>
      <c r="N1430">
        <v>5</v>
      </c>
      <c r="O1430">
        <v>512.07000000000005</v>
      </c>
      <c r="P1430">
        <v>5515.92</v>
      </c>
      <c r="Q1430" s="5">
        <f t="shared" si="176"/>
        <v>0.94025157232704404</v>
      </c>
      <c r="R1430" s="5">
        <f t="shared" si="177"/>
        <v>4.9832775919732439E-2</v>
      </c>
      <c r="S1430" s="5">
        <f t="shared" si="178"/>
        <v>0.40268456375838924</v>
      </c>
      <c r="T1430" s="5">
        <f t="shared" si="179"/>
        <v>8.3333333333333329E-2</v>
      </c>
      <c r="U1430" s="5">
        <f t="shared" si="180"/>
        <v>1.6722408026755853E-3</v>
      </c>
      <c r="V1430" s="6">
        <f t="shared" si="181"/>
        <v>8.5345000000000013</v>
      </c>
      <c r="W1430" s="7">
        <f t="shared" si="182"/>
        <v>3.4367114093959734</v>
      </c>
      <c r="X1430" s="5">
        <f t="shared" si="183"/>
        <v>9.771808541800926</v>
      </c>
    </row>
    <row r="1431" spans="1:24" x14ac:dyDescent="0.35">
      <c r="A1431" s="3">
        <v>46253</v>
      </c>
      <c r="B1431" t="s">
        <v>1866</v>
      </c>
      <c r="C1431" t="s">
        <v>2026</v>
      </c>
      <c r="D1431" t="s">
        <v>34</v>
      </c>
      <c r="E1431" t="s">
        <v>56</v>
      </c>
      <c r="F1431" t="s">
        <v>20</v>
      </c>
      <c r="G1431" t="s">
        <v>36</v>
      </c>
      <c r="H1431" t="s">
        <v>37</v>
      </c>
      <c r="I1431">
        <v>4894</v>
      </c>
      <c r="J1431">
        <v>4531</v>
      </c>
      <c r="K1431">
        <v>4160</v>
      </c>
      <c r="L1431">
        <v>214</v>
      </c>
      <c r="M1431">
        <v>95</v>
      </c>
      <c r="N1431">
        <v>6</v>
      </c>
      <c r="O1431">
        <v>396.35</v>
      </c>
      <c r="P1431">
        <v>7033.79</v>
      </c>
      <c r="Q1431" s="5">
        <f t="shared" si="176"/>
        <v>0.91811962039284922</v>
      </c>
      <c r="R1431" s="5">
        <f t="shared" si="177"/>
        <v>5.144230769230769E-2</v>
      </c>
      <c r="S1431" s="5">
        <f t="shared" si="178"/>
        <v>0.44392523364485981</v>
      </c>
      <c r="T1431" s="5">
        <f t="shared" si="179"/>
        <v>6.3157894736842107E-2</v>
      </c>
      <c r="U1431" s="5">
        <f t="shared" si="180"/>
        <v>1.4423076923076924E-3</v>
      </c>
      <c r="V1431" s="6">
        <f t="shared" si="181"/>
        <v>4.1721052631578948</v>
      </c>
      <c r="W1431" s="7">
        <f t="shared" si="182"/>
        <v>1.8521028037383178</v>
      </c>
      <c r="X1431" s="5">
        <f t="shared" si="183"/>
        <v>16.746411000378451</v>
      </c>
    </row>
    <row r="1432" spans="1:24" x14ac:dyDescent="0.35">
      <c r="A1432" s="3">
        <v>46254</v>
      </c>
      <c r="B1432" t="s">
        <v>1870</v>
      </c>
      <c r="C1432" t="s">
        <v>2027</v>
      </c>
      <c r="D1432" t="s">
        <v>40</v>
      </c>
      <c r="E1432" t="s">
        <v>35</v>
      </c>
      <c r="F1432" t="s">
        <v>20</v>
      </c>
      <c r="G1432" t="s">
        <v>36</v>
      </c>
      <c r="H1432" t="s">
        <v>48</v>
      </c>
      <c r="I1432">
        <v>2538</v>
      </c>
      <c r="J1432">
        <v>2177</v>
      </c>
      <c r="K1432">
        <v>2057</v>
      </c>
      <c r="L1432">
        <v>137</v>
      </c>
      <c r="M1432">
        <v>74</v>
      </c>
      <c r="N1432">
        <v>4</v>
      </c>
      <c r="O1432">
        <v>301.23</v>
      </c>
      <c r="P1432">
        <v>4263.3</v>
      </c>
      <c r="Q1432" s="5">
        <f t="shared" si="176"/>
        <v>0.94487827285254933</v>
      </c>
      <c r="R1432" s="5">
        <f t="shared" si="177"/>
        <v>6.6601847350510446E-2</v>
      </c>
      <c r="S1432" s="5">
        <f t="shared" si="178"/>
        <v>0.54014598540145986</v>
      </c>
      <c r="T1432" s="5">
        <f t="shared" si="179"/>
        <v>5.4054054054054057E-2</v>
      </c>
      <c r="U1432" s="5">
        <f t="shared" si="180"/>
        <v>1.9445794846864365E-3</v>
      </c>
      <c r="V1432" s="6">
        <f t="shared" si="181"/>
        <v>4.0706756756756759</v>
      </c>
      <c r="W1432" s="7">
        <f t="shared" si="182"/>
        <v>2.1987591240875912</v>
      </c>
      <c r="X1432" s="5">
        <f t="shared" si="183"/>
        <v>13.15297281147296</v>
      </c>
    </row>
    <row r="1433" spans="1:24" x14ac:dyDescent="0.35">
      <c r="A1433" s="3">
        <v>46254</v>
      </c>
      <c r="B1433" t="s">
        <v>1874</v>
      </c>
      <c r="C1433" t="s">
        <v>2028</v>
      </c>
      <c r="D1433" t="s">
        <v>18</v>
      </c>
      <c r="E1433" t="s">
        <v>25</v>
      </c>
      <c r="F1433" t="s">
        <v>20</v>
      </c>
      <c r="G1433" t="s">
        <v>27</v>
      </c>
      <c r="H1433" t="s">
        <v>48</v>
      </c>
      <c r="I1433">
        <v>887</v>
      </c>
      <c r="J1433">
        <v>887</v>
      </c>
      <c r="K1433">
        <v>800</v>
      </c>
      <c r="L1433">
        <v>32</v>
      </c>
      <c r="M1433">
        <v>14</v>
      </c>
      <c r="N1433">
        <v>1</v>
      </c>
      <c r="O1433">
        <v>91.68</v>
      </c>
      <c r="P1433">
        <v>1306.68</v>
      </c>
      <c r="Q1433" s="5">
        <f t="shared" si="176"/>
        <v>0.90191657271702363</v>
      </c>
      <c r="R1433" s="5">
        <f t="shared" si="177"/>
        <v>0.04</v>
      </c>
      <c r="S1433" s="5">
        <f t="shared" si="178"/>
        <v>0.4375</v>
      </c>
      <c r="T1433" s="5">
        <f t="shared" si="179"/>
        <v>7.1428571428571425E-2</v>
      </c>
      <c r="U1433" s="5">
        <f t="shared" si="180"/>
        <v>1.25E-3</v>
      </c>
      <c r="V1433" s="6">
        <f t="shared" si="181"/>
        <v>6.5485714285714289</v>
      </c>
      <c r="W1433" s="7">
        <f t="shared" si="182"/>
        <v>2.8650000000000002</v>
      </c>
      <c r="X1433" s="5">
        <f t="shared" si="183"/>
        <v>13.252617801047119</v>
      </c>
    </row>
    <row r="1434" spans="1:24" x14ac:dyDescent="0.35">
      <c r="A1434" s="3">
        <v>46254</v>
      </c>
      <c r="B1434" t="s">
        <v>1842</v>
      </c>
      <c r="C1434" t="s">
        <v>2029</v>
      </c>
      <c r="D1434" t="s">
        <v>18</v>
      </c>
      <c r="E1434" t="s">
        <v>25</v>
      </c>
      <c r="F1434" t="s">
        <v>20</v>
      </c>
      <c r="G1434" t="s">
        <v>36</v>
      </c>
      <c r="H1434" t="s">
        <v>51</v>
      </c>
      <c r="I1434">
        <v>4326</v>
      </c>
      <c r="J1434">
        <v>3743</v>
      </c>
      <c r="K1434">
        <v>3432</v>
      </c>
      <c r="L1434">
        <v>116</v>
      </c>
      <c r="M1434">
        <v>70</v>
      </c>
      <c r="N1434">
        <v>3</v>
      </c>
      <c r="O1434">
        <v>388.34</v>
      </c>
      <c r="P1434">
        <v>2153.5</v>
      </c>
      <c r="Q1434" s="5">
        <f t="shared" si="176"/>
        <v>0.91691156826075337</v>
      </c>
      <c r="R1434" s="5">
        <f t="shared" si="177"/>
        <v>3.37995337995338E-2</v>
      </c>
      <c r="S1434" s="5">
        <f t="shared" si="178"/>
        <v>0.60344827586206895</v>
      </c>
      <c r="T1434" s="5">
        <f t="shared" si="179"/>
        <v>4.2857142857142858E-2</v>
      </c>
      <c r="U1434" s="5">
        <f t="shared" si="180"/>
        <v>8.7412587412587413E-4</v>
      </c>
      <c r="V1434" s="6">
        <f t="shared" si="181"/>
        <v>5.5477142857142852</v>
      </c>
      <c r="W1434" s="7">
        <f t="shared" si="182"/>
        <v>3.347758620689655</v>
      </c>
      <c r="X1434" s="5">
        <f t="shared" si="183"/>
        <v>4.5453983622598759</v>
      </c>
    </row>
    <row r="1435" spans="1:24" x14ac:dyDescent="0.35">
      <c r="A1435" s="3">
        <v>46255</v>
      </c>
      <c r="B1435" t="s">
        <v>1851</v>
      </c>
      <c r="C1435" t="s">
        <v>2030</v>
      </c>
      <c r="D1435" t="s">
        <v>18</v>
      </c>
      <c r="E1435" t="s">
        <v>56</v>
      </c>
      <c r="F1435" t="s">
        <v>20</v>
      </c>
      <c r="G1435" t="s">
        <v>41</v>
      </c>
      <c r="H1435" t="s">
        <v>22</v>
      </c>
      <c r="I1435">
        <v>4576</v>
      </c>
      <c r="J1435">
        <v>4235</v>
      </c>
      <c r="K1435">
        <v>3765</v>
      </c>
      <c r="L1435">
        <v>220</v>
      </c>
      <c r="M1435">
        <v>96</v>
      </c>
      <c r="N1435">
        <v>5</v>
      </c>
      <c r="O1435">
        <v>510.01</v>
      </c>
      <c r="P1435">
        <v>6448.24</v>
      </c>
      <c r="Q1435" s="5">
        <f t="shared" si="176"/>
        <v>0.88902007083825263</v>
      </c>
      <c r="R1435" s="5">
        <f t="shared" si="177"/>
        <v>5.8432934926958828E-2</v>
      </c>
      <c r="S1435" s="5">
        <f t="shared" si="178"/>
        <v>0.43636363636363634</v>
      </c>
      <c r="T1435" s="5">
        <f t="shared" si="179"/>
        <v>5.2083333333333336E-2</v>
      </c>
      <c r="U1435" s="5">
        <f t="shared" si="180"/>
        <v>1.3280212483399733E-3</v>
      </c>
      <c r="V1435" s="6">
        <f t="shared" si="181"/>
        <v>5.3126041666666666</v>
      </c>
      <c r="W1435" s="7">
        <f t="shared" si="182"/>
        <v>2.3182272727272726</v>
      </c>
      <c r="X1435" s="5">
        <f t="shared" si="183"/>
        <v>11.643359934118939</v>
      </c>
    </row>
    <row r="1436" spans="1:24" x14ac:dyDescent="0.35">
      <c r="A1436" s="3">
        <v>46255</v>
      </c>
      <c r="B1436" t="s">
        <v>1953</v>
      </c>
      <c r="C1436" t="s">
        <v>2031</v>
      </c>
      <c r="D1436" t="s">
        <v>31</v>
      </c>
      <c r="E1436" t="s">
        <v>19</v>
      </c>
      <c r="F1436" t="s">
        <v>26</v>
      </c>
      <c r="G1436" t="s">
        <v>27</v>
      </c>
      <c r="H1436" t="s">
        <v>22</v>
      </c>
      <c r="I1436">
        <v>2224</v>
      </c>
      <c r="J1436">
        <v>2196</v>
      </c>
      <c r="K1436">
        <v>2096</v>
      </c>
      <c r="L1436">
        <v>27</v>
      </c>
      <c r="M1436">
        <v>13</v>
      </c>
      <c r="N1436">
        <v>0</v>
      </c>
      <c r="O1436">
        <v>446.56</v>
      </c>
      <c r="P1436">
        <v>0</v>
      </c>
      <c r="Q1436" s="5">
        <f t="shared" si="176"/>
        <v>0.95446265938069219</v>
      </c>
      <c r="R1436" s="5">
        <f t="shared" si="177"/>
        <v>1.2881679389312978E-2</v>
      </c>
      <c r="S1436" s="5">
        <f t="shared" si="178"/>
        <v>0.48148148148148145</v>
      </c>
      <c r="T1436" s="5">
        <f t="shared" si="179"/>
        <v>0</v>
      </c>
      <c r="U1436" s="5">
        <f t="shared" si="180"/>
        <v>0</v>
      </c>
      <c r="V1436" s="6">
        <f t="shared" si="181"/>
        <v>34.350769230769231</v>
      </c>
      <c r="W1436" s="7">
        <f t="shared" si="182"/>
        <v>16.539259259259261</v>
      </c>
      <c r="X1436" s="5">
        <f t="shared" si="183"/>
        <v>-1</v>
      </c>
    </row>
    <row r="1437" spans="1:24" x14ac:dyDescent="0.35">
      <c r="A1437" s="3">
        <v>46256</v>
      </c>
      <c r="B1437" t="s">
        <v>1934</v>
      </c>
      <c r="C1437" t="s">
        <v>2032</v>
      </c>
      <c r="D1437" t="s">
        <v>40</v>
      </c>
      <c r="E1437" t="s">
        <v>35</v>
      </c>
      <c r="F1437" t="s">
        <v>26</v>
      </c>
      <c r="G1437" t="s">
        <v>59</v>
      </c>
      <c r="H1437" t="s">
        <v>28</v>
      </c>
      <c r="I1437">
        <v>1010</v>
      </c>
      <c r="J1437">
        <v>913</v>
      </c>
      <c r="K1437">
        <v>845</v>
      </c>
      <c r="L1437">
        <v>84</v>
      </c>
      <c r="M1437">
        <v>45</v>
      </c>
      <c r="N1437">
        <v>4</v>
      </c>
      <c r="O1437">
        <v>121.32</v>
      </c>
      <c r="P1437">
        <v>4315.18</v>
      </c>
      <c r="Q1437" s="5">
        <f t="shared" si="176"/>
        <v>0.92552026286966049</v>
      </c>
      <c r="R1437" s="5">
        <f t="shared" si="177"/>
        <v>9.9408284023668636E-2</v>
      </c>
      <c r="S1437" s="5">
        <f t="shared" si="178"/>
        <v>0.5357142857142857</v>
      </c>
      <c r="T1437" s="5">
        <f t="shared" si="179"/>
        <v>8.8888888888888892E-2</v>
      </c>
      <c r="U1437" s="5">
        <f t="shared" si="180"/>
        <v>4.7337278106508876E-3</v>
      </c>
      <c r="V1437" s="6">
        <f t="shared" si="181"/>
        <v>2.6959999999999997</v>
      </c>
      <c r="W1437" s="7">
        <f t="shared" si="182"/>
        <v>1.4442857142857142</v>
      </c>
      <c r="X1437" s="5">
        <f t="shared" si="183"/>
        <v>34.568578964721404</v>
      </c>
    </row>
    <row r="1438" spans="1:24" x14ac:dyDescent="0.35">
      <c r="A1438" s="3">
        <v>46256</v>
      </c>
      <c r="B1438" t="s">
        <v>1936</v>
      </c>
      <c r="C1438" t="s">
        <v>2033</v>
      </c>
      <c r="D1438" t="s">
        <v>18</v>
      </c>
      <c r="E1438" t="s">
        <v>35</v>
      </c>
      <c r="F1438" t="s">
        <v>20</v>
      </c>
      <c r="G1438" t="s">
        <v>27</v>
      </c>
      <c r="H1438" t="s">
        <v>22</v>
      </c>
      <c r="I1438">
        <v>1039</v>
      </c>
      <c r="J1438">
        <v>1027</v>
      </c>
      <c r="K1438">
        <v>947</v>
      </c>
      <c r="L1438">
        <v>86</v>
      </c>
      <c r="M1438">
        <v>34</v>
      </c>
      <c r="N1438">
        <v>2</v>
      </c>
      <c r="O1438">
        <v>119.98</v>
      </c>
      <c r="P1438">
        <v>2596.38</v>
      </c>
      <c r="Q1438" s="5">
        <f t="shared" si="176"/>
        <v>0.9221032132424537</v>
      </c>
      <c r="R1438" s="5">
        <f t="shared" si="177"/>
        <v>9.0813093980992604E-2</v>
      </c>
      <c r="S1438" s="5">
        <f t="shared" si="178"/>
        <v>0.39534883720930231</v>
      </c>
      <c r="T1438" s="5">
        <f t="shared" si="179"/>
        <v>5.8823529411764705E-2</v>
      </c>
      <c r="U1438" s="5">
        <f t="shared" si="180"/>
        <v>2.1119324181626186E-3</v>
      </c>
      <c r="V1438" s="6">
        <f t="shared" si="181"/>
        <v>3.5288235294117647</v>
      </c>
      <c r="W1438" s="7">
        <f t="shared" si="182"/>
        <v>1.3951162790697675</v>
      </c>
      <c r="X1438" s="5">
        <f t="shared" si="183"/>
        <v>20.640106684447407</v>
      </c>
    </row>
    <row r="1439" spans="1:24" x14ac:dyDescent="0.35">
      <c r="A1439" s="3">
        <v>46256</v>
      </c>
      <c r="B1439" t="s">
        <v>1818</v>
      </c>
      <c r="C1439" t="s">
        <v>2034</v>
      </c>
      <c r="D1439" t="s">
        <v>40</v>
      </c>
      <c r="E1439" t="s">
        <v>56</v>
      </c>
      <c r="F1439" t="s">
        <v>20</v>
      </c>
      <c r="G1439" t="s">
        <v>59</v>
      </c>
      <c r="H1439" t="s">
        <v>48</v>
      </c>
      <c r="I1439">
        <v>1679</v>
      </c>
      <c r="J1439">
        <v>1468</v>
      </c>
      <c r="K1439">
        <v>1327</v>
      </c>
      <c r="L1439">
        <v>65</v>
      </c>
      <c r="M1439">
        <v>34</v>
      </c>
      <c r="N1439">
        <v>2</v>
      </c>
      <c r="O1439">
        <v>248.81</v>
      </c>
      <c r="P1439">
        <v>1980.34</v>
      </c>
      <c r="Q1439" s="5">
        <f t="shared" si="176"/>
        <v>0.90395095367847411</v>
      </c>
      <c r="R1439" s="5">
        <f t="shared" si="177"/>
        <v>4.8982667671439335E-2</v>
      </c>
      <c r="S1439" s="5">
        <f t="shared" si="178"/>
        <v>0.52307692307692311</v>
      </c>
      <c r="T1439" s="5">
        <f t="shared" si="179"/>
        <v>5.8823529411764705E-2</v>
      </c>
      <c r="U1439" s="5">
        <f t="shared" si="180"/>
        <v>1.5071590052750565E-3</v>
      </c>
      <c r="V1439" s="6">
        <f t="shared" si="181"/>
        <v>7.3179411764705886</v>
      </c>
      <c r="W1439" s="7">
        <f t="shared" si="182"/>
        <v>3.8278461538461537</v>
      </c>
      <c r="X1439" s="5">
        <f t="shared" si="183"/>
        <v>6.9592460110124188</v>
      </c>
    </row>
    <row r="1440" spans="1:24" x14ac:dyDescent="0.35">
      <c r="A1440" s="3">
        <v>46256</v>
      </c>
      <c r="B1440" t="s">
        <v>1849</v>
      </c>
      <c r="C1440" t="s">
        <v>2035</v>
      </c>
      <c r="D1440" t="s">
        <v>40</v>
      </c>
      <c r="E1440" t="s">
        <v>25</v>
      </c>
      <c r="F1440" t="s">
        <v>20</v>
      </c>
      <c r="G1440" t="s">
        <v>41</v>
      </c>
      <c r="H1440" t="s">
        <v>28</v>
      </c>
      <c r="I1440">
        <v>3945</v>
      </c>
      <c r="J1440">
        <v>3569</v>
      </c>
      <c r="K1440">
        <v>3237</v>
      </c>
      <c r="L1440">
        <v>104</v>
      </c>
      <c r="M1440">
        <v>53</v>
      </c>
      <c r="N1440">
        <v>2</v>
      </c>
      <c r="O1440">
        <v>597.25</v>
      </c>
      <c r="P1440">
        <v>1775.33</v>
      </c>
      <c r="Q1440" s="5">
        <f t="shared" si="176"/>
        <v>0.90697674418604646</v>
      </c>
      <c r="R1440" s="5">
        <f t="shared" si="177"/>
        <v>3.2128514056224897E-2</v>
      </c>
      <c r="S1440" s="5">
        <f t="shared" si="178"/>
        <v>0.50961538461538458</v>
      </c>
      <c r="T1440" s="5">
        <f t="shared" si="179"/>
        <v>3.7735849056603772E-2</v>
      </c>
      <c r="U1440" s="5">
        <f t="shared" si="180"/>
        <v>6.1785603954278654E-4</v>
      </c>
      <c r="V1440" s="6">
        <f t="shared" si="181"/>
        <v>11.268867924528301</v>
      </c>
      <c r="W1440" s="7">
        <f t="shared" si="182"/>
        <v>5.7427884615384617</v>
      </c>
      <c r="X1440" s="5">
        <f t="shared" si="183"/>
        <v>1.9725073252406864</v>
      </c>
    </row>
    <row r="1441" spans="1:24" x14ac:dyDescent="0.35">
      <c r="A1441" s="3">
        <v>46256</v>
      </c>
      <c r="B1441" t="s">
        <v>1893</v>
      </c>
      <c r="C1441" t="s">
        <v>2036</v>
      </c>
      <c r="D1441" t="s">
        <v>40</v>
      </c>
      <c r="E1441" t="s">
        <v>35</v>
      </c>
      <c r="F1441" t="s">
        <v>20</v>
      </c>
      <c r="G1441" t="s">
        <v>27</v>
      </c>
      <c r="H1441" t="s">
        <v>28</v>
      </c>
      <c r="I1441">
        <v>4312</v>
      </c>
      <c r="J1441">
        <v>3260</v>
      </c>
      <c r="K1441">
        <v>2951</v>
      </c>
      <c r="L1441">
        <v>203</v>
      </c>
      <c r="M1441">
        <v>105</v>
      </c>
      <c r="N1441">
        <v>6</v>
      </c>
      <c r="O1441">
        <v>420.99</v>
      </c>
      <c r="P1441">
        <v>9565.8700000000008</v>
      </c>
      <c r="Q1441" s="5">
        <f t="shared" si="176"/>
        <v>0.90521472392638036</v>
      </c>
      <c r="R1441" s="5">
        <f t="shared" si="177"/>
        <v>6.8790240596407995E-2</v>
      </c>
      <c r="S1441" s="5">
        <f t="shared" si="178"/>
        <v>0.51724137931034486</v>
      </c>
      <c r="T1441" s="5">
        <f t="shared" si="179"/>
        <v>5.7142857142857141E-2</v>
      </c>
      <c r="U1441" s="5">
        <f t="shared" si="180"/>
        <v>2.0332090816672314E-3</v>
      </c>
      <c r="V1441" s="6">
        <f t="shared" si="181"/>
        <v>4.0094285714285718</v>
      </c>
      <c r="W1441" s="7">
        <f t="shared" si="182"/>
        <v>2.0738423645320196</v>
      </c>
      <c r="X1441" s="5">
        <f t="shared" si="183"/>
        <v>21.7223211952778</v>
      </c>
    </row>
    <row r="1442" spans="1:24" x14ac:dyDescent="0.35">
      <c r="A1442" s="3">
        <v>46256</v>
      </c>
      <c r="B1442" t="s">
        <v>2013</v>
      </c>
      <c r="C1442" t="s">
        <v>2037</v>
      </c>
      <c r="D1442" t="s">
        <v>40</v>
      </c>
      <c r="E1442" t="s">
        <v>25</v>
      </c>
      <c r="F1442" t="s">
        <v>20</v>
      </c>
      <c r="G1442" t="s">
        <v>59</v>
      </c>
      <c r="H1442" t="s">
        <v>37</v>
      </c>
      <c r="I1442">
        <v>2086</v>
      </c>
      <c r="J1442">
        <v>1648</v>
      </c>
      <c r="K1442">
        <v>1567</v>
      </c>
      <c r="L1442">
        <v>60</v>
      </c>
      <c r="M1442">
        <v>22</v>
      </c>
      <c r="N1442">
        <v>1</v>
      </c>
      <c r="O1442">
        <v>235.45</v>
      </c>
      <c r="P1442">
        <v>789.49</v>
      </c>
      <c r="Q1442" s="5">
        <f t="shared" si="176"/>
        <v>0.95084951456310685</v>
      </c>
      <c r="R1442" s="5">
        <f t="shared" si="177"/>
        <v>3.8289725590299938E-2</v>
      </c>
      <c r="S1442" s="5">
        <f t="shared" si="178"/>
        <v>0.36666666666666664</v>
      </c>
      <c r="T1442" s="5">
        <f t="shared" si="179"/>
        <v>4.5454545454545456E-2</v>
      </c>
      <c r="U1442" s="5">
        <f t="shared" si="180"/>
        <v>6.3816209317166565E-4</v>
      </c>
      <c r="V1442" s="6">
        <f t="shared" si="181"/>
        <v>10.702272727272726</v>
      </c>
      <c r="W1442" s="7">
        <f t="shared" si="182"/>
        <v>3.9241666666666664</v>
      </c>
      <c r="X1442" s="5">
        <f t="shared" si="183"/>
        <v>2.3531110639201529</v>
      </c>
    </row>
    <row r="1443" spans="1:24" x14ac:dyDescent="0.35">
      <c r="A1443" s="3">
        <v>46256</v>
      </c>
      <c r="B1443" t="s">
        <v>2038</v>
      </c>
      <c r="C1443" t="s">
        <v>2039</v>
      </c>
      <c r="D1443" t="s">
        <v>31</v>
      </c>
      <c r="E1443" t="s">
        <v>25</v>
      </c>
      <c r="F1443" t="s">
        <v>20</v>
      </c>
      <c r="G1443" t="s">
        <v>59</v>
      </c>
      <c r="H1443" t="s">
        <v>28</v>
      </c>
      <c r="I1443">
        <v>530</v>
      </c>
      <c r="J1443">
        <v>485</v>
      </c>
      <c r="K1443">
        <v>475</v>
      </c>
      <c r="L1443">
        <v>8</v>
      </c>
      <c r="M1443">
        <v>3</v>
      </c>
      <c r="N1443">
        <v>0</v>
      </c>
      <c r="O1443">
        <v>90.69</v>
      </c>
      <c r="P1443">
        <v>0</v>
      </c>
      <c r="Q1443" s="5">
        <f t="shared" si="176"/>
        <v>0.97938144329896903</v>
      </c>
      <c r="R1443" s="5">
        <f t="shared" si="177"/>
        <v>1.6842105263157894E-2</v>
      </c>
      <c r="S1443" s="5">
        <f t="shared" si="178"/>
        <v>0.375</v>
      </c>
      <c r="T1443" s="5">
        <f t="shared" si="179"/>
        <v>0</v>
      </c>
      <c r="U1443" s="5">
        <f t="shared" si="180"/>
        <v>0</v>
      </c>
      <c r="V1443" s="6">
        <f t="shared" si="181"/>
        <v>30.23</v>
      </c>
      <c r="W1443" s="7">
        <f t="shared" si="182"/>
        <v>11.33625</v>
      </c>
      <c r="X1443" s="5">
        <f t="shared" si="183"/>
        <v>-1</v>
      </c>
    </row>
    <row r="1444" spans="1:24" x14ac:dyDescent="0.35">
      <c r="A1444" s="3">
        <v>46256</v>
      </c>
      <c r="B1444" t="s">
        <v>1880</v>
      </c>
      <c r="C1444" t="s">
        <v>2040</v>
      </c>
      <c r="D1444" t="s">
        <v>18</v>
      </c>
      <c r="E1444" t="s">
        <v>56</v>
      </c>
      <c r="F1444" t="s">
        <v>20</v>
      </c>
      <c r="G1444" t="s">
        <v>36</v>
      </c>
      <c r="H1444" t="s">
        <v>48</v>
      </c>
      <c r="I1444">
        <v>4949</v>
      </c>
      <c r="J1444">
        <v>3984</v>
      </c>
      <c r="K1444">
        <v>3612</v>
      </c>
      <c r="L1444">
        <v>221</v>
      </c>
      <c r="M1444">
        <v>114</v>
      </c>
      <c r="N1444">
        <v>3</v>
      </c>
      <c r="O1444">
        <v>544.21</v>
      </c>
      <c r="P1444">
        <v>2197.5500000000002</v>
      </c>
      <c r="Q1444" s="5">
        <f t="shared" si="176"/>
        <v>0.90662650602409633</v>
      </c>
      <c r="R1444" s="5">
        <f t="shared" si="177"/>
        <v>6.1184939091915837E-2</v>
      </c>
      <c r="S1444" s="5">
        <f t="shared" si="178"/>
        <v>0.51583710407239824</v>
      </c>
      <c r="T1444" s="5">
        <f t="shared" si="179"/>
        <v>2.6315789473684209E-2</v>
      </c>
      <c r="U1444" s="5">
        <f t="shared" si="180"/>
        <v>8.3056478405315617E-4</v>
      </c>
      <c r="V1444" s="6">
        <f t="shared" si="181"/>
        <v>4.7737719298245613</v>
      </c>
      <c r="W1444" s="7">
        <f t="shared" si="182"/>
        <v>2.4624886877828054</v>
      </c>
      <c r="X1444" s="5">
        <f t="shared" si="183"/>
        <v>3.038055162529171</v>
      </c>
    </row>
    <row r="1445" spans="1:24" x14ac:dyDescent="0.35">
      <c r="A1445" s="3">
        <v>46256</v>
      </c>
      <c r="B1445" t="s">
        <v>1866</v>
      </c>
      <c r="C1445" t="s">
        <v>2041</v>
      </c>
      <c r="D1445" t="s">
        <v>18</v>
      </c>
      <c r="E1445" t="s">
        <v>56</v>
      </c>
      <c r="F1445" t="s">
        <v>20</v>
      </c>
      <c r="G1445" t="s">
        <v>41</v>
      </c>
      <c r="H1445" t="s">
        <v>48</v>
      </c>
      <c r="I1445">
        <v>1111</v>
      </c>
      <c r="J1445">
        <v>888</v>
      </c>
      <c r="K1445">
        <v>807</v>
      </c>
      <c r="L1445">
        <v>49</v>
      </c>
      <c r="M1445">
        <v>25</v>
      </c>
      <c r="N1445">
        <v>1</v>
      </c>
      <c r="O1445">
        <v>97.64</v>
      </c>
      <c r="P1445">
        <v>938.99</v>
      </c>
      <c r="Q1445" s="5">
        <f t="shared" si="176"/>
        <v>0.90878378378378377</v>
      </c>
      <c r="R1445" s="5">
        <f t="shared" si="177"/>
        <v>6.0718711276332091E-2</v>
      </c>
      <c r="S1445" s="5">
        <f t="shared" si="178"/>
        <v>0.51020408163265307</v>
      </c>
      <c r="T1445" s="5">
        <f t="shared" si="179"/>
        <v>0.04</v>
      </c>
      <c r="U1445" s="5">
        <f t="shared" si="180"/>
        <v>1.2391573729863693E-3</v>
      </c>
      <c r="V1445" s="6">
        <f t="shared" si="181"/>
        <v>3.9056000000000002</v>
      </c>
      <c r="W1445" s="7">
        <f t="shared" si="182"/>
        <v>1.9926530612244897</v>
      </c>
      <c r="X1445" s="5">
        <f t="shared" si="183"/>
        <v>8.6168578451454323</v>
      </c>
    </row>
    <row r="1446" spans="1:24" x14ac:dyDescent="0.35">
      <c r="A1446" s="3">
        <v>46257</v>
      </c>
      <c r="B1446" t="s">
        <v>1816</v>
      </c>
      <c r="C1446" t="s">
        <v>2042</v>
      </c>
      <c r="D1446" t="s">
        <v>34</v>
      </c>
      <c r="E1446" t="s">
        <v>56</v>
      </c>
      <c r="F1446" t="s">
        <v>20</v>
      </c>
      <c r="G1446" t="s">
        <v>21</v>
      </c>
      <c r="H1446" t="s">
        <v>37</v>
      </c>
      <c r="I1446">
        <v>1327</v>
      </c>
      <c r="J1446">
        <v>999</v>
      </c>
      <c r="K1446">
        <v>957</v>
      </c>
      <c r="L1446">
        <v>45</v>
      </c>
      <c r="M1446">
        <v>23</v>
      </c>
      <c r="N1446">
        <v>1</v>
      </c>
      <c r="O1446">
        <v>77.7</v>
      </c>
      <c r="P1446">
        <v>1405.52</v>
      </c>
      <c r="Q1446" s="5">
        <f t="shared" si="176"/>
        <v>0.95795795795795791</v>
      </c>
      <c r="R1446" s="5">
        <f t="shared" si="177"/>
        <v>4.7021943573667714E-2</v>
      </c>
      <c r="S1446" s="5">
        <f t="shared" si="178"/>
        <v>0.51111111111111107</v>
      </c>
      <c r="T1446" s="5">
        <f t="shared" si="179"/>
        <v>4.3478260869565216E-2</v>
      </c>
      <c r="U1446" s="5">
        <f t="shared" si="180"/>
        <v>1.0449320794148381E-3</v>
      </c>
      <c r="V1446" s="6">
        <f t="shared" si="181"/>
        <v>3.3782608695652177</v>
      </c>
      <c r="W1446" s="7">
        <f t="shared" si="182"/>
        <v>1.7266666666666668</v>
      </c>
      <c r="X1446" s="5">
        <f t="shared" si="183"/>
        <v>17.089060489060486</v>
      </c>
    </row>
    <row r="1447" spans="1:24" x14ac:dyDescent="0.35">
      <c r="A1447" s="3">
        <v>46257</v>
      </c>
      <c r="B1447" t="s">
        <v>2043</v>
      </c>
      <c r="C1447" t="s">
        <v>2044</v>
      </c>
      <c r="D1447" t="s">
        <v>40</v>
      </c>
      <c r="E1447" t="s">
        <v>56</v>
      </c>
      <c r="F1447" t="s">
        <v>20</v>
      </c>
      <c r="G1447" t="s">
        <v>59</v>
      </c>
      <c r="H1447" t="s">
        <v>48</v>
      </c>
      <c r="I1447">
        <v>2913</v>
      </c>
      <c r="J1447">
        <v>2497</v>
      </c>
      <c r="K1447">
        <v>2333</v>
      </c>
      <c r="L1447">
        <v>130</v>
      </c>
      <c r="M1447">
        <v>50</v>
      </c>
      <c r="N1447">
        <v>2</v>
      </c>
      <c r="O1447">
        <v>382.86</v>
      </c>
      <c r="P1447">
        <v>2216.44</v>
      </c>
      <c r="Q1447" s="5">
        <f t="shared" si="176"/>
        <v>0.93432118542250697</v>
      </c>
      <c r="R1447" s="5">
        <f t="shared" si="177"/>
        <v>5.5722246035147881E-2</v>
      </c>
      <c r="S1447" s="5">
        <f t="shared" si="178"/>
        <v>0.38461538461538464</v>
      </c>
      <c r="T1447" s="5">
        <f t="shared" si="179"/>
        <v>0.04</v>
      </c>
      <c r="U1447" s="5">
        <f t="shared" si="180"/>
        <v>8.5726532361765965E-4</v>
      </c>
      <c r="V1447" s="6">
        <f t="shared" si="181"/>
        <v>7.6572000000000005</v>
      </c>
      <c r="W1447" s="7">
        <f t="shared" si="182"/>
        <v>2.9450769230769231</v>
      </c>
      <c r="X1447" s="5">
        <f t="shared" si="183"/>
        <v>4.7891657524943838</v>
      </c>
    </row>
    <row r="1448" spans="1:24" x14ac:dyDescent="0.35">
      <c r="A1448" s="3">
        <v>46257</v>
      </c>
      <c r="B1448" t="s">
        <v>1889</v>
      </c>
      <c r="C1448" t="s">
        <v>2045</v>
      </c>
      <c r="D1448" t="s">
        <v>18</v>
      </c>
      <c r="E1448" t="s">
        <v>56</v>
      </c>
      <c r="F1448" t="s">
        <v>20</v>
      </c>
      <c r="G1448" t="s">
        <v>41</v>
      </c>
      <c r="H1448" t="s">
        <v>37</v>
      </c>
      <c r="I1448">
        <v>4855</v>
      </c>
      <c r="J1448">
        <v>4442</v>
      </c>
      <c r="K1448">
        <v>4109</v>
      </c>
      <c r="L1448">
        <v>226</v>
      </c>
      <c r="M1448">
        <v>119</v>
      </c>
      <c r="N1448">
        <v>6</v>
      </c>
      <c r="O1448">
        <v>565.38</v>
      </c>
      <c r="P1448">
        <v>4974.4799999999996</v>
      </c>
      <c r="Q1448" s="5">
        <f t="shared" si="176"/>
        <v>0.92503376857271502</v>
      </c>
      <c r="R1448" s="5">
        <f t="shared" si="177"/>
        <v>5.5001216841080558E-2</v>
      </c>
      <c r="S1448" s="5">
        <f t="shared" si="178"/>
        <v>0.52654867256637172</v>
      </c>
      <c r="T1448" s="5">
        <f t="shared" si="179"/>
        <v>5.0420168067226892E-2</v>
      </c>
      <c r="U1448" s="5">
        <f t="shared" si="180"/>
        <v>1.4602092966658554E-3</v>
      </c>
      <c r="V1448" s="6">
        <f t="shared" si="181"/>
        <v>4.7510924369747896</v>
      </c>
      <c r="W1448" s="7">
        <f t="shared" si="182"/>
        <v>2.5016814159292036</v>
      </c>
      <c r="X1448" s="5">
        <f t="shared" si="183"/>
        <v>7.7984718242597886</v>
      </c>
    </row>
    <row r="1449" spans="1:24" x14ac:dyDescent="0.35">
      <c r="A1449" s="3">
        <v>46257</v>
      </c>
      <c r="B1449" t="s">
        <v>2046</v>
      </c>
      <c r="C1449" t="s">
        <v>2047</v>
      </c>
      <c r="D1449" t="s">
        <v>18</v>
      </c>
      <c r="E1449" t="s">
        <v>35</v>
      </c>
      <c r="F1449" t="s">
        <v>26</v>
      </c>
      <c r="G1449" t="s">
        <v>36</v>
      </c>
      <c r="H1449" t="s">
        <v>37</v>
      </c>
      <c r="I1449">
        <v>3275</v>
      </c>
      <c r="J1449">
        <v>2628</v>
      </c>
      <c r="K1449">
        <v>2319</v>
      </c>
      <c r="L1449">
        <v>280</v>
      </c>
      <c r="M1449">
        <v>176</v>
      </c>
      <c r="N1449">
        <v>14</v>
      </c>
      <c r="O1449">
        <v>348.06</v>
      </c>
      <c r="P1449">
        <v>19298.5</v>
      </c>
      <c r="Q1449" s="5">
        <f t="shared" si="176"/>
        <v>0.88242009132420096</v>
      </c>
      <c r="R1449" s="5">
        <f t="shared" si="177"/>
        <v>0.12074169900819319</v>
      </c>
      <c r="S1449" s="5">
        <f t="shared" si="178"/>
        <v>0.62857142857142856</v>
      </c>
      <c r="T1449" s="5">
        <f t="shared" si="179"/>
        <v>7.9545454545454544E-2</v>
      </c>
      <c r="U1449" s="5">
        <f t="shared" si="180"/>
        <v>6.0370849504096597E-3</v>
      </c>
      <c r="V1449" s="6">
        <f t="shared" si="181"/>
        <v>1.9776136363636363</v>
      </c>
      <c r="W1449" s="7">
        <f t="shared" si="182"/>
        <v>1.2430714285714286</v>
      </c>
      <c r="X1449" s="5">
        <f t="shared" si="183"/>
        <v>54.445900132161114</v>
      </c>
    </row>
    <row r="1450" spans="1:24" x14ac:dyDescent="0.35">
      <c r="A1450" s="3">
        <v>46257</v>
      </c>
      <c r="B1450" t="s">
        <v>1834</v>
      </c>
      <c r="C1450" t="s">
        <v>2048</v>
      </c>
      <c r="D1450" t="s">
        <v>34</v>
      </c>
      <c r="E1450" t="s">
        <v>56</v>
      </c>
      <c r="F1450" t="s">
        <v>20</v>
      </c>
      <c r="G1450" t="s">
        <v>27</v>
      </c>
      <c r="H1450" t="s">
        <v>22</v>
      </c>
      <c r="I1450">
        <v>1558</v>
      </c>
      <c r="J1450">
        <v>1515</v>
      </c>
      <c r="K1450">
        <v>1395</v>
      </c>
      <c r="L1450">
        <v>63</v>
      </c>
      <c r="M1450">
        <v>26</v>
      </c>
      <c r="N1450">
        <v>1</v>
      </c>
      <c r="O1450">
        <v>137.83000000000001</v>
      </c>
      <c r="P1450">
        <v>1311.07</v>
      </c>
      <c r="Q1450" s="5">
        <f t="shared" si="176"/>
        <v>0.92079207920792083</v>
      </c>
      <c r="R1450" s="5">
        <f t="shared" si="177"/>
        <v>4.5161290322580643E-2</v>
      </c>
      <c r="S1450" s="5">
        <f t="shared" si="178"/>
        <v>0.41269841269841268</v>
      </c>
      <c r="T1450" s="5">
        <f t="shared" si="179"/>
        <v>3.8461538461538464E-2</v>
      </c>
      <c r="U1450" s="5">
        <f t="shared" si="180"/>
        <v>7.1684587813620072E-4</v>
      </c>
      <c r="V1450" s="6">
        <f t="shared" si="181"/>
        <v>5.3011538461538468</v>
      </c>
      <c r="W1450" s="7">
        <f t="shared" si="182"/>
        <v>2.1877777777777778</v>
      </c>
      <c r="X1450" s="5">
        <f t="shared" si="183"/>
        <v>8.5122252049626344</v>
      </c>
    </row>
    <row r="1451" spans="1:24" x14ac:dyDescent="0.35">
      <c r="A1451" s="3">
        <v>46257</v>
      </c>
      <c r="B1451" t="s">
        <v>1992</v>
      </c>
      <c r="C1451" t="s">
        <v>2049</v>
      </c>
      <c r="D1451" t="s">
        <v>34</v>
      </c>
      <c r="E1451" t="s">
        <v>35</v>
      </c>
      <c r="F1451" t="s">
        <v>26</v>
      </c>
      <c r="G1451" t="s">
        <v>27</v>
      </c>
      <c r="H1451" t="s">
        <v>37</v>
      </c>
      <c r="I1451">
        <v>1436</v>
      </c>
      <c r="J1451">
        <v>1353</v>
      </c>
      <c r="K1451">
        <v>1282</v>
      </c>
      <c r="L1451">
        <v>115</v>
      </c>
      <c r="M1451">
        <v>59</v>
      </c>
      <c r="N1451">
        <v>6</v>
      </c>
      <c r="O1451">
        <v>109.94</v>
      </c>
      <c r="P1451">
        <v>8676.64</v>
      </c>
      <c r="Q1451" s="5">
        <f t="shared" si="176"/>
        <v>0.94752402069475239</v>
      </c>
      <c r="R1451" s="5">
        <f t="shared" si="177"/>
        <v>8.9703588143525748E-2</v>
      </c>
      <c r="S1451" s="5">
        <f t="shared" si="178"/>
        <v>0.5130434782608696</v>
      </c>
      <c r="T1451" s="5">
        <f t="shared" si="179"/>
        <v>0.10169491525423729</v>
      </c>
      <c r="U1451" s="5">
        <f t="shared" si="180"/>
        <v>4.6801872074882997E-3</v>
      </c>
      <c r="V1451" s="6">
        <f t="shared" si="181"/>
        <v>1.8633898305084746</v>
      </c>
      <c r="W1451" s="7">
        <f t="shared" si="182"/>
        <v>0.95599999999999996</v>
      </c>
      <c r="X1451" s="5">
        <f t="shared" si="183"/>
        <v>77.921593596507179</v>
      </c>
    </row>
    <row r="1452" spans="1:24" x14ac:dyDescent="0.35">
      <c r="A1452" s="3">
        <v>46257</v>
      </c>
      <c r="B1452" t="s">
        <v>1861</v>
      </c>
      <c r="C1452" t="s">
        <v>2050</v>
      </c>
      <c r="D1452" t="s">
        <v>34</v>
      </c>
      <c r="E1452" t="s">
        <v>25</v>
      </c>
      <c r="F1452" t="s">
        <v>26</v>
      </c>
      <c r="G1452" t="s">
        <v>36</v>
      </c>
      <c r="H1452" t="s">
        <v>51</v>
      </c>
      <c r="I1452">
        <v>3382</v>
      </c>
      <c r="J1452">
        <v>2837</v>
      </c>
      <c r="K1452">
        <v>2598</v>
      </c>
      <c r="L1452">
        <v>116</v>
      </c>
      <c r="M1452">
        <v>66</v>
      </c>
      <c r="N1452">
        <v>4</v>
      </c>
      <c r="O1452">
        <v>236.08</v>
      </c>
      <c r="P1452">
        <v>3861.25</v>
      </c>
      <c r="Q1452" s="5">
        <f t="shared" si="176"/>
        <v>0.9157560803665844</v>
      </c>
      <c r="R1452" s="5">
        <f t="shared" si="177"/>
        <v>4.4649730561970746E-2</v>
      </c>
      <c r="S1452" s="5">
        <f t="shared" si="178"/>
        <v>0.56896551724137934</v>
      </c>
      <c r="T1452" s="5">
        <f t="shared" si="179"/>
        <v>6.0606060606060608E-2</v>
      </c>
      <c r="U1452" s="5">
        <f t="shared" si="180"/>
        <v>1.539645881447267E-3</v>
      </c>
      <c r="V1452" s="6">
        <f t="shared" si="181"/>
        <v>3.5769696969696971</v>
      </c>
      <c r="W1452" s="7">
        <f t="shared" si="182"/>
        <v>2.0351724137931035</v>
      </c>
      <c r="X1452" s="5">
        <f t="shared" si="183"/>
        <v>15.35568451372416</v>
      </c>
    </row>
    <row r="1453" spans="1:24" x14ac:dyDescent="0.35">
      <c r="A1453" s="3">
        <v>46257</v>
      </c>
      <c r="B1453" t="s">
        <v>1903</v>
      </c>
      <c r="C1453" t="s">
        <v>2051</v>
      </c>
      <c r="D1453" t="s">
        <v>40</v>
      </c>
      <c r="E1453" t="s">
        <v>35</v>
      </c>
      <c r="F1453" t="s">
        <v>20</v>
      </c>
      <c r="G1453" t="s">
        <v>27</v>
      </c>
      <c r="H1453" t="s">
        <v>48</v>
      </c>
      <c r="I1453">
        <v>4102</v>
      </c>
      <c r="J1453">
        <v>3182</v>
      </c>
      <c r="K1453">
        <v>2968</v>
      </c>
      <c r="L1453">
        <v>194</v>
      </c>
      <c r="M1453">
        <v>93</v>
      </c>
      <c r="N1453">
        <v>5</v>
      </c>
      <c r="O1453">
        <v>547.80999999999995</v>
      </c>
      <c r="P1453">
        <v>3854.58</v>
      </c>
      <c r="Q1453" s="5">
        <f t="shared" si="176"/>
        <v>0.93274670018856065</v>
      </c>
      <c r="R1453" s="5">
        <f t="shared" si="177"/>
        <v>6.5363881401617252E-2</v>
      </c>
      <c r="S1453" s="5">
        <f t="shared" si="178"/>
        <v>0.47938144329896909</v>
      </c>
      <c r="T1453" s="5">
        <f t="shared" si="179"/>
        <v>5.3763440860215055E-2</v>
      </c>
      <c r="U1453" s="5">
        <f t="shared" si="180"/>
        <v>1.6846361185983828E-3</v>
      </c>
      <c r="V1453" s="6">
        <f t="shared" si="181"/>
        <v>5.890430107526881</v>
      </c>
      <c r="W1453" s="7">
        <f t="shared" si="182"/>
        <v>2.8237628865979381</v>
      </c>
      <c r="X1453" s="5">
        <f t="shared" si="183"/>
        <v>6.0363447180591816</v>
      </c>
    </row>
    <row r="1454" spans="1:24" x14ac:dyDescent="0.35">
      <c r="A1454" s="3">
        <v>46258</v>
      </c>
      <c r="B1454" t="s">
        <v>1868</v>
      </c>
      <c r="C1454" t="s">
        <v>2052</v>
      </c>
      <c r="D1454" t="s">
        <v>34</v>
      </c>
      <c r="E1454" t="s">
        <v>56</v>
      </c>
      <c r="F1454" t="s">
        <v>26</v>
      </c>
      <c r="G1454" t="s">
        <v>59</v>
      </c>
      <c r="H1454" t="s">
        <v>28</v>
      </c>
      <c r="I1454">
        <v>2154</v>
      </c>
      <c r="J1454">
        <v>2152</v>
      </c>
      <c r="K1454">
        <v>2037</v>
      </c>
      <c r="L1454">
        <v>145</v>
      </c>
      <c r="M1454">
        <v>84</v>
      </c>
      <c r="N1454">
        <v>3</v>
      </c>
      <c r="O1454">
        <v>177.79</v>
      </c>
      <c r="P1454">
        <v>2609.09</v>
      </c>
      <c r="Q1454" s="5">
        <f t="shared" si="176"/>
        <v>0.94656133828996281</v>
      </c>
      <c r="R1454" s="5">
        <f t="shared" si="177"/>
        <v>7.1183112420225819E-2</v>
      </c>
      <c r="S1454" s="5">
        <f t="shared" si="178"/>
        <v>0.57931034482758625</v>
      </c>
      <c r="T1454" s="5">
        <f t="shared" si="179"/>
        <v>3.5714285714285712E-2</v>
      </c>
      <c r="U1454" s="5">
        <f t="shared" si="180"/>
        <v>1.4727540500736377E-3</v>
      </c>
      <c r="V1454" s="6">
        <f t="shared" si="181"/>
        <v>2.1165476190476191</v>
      </c>
      <c r="W1454" s="7">
        <f t="shared" si="182"/>
        <v>1.2261379310344827</v>
      </c>
      <c r="X1454" s="5">
        <f t="shared" si="183"/>
        <v>13.675122335339447</v>
      </c>
    </row>
    <row r="1455" spans="1:24" x14ac:dyDescent="0.35">
      <c r="A1455" s="3">
        <v>46258</v>
      </c>
      <c r="B1455" t="s">
        <v>1818</v>
      </c>
      <c r="C1455" t="s">
        <v>2053</v>
      </c>
      <c r="D1455" t="s">
        <v>34</v>
      </c>
      <c r="E1455" t="s">
        <v>19</v>
      </c>
      <c r="F1455" t="s">
        <v>26</v>
      </c>
      <c r="G1455" t="s">
        <v>59</v>
      </c>
      <c r="H1455" t="s">
        <v>48</v>
      </c>
      <c r="I1455">
        <v>1243</v>
      </c>
      <c r="J1455">
        <v>1043</v>
      </c>
      <c r="K1455">
        <v>977</v>
      </c>
      <c r="L1455">
        <v>13</v>
      </c>
      <c r="M1455">
        <v>7</v>
      </c>
      <c r="N1455">
        <v>0</v>
      </c>
      <c r="O1455">
        <v>83.89</v>
      </c>
      <c r="P1455">
        <v>0</v>
      </c>
      <c r="Q1455" s="5">
        <f t="shared" si="176"/>
        <v>0.93672099712368173</v>
      </c>
      <c r="R1455" s="5">
        <f t="shared" si="177"/>
        <v>1.3306038894575231E-2</v>
      </c>
      <c r="S1455" s="5">
        <f t="shared" si="178"/>
        <v>0.53846153846153844</v>
      </c>
      <c r="T1455" s="5">
        <f t="shared" si="179"/>
        <v>0</v>
      </c>
      <c r="U1455" s="5">
        <f t="shared" si="180"/>
        <v>0</v>
      </c>
      <c r="V1455" s="6">
        <f t="shared" si="181"/>
        <v>11.984285714285715</v>
      </c>
      <c r="W1455" s="7">
        <f t="shared" si="182"/>
        <v>6.4530769230769227</v>
      </c>
      <c r="X1455" s="5">
        <f t="shared" si="183"/>
        <v>-1</v>
      </c>
    </row>
    <row r="1456" spans="1:24" x14ac:dyDescent="0.35">
      <c r="A1456" s="3">
        <v>46258</v>
      </c>
      <c r="B1456" t="s">
        <v>1941</v>
      </c>
      <c r="C1456" t="s">
        <v>2054</v>
      </c>
      <c r="D1456" t="s">
        <v>18</v>
      </c>
      <c r="E1456" t="s">
        <v>19</v>
      </c>
      <c r="F1456" t="s">
        <v>26</v>
      </c>
      <c r="G1456" t="s">
        <v>21</v>
      </c>
      <c r="H1456" t="s">
        <v>48</v>
      </c>
      <c r="I1456">
        <v>3585</v>
      </c>
      <c r="J1456">
        <v>2894</v>
      </c>
      <c r="K1456">
        <v>2601</v>
      </c>
      <c r="L1456">
        <v>68</v>
      </c>
      <c r="M1456">
        <v>44</v>
      </c>
      <c r="N1456">
        <v>1</v>
      </c>
      <c r="O1456">
        <v>353.27</v>
      </c>
      <c r="P1456">
        <v>887.89</v>
      </c>
      <c r="Q1456" s="5">
        <f t="shared" si="176"/>
        <v>0.8987560469937802</v>
      </c>
      <c r="R1456" s="5">
        <f t="shared" si="177"/>
        <v>2.6143790849673203E-2</v>
      </c>
      <c r="S1456" s="5">
        <f t="shared" si="178"/>
        <v>0.6470588235294118</v>
      </c>
      <c r="T1456" s="5">
        <f t="shared" si="179"/>
        <v>2.2727272727272728E-2</v>
      </c>
      <c r="U1456" s="5">
        <f t="shared" si="180"/>
        <v>3.8446751249519417E-4</v>
      </c>
      <c r="V1456" s="6">
        <f t="shared" si="181"/>
        <v>8.0288636363636368</v>
      </c>
      <c r="W1456" s="7">
        <f t="shared" si="182"/>
        <v>5.1951470588235296</v>
      </c>
      <c r="X1456" s="5">
        <f t="shared" si="183"/>
        <v>1.5133467319613894</v>
      </c>
    </row>
    <row r="1457" spans="1:24" x14ac:dyDescent="0.35">
      <c r="A1457" s="3">
        <v>46258</v>
      </c>
      <c r="B1457" t="s">
        <v>1834</v>
      </c>
      <c r="C1457" t="s">
        <v>2055</v>
      </c>
      <c r="D1457" t="s">
        <v>31</v>
      </c>
      <c r="E1457" t="s">
        <v>25</v>
      </c>
      <c r="F1457" t="s">
        <v>20</v>
      </c>
      <c r="G1457" t="s">
        <v>27</v>
      </c>
      <c r="H1457" t="s">
        <v>48</v>
      </c>
      <c r="I1457">
        <v>3005</v>
      </c>
      <c r="J1457">
        <v>2772</v>
      </c>
      <c r="K1457">
        <v>2657</v>
      </c>
      <c r="L1457">
        <v>76</v>
      </c>
      <c r="M1457">
        <v>30</v>
      </c>
      <c r="N1457">
        <v>1</v>
      </c>
      <c r="O1457">
        <v>474.71</v>
      </c>
      <c r="P1457">
        <v>996.36</v>
      </c>
      <c r="Q1457" s="5">
        <f t="shared" si="176"/>
        <v>0.95851370851370854</v>
      </c>
      <c r="R1457" s="5">
        <f t="shared" si="177"/>
        <v>2.8603688370342491E-2</v>
      </c>
      <c r="S1457" s="5">
        <f t="shared" si="178"/>
        <v>0.39473684210526316</v>
      </c>
      <c r="T1457" s="5">
        <f t="shared" si="179"/>
        <v>3.3333333333333333E-2</v>
      </c>
      <c r="U1457" s="5">
        <f t="shared" si="180"/>
        <v>3.7636432066240122E-4</v>
      </c>
      <c r="V1457" s="6">
        <f t="shared" si="181"/>
        <v>15.823666666666666</v>
      </c>
      <c r="W1457" s="7">
        <f t="shared" si="182"/>
        <v>6.2461842105263159</v>
      </c>
      <c r="X1457" s="5">
        <f t="shared" si="183"/>
        <v>1.0988814223420618</v>
      </c>
    </row>
    <row r="1458" spans="1:24" x14ac:dyDescent="0.35">
      <c r="A1458" s="3">
        <v>46258</v>
      </c>
      <c r="B1458" t="s">
        <v>1953</v>
      </c>
      <c r="C1458" t="s">
        <v>2056</v>
      </c>
      <c r="D1458" t="s">
        <v>34</v>
      </c>
      <c r="E1458" t="s">
        <v>25</v>
      </c>
      <c r="F1458" t="s">
        <v>20</v>
      </c>
      <c r="G1458" t="s">
        <v>27</v>
      </c>
      <c r="H1458" t="s">
        <v>22</v>
      </c>
      <c r="I1458">
        <v>2911</v>
      </c>
      <c r="J1458">
        <v>2749</v>
      </c>
      <c r="K1458">
        <v>2549</v>
      </c>
      <c r="L1458">
        <v>73</v>
      </c>
      <c r="M1458">
        <v>35</v>
      </c>
      <c r="N1458">
        <v>2</v>
      </c>
      <c r="O1458">
        <v>239.35</v>
      </c>
      <c r="P1458">
        <v>2184.2199999999998</v>
      </c>
      <c r="Q1458" s="5">
        <f t="shared" si="176"/>
        <v>0.9272462713714078</v>
      </c>
      <c r="R1458" s="5">
        <f t="shared" si="177"/>
        <v>2.8638681836014122E-2</v>
      </c>
      <c r="S1458" s="5">
        <f t="shared" si="178"/>
        <v>0.47945205479452052</v>
      </c>
      <c r="T1458" s="5">
        <f t="shared" si="179"/>
        <v>5.7142857142857141E-2</v>
      </c>
      <c r="U1458" s="5">
        <f t="shared" si="180"/>
        <v>7.8462142016477048E-4</v>
      </c>
      <c r="V1458" s="6">
        <f t="shared" si="181"/>
        <v>6.8385714285714281</v>
      </c>
      <c r="W1458" s="7">
        <f t="shared" si="182"/>
        <v>3.2787671232876709</v>
      </c>
      <c r="X1458" s="5">
        <f t="shared" si="183"/>
        <v>8.1256319197827445</v>
      </c>
    </row>
    <row r="1459" spans="1:24" x14ac:dyDescent="0.35">
      <c r="A1459" s="3">
        <v>46258</v>
      </c>
      <c r="B1459" t="s">
        <v>1826</v>
      </c>
      <c r="C1459" t="s">
        <v>2057</v>
      </c>
      <c r="D1459" t="s">
        <v>34</v>
      </c>
      <c r="E1459" t="s">
        <v>35</v>
      </c>
      <c r="F1459" t="s">
        <v>20</v>
      </c>
      <c r="G1459" t="s">
        <v>27</v>
      </c>
      <c r="H1459" t="s">
        <v>48</v>
      </c>
      <c r="I1459">
        <v>4631</v>
      </c>
      <c r="J1459">
        <v>4533</v>
      </c>
      <c r="K1459">
        <v>4373</v>
      </c>
      <c r="L1459">
        <v>248</v>
      </c>
      <c r="M1459">
        <v>120</v>
      </c>
      <c r="N1459">
        <v>9</v>
      </c>
      <c r="O1459">
        <v>374.15</v>
      </c>
      <c r="P1459">
        <v>13470.52</v>
      </c>
      <c r="Q1459" s="5">
        <f t="shared" si="176"/>
        <v>0.96470328700639751</v>
      </c>
      <c r="R1459" s="5">
        <f t="shared" si="177"/>
        <v>5.6711639606677341E-2</v>
      </c>
      <c r="S1459" s="5">
        <f t="shared" si="178"/>
        <v>0.4838709677419355</v>
      </c>
      <c r="T1459" s="5">
        <f t="shared" si="179"/>
        <v>7.4999999999999997E-2</v>
      </c>
      <c r="U1459" s="5">
        <f t="shared" si="180"/>
        <v>2.0580836954036132E-3</v>
      </c>
      <c r="V1459" s="6">
        <f t="shared" si="181"/>
        <v>3.1179166666666664</v>
      </c>
      <c r="W1459" s="7">
        <f t="shared" si="182"/>
        <v>1.5086693548387096</v>
      </c>
      <c r="X1459" s="5">
        <f t="shared" si="183"/>
        <v>35.002993451824139</v>
      </c>
    </row>
    <row r="1460" spans="1:24" x14ac:dyDescent="0.35">
      <c r="A1460" s="3">
        <v>46258</v>
      </c>
      <c r="B1460" t="s">
        <v>1845</v>
      </c>
      <c r="C1460" t="s">
        <v>2058</v>
      </c>
      <c r="D1460" t="s">
        <v>34</v>
      </c>
      <c r="E1460" t="s">
        <v>35</v>
      </c>
      <c r="F1460" t="s">
        <v>20</v>
      </c>
      <c r="G1460" t="s">
        <v>27</v>
      </c>
      <c r="H1460" t="s">
        <v>51</v>
      </c>
      <c r="I1460">
        <v>1502</v>
      </c>
      <c r="J1460">
        <v>1222</v>
      </c>
      <c r="K1460">
        <v>1130</v>
      </c>
      <c r="L1460">
        <v>73</v>
      </c>
      <c r="M1460">
        <v>35</v>
      </c>
      <c r="N1460">
        <v>3</v>
      </c>
      <c r="O1460">
        <v>115.22</v>
      </c>
      <c r="P1460">
        <v>3507.47</v>
      </c>
      <c r="Q1460" s="5">
        <f t="shared" si="176"/>
        <v>0.92471358428805239</v>
      </c>
      <c r="R1460" s="5">
        <f t="shared" si="177"/>
        <v>6.4601769911504431E-2</v>
      </c>
      <c r="S1460" s="5">
        <f t="shared" si="178"/>
        <v>0.47945205479452052</v>
      </c>
      <c r="T1460" s="5">
        <f t="shared" si="179"/>
        <v>8.5714285714285715E-2</v>
      </c>
      <c r="U1460" s="5">
        <f t="shared" si="180"/>
        <v>2.6548672566371681E-3</v>
      </c>
      <c r="V1460" s="6">
        <f t="shared" si="181"/>
        <v>3.2919999999999998</v>
      </c>
      <c r="W1460" s="7">
        <f t="shared" si="182"/>
        <v>1.5783561643835615</v>
      </c>
      <c r="X1460" s="5">
        <f t="shared" si="183"/>
        <v>29.441503211248047</v>
      </c>
    </row>
    <row r="1461" spans="1:24" x14ac:dyDescent="0.35">
      <c r="A1461" s="3">
        <v>46259</v>
      </c>
      <c r="B1461" t="s">
        <v>1868</v>
      </c>
      <c r="C1461" t="s">
        <v>2059</v>
      </c>
      <c r="D1461" t="s">
        <v>40</v>
      </c>
      <c r="E1461" t="s">
        <v>35</v>
      </c>
      <c r="F1461" t="s">
        <v>20</v>
      </c>
      <c r="G1461" t="s">
        <v>27</v>
      </c>
      <c r="H1461" t="s">
        <v>22</v>
      </c>
      <c r="I1461">
        <v>3693</v>
      </c>
      <c r="J1461">
        <v>3311</v>
      </c>
      <c r="K1461">
        <v>3001</v>
      </c>
      <c r="L1461">
        <v>192</v>
      </c>
      <c r="M1461">
        <v>101</v>
      </c>
      <c r="N1461">
        <v>9</v>
      </c>
      <c r="O1461">
        <v>473.18</v>
      </c>
      <c r="P1461">
        <v>7756.35</v>
      </c>
      <c r="Q1461" s="5">
        <f t="shared" si="176"/>
        <v>0.90637269707037149</v>
      </c>
      <c r="R1461" s="5">
        <f t="shared" si="177"/>
        <v>6.3978673775408196E-2</v>
      </c>
      <c r="S1461" s="5">
        <f t="shared" si="178"/>
        <v>0.52604166666666663</v>
      </c>
      <c r="T1461" s="5">
        <f t="shared" si="179"/>
        <v>8.9108910891089105E-2</v>
      </c>
      <c r="U1461" s="5">
        <f t="shared" si="180"/>
        <v>2.9990003332222592E-3</v>
      </c>
      <c r="V1461" s="6">
        <f t="shared" si="181"/>
        <v>4.6849504950495051</v>
      </c>
      <c r="W1461" s="7">
        <f t="shared" si="182"/>
        <v>2.4644791666666666</v>
      </c>
      <c r="X1461" s="5">
        <f t="shared" si="183"/>
        <v>15.391965002747369</v>
      </c>
    </row>
    <row r="1462" spans="1:24" x14ac:dyDescent="0.35">
      <c r="A1462" s="3">
        <v>46259</v>
      </c>
      <c r="B1462" t="s">
        <v>1818</v>
      </c>
      <c r="C1462" t="s">
        <v>2060</v>
      </c>
      <c r="D1462" t="s">
        <v>18</v>
      </c>
      <c r="E1462" t="s">
        <v>35</v>
      </c>
      <c r="F1462" t="s">
        <v>20</v>
      </c>
      <c r="G1462" t="s">
        <v>41</v>
      </c>
      <c r="H1462" t="s">
        <v>37</v>
      </c>
      <c r="I1462">
        <v>1543</v>
      </c>
      <c r="J1462">
        <v>1234</v>
      </c>
      <c r="K1462">
        <v>1115</v>
      </c>
      <c r="L1462">
        <v>96</v>
      </c>
      <c r="M1462">
        <v>43</v>
      </c>
      <c r="N1462">
        <v>3</v>
      </c>
      <c r="O1462">
        <v>129.30000000000001</v>
      </c>
      <c r="P1462">
        <v>2764.44</v>
      </c>
      <c r="Q1462" s="5">
        <f t="shared" si="176"/>
        <v>0.90356564019448948</v>
      </c>
      <c r="R1462" s="5">
        <f t="shared" si="177"/>
        <v>8.6098654708520184E-2</v>
      </c>
      <c r="S1462" s="5">
        <f t="shared" si="178"/>
        <v>0.44791666666666669</v>
      </c>
      <c r="T1462" s="5">
        <f t="shared" si="179"/>
        <v>6.9767441860465115E-2</v>
      </c>
      <c r="U1462" s="5">
        <f t="shared" si="180"/>
        <v>2.6905829596412557E-3</v>
      </c>
      <c r="V1462" s="6">
        <f t="shared" si="181"/>
        <v>3.0069767441860469</v>
      </c>
      <c r="W1462" s="7">
        <f t="shared" si="182"/>
        <v>1.346875</v>
      </c>
      <c r="X1462" s="5">
        <f t="shared" si="183"/>
        <v>20.380046403712296</v>
      </c>
    </row>
    <row r="1463" spans="1:24" x14ac:dyDescent="0.35">
      <c r="A1463" s="3">
        <v>46259</v>
      </c>
      <c r="B1463" t="s">
        <v>1924</v>
      </c>
      <c r="C1463" t="s">
        <v>2061</v>
      </c>
      <c r="D1463" t="s">
        <v>34</v>
      </c>
      <c r="E1463" t="s">
        <v>56</v>
      </c>
      <c r="F1463" t="s">
        <v>26</v>
      </c>
      <c r="G1463" t="s">
        <v>21</v>
      </c>
      <c r="H1463" t="s">
        <v>28</v>
      </c>
      <c r="I1463">
        <v>3865</v>
      </c>
      <c r="J1463">
        <v>3543</v>
      </c>
      <c r="K1463">
        <v>3388</v>
      </c>
      <c r="L1463">
        <v>234</v>
      </c>
      <c r="M1463">
        <v>129</v>
      </c>
      <c r="N1463">
        <v>8</v>
      </c>
      <c r="O1463">
        <v>333.84</v>
      </c>
      <c r="P1463">
        <v>8230.09</v>
      </c>
      <c r="Q1463" s="5">
        <f t="shared" si="176"/>
        <v>0.95625176404177248</v>
      </c>
      <c r="R1463" s="5">
        <f t="shared" si="177"/>
        <v>6.9067296340023607E-2</v>
      </c>
      <c r="S1463" s="5">
        <f t="shared" si="178"/>
        <v>0.55128205128205132</v>
      </c>
      <c r="T1463" s="5">
        <f t="shared" si="179"/>
        <v>6.2015503875968991E-2</v>
      </c>
      <c r="U1463" s="5">
        <f t="shared" si="180"/>
        <v>2.3612750885478157E-3</v>
      </c>
      <c r="V1463" s="6">
        <f t="shared" si="181"/>
        <v>2.5879069767441858</v>
      </c>
      <c r="W1463" s="7">
        <f t="shared" si="182"/>
        <v>1.4266666666666665</v>
      </c>
      <c r="X1463" s="5">
        <f t="shared" si="183"/>
        <v>23.652797747423918</v>
      </c>
    </row>
    <row r="1464" spans="1:24" x14ac:dyDescent="0.35">
      <c r="A1464" s="3">
        <v>46259</v>
      </c>
      <c r="B1464" t="s">
        <v>1853</v>
      </c>
      <c r="C1464" t="s">
        <v>2062</v>
      </c>
      <c r="D1464" t="s">
        <v>34</v>
      </c>
      <c r="E1464" t="s">
        <v>19</v>
      </c>
      <c r="F1464" t="s">
        <v>26</v>
      </c>
      <c r="G1464" t="s">
        <v>27</v>
      </c>
      <c r="H1464" t="s">
        <v>51</v>
      </c>
      <c r="I1464">
        <v>4809</v>
      </c>
      <c r="J1464">
        <v>4730</v>
      </c>
      <c r="K1464">
        <v>4522</v>
      </c>
      <c r="L1464">
        <v>24</v>
      </c>
      <c r="M1464">
        <v>12</v>
      </c>
      <c r="N1464">
        <v>0</v>
      </c>
      <c r="O1464">
        <v>435.38</v>
      </c>
      <c r="P1464">
        <v>0</v>
      </c>
      <c r="Q1464" s="5">
        <f t="shared" si="176"/>
        <v>0.95602536997885834</v>
      </c>
      <c r="R1464" s="5">
        <f t="shared" si="177"/>
        <v>5.307386112339673E-3</v>
      </c>
      <c r="S1464" s="5">
        <f t="shared" si="178"/>
        <v>0.5</v>
      </c>
      <c r="T1464" s="5">
        <f t="shared" si="179"/>
        <v>0</v>
      </c>
      <c r="U1464" s="5">
        <f t="shared" si="180"/>
        <v>0</v>
      </c>
      <c r="V1464" s="6">
        <f t="shared" si="181"/>
        <v>36.281666666666666</v>
      </c>
      <c r="W1464" s="7">
        <f t="shared" si="182"/>
        <v>18.140833333333333</v>
      </c>
      <c r="X1464" s="5">
        <f t="shared" si="183"/>
        <v>-1</v>
      </c>
    </row>
    <row r="1465" spans="1:24" x14ac:dyDescent="0.35">
      <c r="A1465" s="3">
        <v>46259</v>
      </c>
      <c r="B1465" t="s">
        <v>2000</v>
      </c>
      <c r="C1465" t="s">
        <v>2063</v>
      </c>
      <c r="D1465" t="s">
        <v>31</v>
      </c>
      <c r="E1465" t="s">
        <v>25</v>
      </c>
      <c r="F1465" t="s">
        <v>20</v>
      </c>
      <c r="G1465" t="s">
        <v>21</v>
      </c>
      <c r="H1465" t="s">
        <v>48</v>
      </c>
      <c r="I1465">
        <v>975</v>
      </c>
      <c r="J1465">
        <v>835</v>
      </c>
      <c r="K1465">
        <v>797</v>
      </c>
      <c r="L1465">
        <v>16</v>
      </c>
      <c r="M1465">
        <v>6</v>
      </c>
      <c r="N1465">
        <v>0</v>
      </c>
      <c r="O1465">
        <v>161.49</v>
      </c>
      <c r="P1465">
        <v>0</v>
      </c>
      <c r="Q1465" s="5">
        <f t="shared" si="176"/>
        <v>0.95449101796407188</v>
      </c>
      <c r="R1465" s="5">
        <f t="shared" si="177"/>
        <v>2.0075282308657464E-2</v>
      </c>
      <c r="S1465" s="5">
        <f t="shared" si="178"/>
        <v>0.375</v>
      </c>
      <c r="T1465" s="5">
        <f t="shared" si="179"/>
        <v>0</v>
      </c>
      <c r="U1465" s="5">
        <f t="shared" si="180"/>
        <v>0</v>
      </c>
      <c r="V1465" s="6">
        <f t="shared" si="181"/>
        <v>26.915000000000003</v>
      </c>
      <c r="W1465" s="7">
        <f t="shared" si="182"/>
        <v>10.093125000000001</v>
      </c>
      <c r="X1465" s="5">
        <f t="shared" si="183"/>
        <v>-1</v>
      </c>
    </row>
    <row r="1466" spans="1:24" x14ac:dyDescent="0.35">
      <c r="A1466" s="3">
        <v>46259</v>
      </c>
      <c r="B1466" t="s">
        <v>1995</v>
      </c>
      <c r="C1466" t="s">
        <v>2064</v>
      </c>
      <c r="D1466" t="s">
        <v>34</v>
      </c>
      <c r="E1466" t="s">
        <v>25</v>
      </c>
      <c r="F1466" t="s">
        <v>20</v>
      </c>
      <c r="G1466" t="s">
        <v>21</v>
      </c>
      <c r="H1466" t="s">
        <v>37</v>
      </c>
      <c r="I1466">
        <v>1886</v>
      </c>
      <c r="J1466">
        <v>1761</v>
      </c>
      <c r="K1466">
        <v>1660</v>
      </c>
      <c r="L1466">
        <v>53</v>
      </c>
      <c r="M1466">
        <v>23</v>
      </c>
      <c r="N1466">
        <v>1</v>
      </c>
      <c r="O1466">
        <v>137.66</v>
      </c>
      <c r="P1466">
        <v>1138.51</v>
      </c>
      <c r="Q1466" s="5">
        <f t="shared" si="176"/>
        <v>0.9426462237365133</v>
      </c>
      <c r="R1466" s="5">
        <f t="shared" si="177"/>
        <v>3.1927710843373494E-2</v>
      </c>
      <c r="S1466" s="5">
        <f t="shared" si="178"/>
        <v>0.43396226415094341</v>
      </c>
      <c r="T1466" s="5">
        <f t="shared" si="179"/>
        <v>4.3478260869565216E-2</v>
      </c>
      <c r="U1466" s="5">
        <f t="shared" si="180"/>
        <v>6.0240963855421692E-4</v>
      </c>
      <c r="V1466" s="6">
        <f t="shared" si="181"/>
        <v>5.9852173913043476</v>
      </c>
      <c r="W1466" s="7">
        <f t="shared" si="182"/>
        <v>2.5973584905660378</v>
      </c>
      <c r="X1466" s="5">
        <f t="shared" si="183"/>
        <v>7.2704489321516785</v>
      </c>
    </row>
    <row r="1467" spans="1:24" x14ac:dyDescent="0.35">
      <c r="A1467" s="3">
        <v>46259</v>
      </c>
      <c r="B1467" t="s">
        <v>1903</v>
      </c>
      <c r="C1467" t="s">
        <v>2065</v>
      </c>
      <c r="D1467" t="s">
        <v>18</v>
      </c>
      <c r="E1467" t="s">
        <v>56</v>
      </c>
      <c r="F1467" t="s">
        <v>26</v>
      </c>
      <c r="G1467" t="s">
        <v>41</v>
      </c>
      <c r="H1467" t="s">
        <v>51</v>
      </c>
      <c r="I1467">
        <v>1037</v>
      </c>
      <c r="J1467">
        <v>749</v>
      </c>
      <c r="K1467">
        <v>672</v>
      </c>
      <c r="L1467">
        <v>37</v>
      </c>
      <c r="M1467">
        <v>25</v>
      </c>
      <c r="N1467">
        <v>1</v>
      </c>
      <c r="O1467">
        <v>85.86</v>
      </c>
      <c r="P1467">
        <v>846.4</v>
      </c>
      <c r="Q1467" s="5">
        <f t="shared" si="176"/>
        <v>0.89719626168224298</v>
      </c>
      <c r="R1467" s="5">
        <f t="shared" si="177"/>
        <v>5.5059523809523808E-2</v>
      </c>
      <c r="S1467" s="5">
        <f t="shared" si="178"/>
        <v>0.67567567567567566</v>
      </c>
      <c r="T1467" s="5">
        <f t="shared" si="179"/>
        <v>0.04</v>
      </c>
      <c r="U1467" s="5">
        <f t="shared" si="180"/>
        <v>1.488095238095238E-3</v>
      </c>
      <c r="V1467" s="6">
        <f t="shared" si="181"/>
        <v>3.4344000000000001</v>
      </c>
      <c r="W1467" s="7">
        <f t="shared" si="182"/>
        <v>2.3205405405405406</v>
      </c>
      <c r="X1467" s="5">
        <f t="shared" si="183"/>
        <v>8.8579082226880974</v>
      </c>
    </row>
    <row r="1468" spans="1:24" x14ac:dyDescent="0.35">
      <c r="A1468" s="3">
        <v>46260</v>
      </c>
      <c r="B1468" t="s">
        <v>1901</v>
      </c>
      <c r="C1468" t="s">
        <v>2066</v>
      </c>
      <c r="D1468" t="s">
        <v>18</v>
      </c>
      <c r="E1468" t="s">
        <v>35</v>
      </c>
      <c r="F1468" t="s">
        <v>26</v>
      </c>
      <c r="G1468" t="s">
        <v>27</v>
      </c>
      <c r="H1468" t="s">
        <v>22</v>
      </c>
      <c r="I1468">
        <v>3324</v>
      </c>
      <c r="J1468">
        <v>3237</v>
      </c>
      <c r="K1468">
        <v>2929</v>
      </c>
      <c r="L1468">
        <v>306</v>
      </c>
      <c r="M1468">
        <v>182</v>
      </c>
      <c r="N1468">
        <v>17</v>
      </c>
      <c r="O1468">
        <v>390.04</v>
      </c>
      <c r="P1468">
        <v>23488.080000000002</v>
      </c>
      <c r="Q1468" s="5">
        <f t="shared" si="176"/>
        <v>0.9048501699104109</v>
      </c>
      <c r="R1468" s="5">
        <f t="shared" si="177"/>
        <v>0.10447251621713896</v>
      </c>
      <c r="S1468" s="5">
        <f t="shared" si="178"/>
        <v>0.59477124183006536</v>
      </c>
      <c r="T1468" s="5">
        <f t="shared" si="179"/>
        <v>9.3406593406593408E-2</v>
      </c>
      <c r="U1468" s="5">
        <f t="shared" si="180"/>
        <v>5.8040286787299422E-3</v>
      </c>
      <c r="V1468" s="6">
        <f t="shared" si="181"/>
        <v>2.1430769230769231</v>
      </c>
      <c r="W1468" s="7">
        <f t="shared" si="182"/>
        <v>1.2746405228758171</v>
      </c>
      <c r="X1468" s="5">
        <f t="shared" si="183"/>
        <v>59.219669777458719</v>
      </c>
    </row>
    <row r="1469" spans="1:24" x14ac:dyDescent="0.35">
      <c r="A1469" s="3">
        <v>46260</v>
      </c>
      <c r="B1469" t="s">
        <v>2043</v>
      </c>
      <c r="C1469" t="s">
        <v>2067</v>
      </c>
      <c r="D1469" t="s">
        <v>18</v>
      </c>
      <c r="E1469" t="s">
        <v>56</v>
      </c>
      <c r="F1469" t="s">
        <v>26</v>
      </c>
      <c r="G1469" t="s">
        <v>27</v>
      </c>
      <c r="H1469" t="s">
        <v>48</v>
      </c>
      <c r="I1469">
        <v>1007</v>
      </c>
      <c r="J1469">
        <v>951</v>
      </c>
      <c r="K1469">
        <v>883</v>
      </c>
      <c r="L1469">
        <v>65</v>
      </c>
      <c r="M1469">
        <v>42</v>
      </c>
      <c r="N1469">
        <v>3</v>
      </c>
      <c r="O1469">
        <v>135.72999999999999</v>
      </c>
      <c r="P1469">
        <v>4649.3900000000003</v>
      </c>
      <c r="Q1469" s="5">
        <f t="shared" si="176"/>
        <v>0.92849631966351209</v>
      </c>
      <c r="R1469" s="5">
        <f t="shared" si="177"/>
        <v>7.3612684031710077E-2</v>
      </c>
      <c r="S1469" s="5">
        <f t="shared" si="178"/>
        <v>0.64615384615384619</v>
      </c>
      <c r="T1469" s="5">
        <f t="shared" si="179"/>
        <v>7.1428571428571425E-2</v>
      </c>
      <c r="U1469" s="5">
        <f t="shared" si="180"/>
        <v>3.3975084937712344E-3</v>
      </c>
      <c r="V1469" s="6">
        <f t="shared" si="181"/>
        <v>3.2316666666666665</v>
      </c>
      <c r="W1469" s="7">
        <f t="shared" si="182"/>
        <v>2.0881538461538458</v>
      </c>
      <c r="X1469" s="5">
        <f t="shared" si="183"/>
        <v>33.254696824578218</v>
      </c>
    </row>
    <row r="1470" spans="1:24" x14ac:dyDescent="0.35">
      <c r="A1470" s="3">
        <v>46260</v>
      </c>
      <c r="B1470" t="s">
        <v>1893</v>
      </c>
      <c r="C1470" t="s">
        <v>2068</v>
      </c>
      <c r="D1470" t="s">
        <v>18</v>
      </c>
      <c r="E1470" t="s">
        <v>25</v>
      </c>
      <c r="F1470" t="s">
        <v>26</v>
      </c>
      <c r="G1470" t="s">
        <v>59</v>
      </c>
      <c r="H1470" t="s">
        <v>48</v>
      </c>
      <c r="I1470">
        <v>3522</v>
      </c>
      <c r="J1470">
        <v>3073</v>
      </c>
      <c r="K1470">
        <v>2837</v>
      </c>
      <c r="L1470">
        <v>202</v>
      </c>
      <c r="M1470">
        <v>126</v>
      </c>
      <c r="N1470">
        <v>5</v>
      </c>
      <c r="O1470">
        <v>377.06</v>
      </c>
      <c r="P1470">
        <v>6245.78</v>
      </c>
      <c r="Q1470" s="5">
        <f t="shared" si="176"/>
        <v>0.92320208265538561</v>
      </c>
      <c r="R1470" s="5">
        <f t="shared" si="177"/>
        <v>7.1201973916108566E-2</v>
      </c>
      <c r="S1470" s="5">
        <f t="shared" si="178"/>
        <v>0.62376237623762376</v>
      </c>
      <c r="T1470" s="5">
        <f t="shared" si="179"/>
        <v>3.968253968253968E-2</v>
      </c>
      <c r="U1470" s="5">
        <f t="shared" si="180"/>
        <v>1.7624250969333803E-3</v>
      </c>
      <c r="V1470" s="6">
        <f t="shared" si="181"/>
        <v>2.9925396825396824</v>
      </c>
      <c r="W1470" s="7">
        <f t="shared" si="182"/>
        <v>1.8666336633663367</v>
      </c>
      <c r="X1470" s="5">
        <f t="shared" si="183"/>
        <v>15.564419455789528</v>
      </c>
    </row>
    <row r="1471" spans="1:24" x14ac:dyDescent="0.35">
      <c r="A1471" s="3">
        <v>46260</v>
      </c>
      <c r="B1471" t="s">
        <v>1834</v>
      </c>
      <c r="C1471" t="s">
        <v>2069</v>
      </c>
      <c r="D1471" t="s">
        <v>34</v>
      </c>
      <c r="E1471" t="s">
        <v>25</v>
      </c>
      <c r="F1471" t="s">
        <v>20</v>
      </c>
      <c r="G1471" t="s">
        <v>41</v>
      </c>
      <c r="H1471" t="s">
        <v>48</v>
      </c>
      <c r="I1471">
        <v>3920</v>
      </c>
      <c r="J1471">
        <v>3818</v>
      </c>
      <c r="K1471">
        <v>3504</v>
      </c>
      <c r="L1471">
        <v>146</v>
      </c>
      <c r="M1471">
        <v>66</v>
      </c>
      <c r="N1471">
        <v>1</v>
      </c>
      <c r="O1471">
        <v>352.27</v>
      </c>
      <c r="P1471">
        <v>1285.78</v>
      </c>
      <c r="Q1471" s="5">
        <f t="shared" si="176"/>
        <v>0.91775798847564172</v>
      </c>
      <c r="R1471" s="5">
        <f t="shared" si="177"/>
        <v>4.1666666666666664E-2</v>
      </c>
      <c r="S1471" s="5">
        <f t="shared" si="178"/>
        <v>0.45205479452054792</v>
      </c>
      <c r="T1471" s="5">
        <f t="shared" si="179"/>
        <v>1.5151515151515152E-2</v>
      </c>
      <c r="U1471" s="5">
        <f t="shared" si="180"/>
        <v>2.8538812785388126E-4</v>
      </c>
      <c r="V1471" s="6">
        <f t="shared" si="181"/>
        <v>5.337424242424242</v>
      </c>
      <c r="W1471" s="7">
        <f t="shared" si="182"/>
        <v>2.412808219178082</v>
      </c>
      <c r="X1471" s="5">
        <f t="shared" si="183"/>
        <v>2.6499843869758992</v>
      </c>
    </row>
    <row r="1472" spans="1:24" x14ac:dyDescent="0.35">
      <c r="A1472" s="3">
        <v>46260</v>
      </c>
      <c r="B1472" t="s">
        <v>1979</v>
      </c>
      <c r="C1472" t="s">
        <v>2070</v>
      </c>
      <c r="D1472" t="s">
        <v>40</v>
      </c>
      <c r="E1472" t="s">
        <v>56</v>
      </c>
      <c r="F1472" t="s">
        <v>20</v>
      </c>
      <c r="G1472" t="s">
        <v>21</v>
      </c>
      <c r="H1472" t="s">
        <v>28</v>
      </c>
      <c r="I1472">
        <v>2203</v>
      </c>
      <c r="J1472">
        <v>2158</v>
      </c>
      <c r="K1472">
        <v>2047</v>
      </c>
      <c r="L1472">
        <v>158</v>
      </c>
      <c r="M1472">
        <v>67</v>
      </c>
      <c r="N1472">
        <v>1</v>
      </c>
      <c r="O1472">
        <v>370.92</v>
      </c>
      <c r="P1472">
        <v>1137.4000000000001</v>
      </c>
      <c r="Q1472" s="5">
        <f t="shared" si="176"/>
        <v>0.94856348470806306</v>
      </c>
      <c r="R1472" s="5">
        <f t="shared" si="177"/>
        <v>7.7186126038104541E-2</v>
      </c>
      <c r="S1472" s="5">
        <f t="shared" si="178"/>
        <v>0.42405063291139239</v>
      </c>
      <c r="T1472" s="5">
        <f t="shared" si="179"/>
        <v>1.4925373134328358E-2</v>
      </c>
      <c r="U1472" s="5">
        <f t="shared" si="180"/>
        <v>4.8851978505129456E-4</v>
      </c>
      <c r="V1472" s="6">
        <f t="shared" si="181"/>
        <v>5.5361194029850749</v>
      </c>
      <c r="W1472" s="7">
        <f t="shared" si="182"/>
        <v>2.3475949367088607</v>
      </c>
      <c r="X1472" s="5">
        <f t="shared" si="183"/>
        <v>2.0664294187425858</v>
      </c>
    </row>
    <row r="1473" spans="1:24" x14ac:dyDescent="0.35">
      <c r="A1473" s="3">
        <v>46260</v>
      </c>
      <c r="B1473" t="s">
        <v>2071</v>
      </c>
      <c r="C1473" t="s">
        <v>2072</v>
      </c>
      <c r="D1473" t="s">
        <v>34</v>
      </c>
      <c r="E1473" t="s">
        <v>19</v>
      </c>
      <c r="F1473" t="s">
        <v>20</v>
      </c>
      <c r="G1473" t="s">
        <v>21</v>
      </c>
      <c r="H1473" t="s">
        <v>22</v>
      </c>
      <c r="I1473">
        <v>2935</v>
      </c>
      <c r="J1473">
        <v>2927</v>
      </c>
      <c r="K1473">
        <v>2788</v>
      </c>
      <c r="L1473">
        <v>43</v>
      </c>
      <c r="M1473">
        <v>18</v>
      </c>
      <c r="N1473">
        <v>1</v>
      </c>
      <c r="O1473">
        <v>240.26</v>
      </c>
      <c r="P1473">
        <v>842.57</v>
      </c>
      <c r="Q1473" s="5">
        <f t="shared" si="176"/>
        <v>0.9525111035189614</v>
      </c>
      <c r="R1473" s="5">
        <f t="shared" si="177"/>
        <v>1.5423242467718794E-2</v>
      </c>
      <c r="S1473" s="5">
        <f t="shared" si="178"/>
        <v>0.41860465116279072</v>
      </c>
      <c r="T1473" s="5">
        <f t="shared" si="179"/>
        <v>5.5555555555555552E-2</v>
      </c>
      <c r="U1473" s="5">
        <f t="shared" si="180"/>
        <v>3.586800573888092E-4</v>
      </c>
      <c r="V1473" s="6">
        <f t="shared" si="181"/>
        <v>13.347777777777777</v>
      </c>
      <c r="W1473" s="7">
        <f t="shared" si="182"/>
        <v>5.5874418604651162</v>
      </c>
      <c r="X1473" s="5">
        <f t="shared" si="183"/>
        <v>2.5069091817198039</v>
      </c>
    </row>
    <row r="1474" spans="1:24" x14ac:dyDescent="0.35">
      <c r="A1474" s="3">
        <v>46261</v>
      </c>
      <c r="B1474" t="s">
        <v>1820</v>
      </c>
      <c r="C1474" t="s">
        <v>2073</v>
      </c>
      <c r="D1474" t="s">
        <v>34</v>
      </c>
      <c r="E1474" t="s">
        <v>56</v>
      </c>
      <c r="F1474" t="s">
        <v>20</v>
      </c>
      <c r="G1474" t="s">
        <v>59</v>
      </c>
      <c r="H1474" t="s">
        <v>51</v>
      </c>
      <c r="I1474">
        <v>912</v>
      </c>
      <c r="J1474">
        <v>723</v>
      </c>
      <c r="K1474">
        <v>675</v>
      </c>
      <c r="L1474">
        <v>30</v>
      </c>
      <c r="M1474">
        <v>13</v>
      </c>
      <c r="N1474">
        <v>0</v>
      </c>
      <c r="O1474">
        <v>49.35</v>
      </c>
      <c r="P1474">
        <v>0</v>
      </c>
      <c r="Q1474" s="5">
        <f t="shared" si="176"/>
        <v>0.93360995850622408</v>
      </c>
      <c r="R1474" s="5">
        <f t="shared" si="177"/>
        <v>4.4444444444444446E-2</v>
      </c>
      <c r="S1474" s="5">
        <f t="shared" si="178"/>
        <v>0.43333333333333335</v>
      </c>
      <c r="T1474" s="5">
        <f t="shared" si="179"/>
        <v>0</v>
      </c>
      <c r="U1474" s="5">
        <f t="shared" si="180"/>
        <v>0</v>
      </c>
      <c r="V1474" s="6">
        <f t="shared" si="181"/>
        <v>3.7961538461538464</v>
      </c>
      <c r="W1474" s="7">
        <f t="shared" si="182"/>
        <v>1.645</v>
      </c>
      <c r="X1474" s="5">
        <f t="shared" si="183"/>
        <v>-1</v>
      </c>
    </row>
    <row r="1475" spans="1:24" x14ac:dyDescent="0.35">
      <c r="A1475" s="3">
        <v>46261</v>
      </c>
      <c r="B1475" t="s">
        <v>1820</v>
      </c>
      <c r="C1475" t="s">
        <v>2074</v>
      </c>
      <c r="D1475" t="s">
        <v>31</v>
      </c>
      <c r="E1475" t="s">
        <v>56</v>
      </c>
      <c r="F1475" t="s">
        <v>20</v>
      </c>
      <c r="G1475" t="s">
        <v>21</v>
      </c>
      <c r="H1475" t="s">
        <v>51</v>
      </c>
      <c r="I1475">
        <v>1528</v>
      </c>
      <c r="J1475">
        <v>1459</v>
      </c>
      <c r="K1475">
        <v>1427</v>
      </c>
      <c r="L1475">
        <v>50</v>
      </c>
      <c r="M1475">
        <v>26</v>
      </c>
      <c r="N1475">
        <v>1</v>
      </c>
      <c r="O1475">
        <v>314.70999999999998</v>
      </c>
      <c r="P1475">
        <v>1411.2</v>
      </c>
      <c r="Q1475" s="5">
        <f t="shared" ref="Q1475:Q1501" si="184">K1475/J1475</f>
        <v>0.97806716929403703</v>
      </c>
      <c r="R1475" s="5">
        <f t="shared" ref="R1475:R1501" si="185">L1475/K1475</f>
        <v>3.5038542396636299E-2</v>
      </c>
      <c r="S1475" s="5">
        <f t="shared" ref="S1475:S1501" si="186">M1475/L1475</f>
        <v>0.52</v>
      </c>
      <c r="T1475" s="5">
        <f t="shared" ref="T1475:T1501" si="187">N1475/M1475</f>
        <v>3.8461538461538464E-2</v>
      </c>
      <c r="U1475" s="5">
        <f t="shared" ref="U1475:U1501" si="188">N1475/K1475</f>
        <v>7.0077084793272596E-4</v>
      </c>
      <c r="V1475" s="6">
        <f t="shared" ref="V1475:V1501" si="189">O1475/M1475</f>
        <v>12.104230769230769</v>
      </c>
      <c r="W1475" s="7">
        <f t="shared" ref="W1475:W1501" si="190">O1475/L1475</f>
        <v>6.2942</v>
      </c>
      <c r="X1475" s="5">
        <f t="shared" ref="X1475:X1501" si="191">(P1475-O1475)/O1475</f>
        <v>3.4841282450509996</v>
      </c>
    </row>
    <row r="1476" spans="1:24" x14ac:dyDescent="0.35">
      <c r="A1476" s="3">
        <v>46261</v>
      </c>
      <c r="B1476" t="s">
        <v>1872</v>
      </c>
      <c r="C1476" t="s">
        <v>2075</v>
      </c>
      <c r="D1476" t="s">
        <v>18</v>
      </c>
      <c r="E1476" t="s">
        <v>35</v>
      </c>
      <c r="F1476" t="s">
        <v>20</v>
      </c>
      <c r="G1476" t="s">
        <v>21</v>
      </c>
      <c r="H1476" t="s">
        <v>51</v>
      </c>
      <c r="I1476">
        <v>2455</v>
      </c>
      <c r="J1476">
        <v>2282</v>
      </c>
      <c r="K1476">
        <v>2058</v>
      </c>
      <c r="L1476">
        <v>150</v>
      </c>
      <c r="M1476">
        <v>74</v>
      </c>
      <c r="N1476">
        <v>3</v>
      </c>
      <c r="O1476">
        <v>292.02</v>
      </c>
      <c r="P1476">
        <v>3175.64</v>
      </c>
      <c r="Q1476" s="5">
        <f t="shared" si="184"/>
        <v>0.90184049079754602</v>
      </c>
      <c r="R1476" s="5">
        <f t="shared" si="185"/>
        <v>7.2886297376093298E-2</v>
      </c>
      <c r="S1476" s="5">
        <f t="shared" si="186"/>
        <v>0.49333333333333335</v>
      </c>
      <c r="T1476" s="5">
        <f t="shared" si="187"/>
        <v>4.0540540540540543E-2</v>
      </c>
      <c r="U1476" s="5">
        <f t="shared" si="188"/>
        <v>1.4577259475218659E-3</v>
      </c>
      <c r="V1476" s="6">
        <f t="shared" si="189"/>
        <v>3.9462162162162158</v>
      </c>
      <c r="W1476" s="7">
        <f t="shared" si="190"/>
        <v>1.9467999999999999</v>
      </c>
      <c r="X1476" s="5">
        <f t="shared" si="191"/>
        <v>9.8747346072186843</v>
      </c>
    </row>
    <row r="1477" spans="1:24" x14ac:dyDescent="0.35">
      <c r="A1477" s="3">
        <v>46261</v>
      </c>
      <c r="B1477" t="s">
        <v>1872</v>
      </c>
      <c r="C1477" t="s">
        <v>2076</v>
      </c>
      <c r="D1477" t="s">
        <v>34</v>
      </c>
      <c r="E1477" t="s">
        <v>19</v>
      </c>
      <c r="F1477" t="s">
        <v>20</v>
      </c>
      <c r="G1477" t="s">
        <v>27</v>
      </c>
      <c r="H1477" t="s">
        <v>48</v>
      </c>
      <c r="I1477">
        <v>2580</v>
      </c>
      <c r="J1477">
        <v>2111</v>
      </c>
      <c r="K1477">
        <v>1998</v>
      </c>
      <c r="L1477">
        <v>10</v>
      </c>
      <c r="M1477">
        <v>5</v>
      </c>
      <c r="N1477">
        <v>0</v>
      </c>
      <c r="O1477">
        <v>144.47</v>
      </c>
      <c r="P1477">
        <v>0</v>
      </c>
      <c r="Q1477" s="5">
        <f t="shared" si="184"/>
        <v>0.94647086688773097</v>
      </c>
      <c r="R1477" s="5">
        <f t="shared" si="185"/>
        <v>5.005005005005005E-3</v>
      </c>
      <c r="S1477" s="5">
        <f t="shared" si="186"/>
        <v>0.5</v>
      </c>
      <c r="T1477" s="5">
        <f t="shared" si="187"/>
        <v>0</v>
      </c>
      <c r="U1477" s="5">
        <f t="shared" si="188"/>
        <v>0</v>
      </c>
      <c r="V1477" s="6">
        <f t="shared" si="189"/>
        <v>28.893999999999998</v>
      </c>
      <c r="W1477" s="7">
        <f t="shared" si="190"/>
        <v>14.446999999999999</v>
      </c>
      <c r="X1477" s="5">
        <f t="shared" si="191"/>
        <v>-1</v>
      </c>
    </row>
    <row r="1478" spans="1:24" x14ac:dyDescent="0.35">
      <c r="A1478" s="3">
        <v>46261</v>
      </c>
      <c r="B1478" t="s">
        <v>1939</v>
      </c>
      <c r="C1478" t="s">
        <v>2077</v>
      </c>
      <c r="D1478" t="s">
        <v>31</v>
      </c>
      <c r="E1478" t="s">
        <v>35</v>
      </c>
      <c r="F1478" t="s">
        <v>20</v>
      </c>
      <c r="G1478" t="s">
        <v>59</v>
      </c>
      <c r="H1478" t="s">
        <v>51</v>
      </c>
      <c r="I1478">
        <v>3799</v>
      </c>
      <c r="J1478">
        <v>3746</v>
      </c>
      <c r="K1478">
        <v>3485</v>
      </c>
      <c r="L1478">
        <v>188</v>
      </c>
      <c r="M1478">
        <v>73</v>
      </c>
      <c r="N1478">
        <v>5</v>
      </c>
      <c r="O1478">
        <v>588.29999999999995</v>
      </c>
      <c r="P1478">
        <v>6519.64</v>
      </c>
      <c r="Q1478" s="5">
        <f t="shared" si="184"/>
        <v>0.93032568072610788</v>
      </c>
      <c r="R1478" s="5">
        <f t="shared" si="185"/>
        <v>5.3945480631276903E-2</v>
      </c>
      <c r="S1478" s="5">
        <f t="shared" si="186"/>
        <v>0.38829787234042551</v>
      </c>
      <c r="T1478" s="5">
        <f t="shared" si="187"/>
        <v>6.8493150684931503E-2</v>
      </c>
      <c r="U1478" s="5">
        <f t="shared" si="188"/>
        <v>1.4347202295552368E-3</v>
      </c>
      <c r="V1478" s="6">
        <f t="shared" si="189"/>
        <v>8.0589041095890401</v>
      </c>
      <c r="W1478" s="7">
        <f t="shared" si="190"/>
        <v>3.1292553191489358</v>
      </c>
      <c r="X1478" s="5">
        <f t="shared" si="191"/>
        <v>10.082168961414245</v>
      </c>
    </row>
    <row r="1479" spans="1:24" x14ac:dyDescent="0.35">
      <c r="A1479" s="3">
        <v>46261</v>
      </c>
      <c r="B1479" t="s">
        <v>1916</v>
      </c>
      <c r="C1479" t="s">
        <v>2078</v>
      </c>
      <c r="D1479" t="s">
        <v>34</v>
      </c>
      <c r="E1479" t="s">
        <v>56</v>
      </c>
      <c r="F1479" t="s">
        <v>20</v>
      </c>
      <c r="G1479" t="s">
        <v>27</v>
      </c>
      <c r="H1479" t="s">
        <v>37</v>
      </c>
      <c r="I1479">
        <v>3703</v>
      </c>
      <c r="J1479">
        <v>2902</v>
      </c>
      <c r="K1479">
        <v>2715</v>
      </c>
      <c r="L1479">
        <v>150</v>
      </c>
      <c r="M1479">
        <v>76</v>
      </c>
      <c r="N1479">
        <v>3</v>
      </c>
      <c r="O1479">
        <v>222.09</v>
      </c>
      <c r="P1479">
        <v>2077.12</v>
      </c>
      <c r="Q1479" s="5">
        <f t="shared" si="184"/>
        <v>0.9355616815988973</v>
      </c>
      <c r="R1479" s="5">
        <f t="shared" si="185"/>
        <v>5.5248618784530384E-2</v>
      </c>
      <c r="S1479" s="5">
        <f t="shared" si="186"/>
        <v>0.50666666666666671</v>
      </c>
      <c r="T1479" s="5">
        <f t="shared" si="187"/>
        <v>3.9473684210526314E-2</v>
      </c>
      <c r="U1479" s="5">
        <f t="shared" si="188"/>
        <v>1.1049723756906078E-3</v>
      </c>
      <c r="V1479" s="6">
        <f t="shared" si="189"/>
        <v>2.9222368421052631</v>
      </c>
      <c r="W1479" s="7">
        <f t="shared" si="190"/>
        <v>1.4805999999999999</v>
      </c>
      <c r="X1479" s="5">
        <f t="shared" si="191"/>
        <v>8.3526047998559143</v>
      </c>
    </row>
    <row r="1480" spans="1:24" x14ac:dyDescent="0.35">
      <c r="A1480" s="3">
        <v>46261</v>
      </c>
      <c r="B1480" t="s">
        <v>1995</v>
      </c>
      <c r="C1480" t="s">
        <v>2079</v>
      </c>
      <c r="D1480" t="s">
        <v>18</v>
      </c>
      <c r="E1480" t="s">
        <v>19</v>
      </c>
      <c r="F1480" t="s">
        <v>26</v>
      </c>
      <c r="G1480" t="s">
        <v>27</v>
      </c>
      <c r="H1480" t="s">
        <v>51</v>
      </c>
      <c r="I1480">
        <v>4187</v>
      </c>
      <c r="J1480">
        <v>3975</v>
      </c>
      <c r="K1480">
        <v>3679</v>
      </c>
      <c r="L1480">
        <v>172</v>
      </c>
      <c r="M1480">
        <v>114</v>
      </c>
      <c r="N1480">
        <v>3</v>
      </c>
      <c r="O1480">
        <v>524.64</v>
      </c>
      <c r="P1480">
        <v>1937.21</v>
      </c>
      <c r="Q1480" s="5">
        <f t="shared" si="184"/>
        <v>0.9255345911949685</v>
      </c>
      <c r="R1480" s="5">
        <f t="shared" si="185"/>
        <v>4.6751834737700462E-2</v>
      </c>
      <c r="S1480" s="5">
        <f t="shared" si="186"/>
        <v>0.66279069767441856</v>
      </c>
      <c r="T1480" s="5">
        <f t="shared" si="187"/>
        <v>2.6315789473684209E-2</v>
      </c>
      <c r="U1480" s="5">
        <f t="shared" si="188"/>
        <v>8.1543897798314763E-4</v>
      </c>
      <c r="V1480" s="6">
        <f t="shared" si="189"/>
        <v>4.6021052631578945</v>
      </c>
      <c r="W1480" s="7">
        <f t="shared" si="190"/>
        <v>3.0502325581395349</v>
      </c>
      <c r="X1480" s="5">
        <f t="shared" si="191"/>
        <v>2.6924557792009765</v>
      </c>
    </row>
    <row r="1481" spans="1:24" x14ac:dyDescent="0.35">
      <c r="A1481" s="3">
        <v>46261</v>
      </c>
      <c r="B1481" t="s">
        <v>1861</v>
      </c>
      <c r="C1481" t="s">
        <v>2080</v>
      </c>
      <c r="D1481" t="s">
        <v>40</v>
      </c>
      <c r="E1481" t="s">
        <v>25</v>
      </c>
      <c r="F1481" t="s">
        <v>26</v>
      </c>
      <c r="G1481" t="s">
        <v>59</v>
      </c>
      <c r="H1481" t="s">
        <v>37</v>
      </c>
      <c r="I1481">
        <v>1962</v>
      </c>
      <c r="J1481">
        <v>1506</v>
      </c>
      <c r="K1481">
        <v>1400</v>
      </c>
      <c r="L1481">
        <v>66</v>
      </c>
      <c r="M1481">
        <v>43</v>
      </c>
      <c r="N1481">
        <v>1</v>
      </c>
      <c r="O1481">
        <v>258.39999999999998</v>
      </c>
      <c r="P1481">
        <v>1013.37</v>
      </c>
      <c r="Q1481" s="5">
        <f t="shared" si="184"/>
        <v>0.92961487383798136</v>
      </c>
      <c r="R1481" s="5">
        <f t="shared" si="185"/>
        <v>4.7142857142857146E-2</v>
      </c>
      <c r="S1481" s="5">
        <f t="shared" si="186"/>
        <v>0.65151515151515149</v>
      </c>
      <c r="T1481" s="5">
        <f t="shared" si="187"/>
        <v>2.3255813953488372E-2</v>
      </c>
      <c r="U1481" s="5">
        <f t="shared" si="188"/>
        <v>7.1428571428571429E-4</v>
      </c>
      <c r="V1481" s="6">
        <f t="shared" si="189"/>
        <v>6.0093023255813947</v>
      </c>
      <c r="W1481" s="7">
        <f t="shared" si="190"/>
        <v>3.9151515151515146</v>
      </c>
      <c r="X1481" s="5">
        <f t="shared" si="191"/>
        <v>2.9217105263157896</v>
      </c>
    </row>
    <row r="1482" spans="1:24" x14ac:dyDescent="0.35">
      <c r="A1482" s="3">
        <v>46261</v>
      </c>
      <c r="B1482" t="s">
        <v>1842</v>
      </c>
      <c r="C1482" t="s">
        <v>2081</v>
      </c>
      <c r="D1482" t="s">
        <v>34</v>
      </c>
      <c r="E1482" t="s">
        <v>56</v>
      </c>
      <c r="F1482" t="s">
        <v>20</v>
      </c>
      <c r="G1482" t="s">
        <v>36</v>
      </c>
      <c r="H1482" t="s">
        <v>28</v>
      </c>
      <c r="I1482">
        <v>2623</v>
      </c>
      <c r="J1482">
        <v>2416</v>
      </c>
      <c r="K1482">
        <v>2256</v>
      </c>
      <c r="L1482">
        <v>96</v>
      </c>
      <c r="M1482">
        <v>37</v>
      </c>
      <c r="N1482">
        <v>2</v>
      </c>
      <c r="O1482">
        <v>194.73</v>
      </c>
      <c r="P1482">
        <v>1551.46</v>
      </c>
      <c r="Q1482" s="5">
        <f t="shared" si="184"/>
        <v>0.93377483443708609</v>
      </c>
      <c r="R1482" s="5">
        <f t="shared" si="185"/>
        <v>4.2553191489361701E-2</v>
      </c>
      <c r="S1482" s="5">
        <f t="shared" si="186"/>
        <v>0.38541666666666669</v>
      </c>
      <c r="T1482" s="5">
        <f t="shared" si="187"/>
        <v>5.4054054054054057E-2</v>
      </c>
      <c r="U1482" s="5">
        <f t="shared" si="188"/>
        <v>8.8652482269503544E-4</v>
      </c>
      <c r="V1482" s="6">
        <f t="shared" si="189"/>
        <v>5.2629729729729728</v>
      </c>
      <c r="W1482" s="7">
        <f t="shared" si="190"/>
        <v>2.0284374999999999</v>
      </c>
      <c r="X1482" s="5">
        <f t="shared" si="191"/>
        <v>6.967236686694398</v>
      </c>
    </row>
    <row r="1483" spans="1:24" x14ac:dyDescent="0.35">
      <c r="A1483" s="3">
        <v>46261</v>
      </c>
      <c r="B1483" t="s">
        <v>1866</v>
      </c>
      <c r="C1483" t="s">
        <v>2082</v>
      </c>
      <c r="D1483" t="s">
        <v>40</v>
      </c>
      <c r="E1483" t="s">
        <v>25</v>
      </c>
      <c r="F1483" t="s">
        <v>20</v>
      </c>
      <c r="G1483" t="s">
        <v>41</v>
      </c>
      <c r="H1483" t="s">
        <v>28</v>
      </c>
      <c r="I1483">
        <v>1716</v>
      </c>
      <c r="J1483">
        <v>1683</v>
      </c>
      <c r="K1483">
        <v>1577</v>
      </c>
      <c r="L1483">
        <v>72</v>
      </c>
      <c r="M1483">
        <v>35</v>
      </c>
      <c r="N1483">
        <v>1</v>
      </c>
      <c r="O1483">
        <v>224.79</v>
      </c>
      <c r="P1483">
        <v>1324.1</v>
      </c>
      <c r="Q1483" s="5">
        <f t="shared" si="184"/>
        <v>0.93701723113487823</v>
      </c>
      <c r="R1483" s="5">
        <f t="shared" si="185"/>
        <v>4.5656309448319596E-2</v>
      </c>
      <c r="S1483" s="5">
        <f t="shared" si="186"/>
        <v>0.4861111111111111</v>
      </c>
      <c r="T1483" s="5">
        <f t="shared" si="187"/>
        <v>2.8571428571428571E-2</v>
      </c>
      <c r="U1483" s="5">
        <f t="shared" si="188"/>
        <v>6.3411540900443881E-4</v>
      </c>
      <c r="V1483" s="6">
        <f t="shared" si="189"/>
        <v>6.4225714285714286</v>
      </c>
      <c r="W1483" s="7">
        <f t="shared" si="190"/>
        <v>3.1220833333333333</v>
      </c>
      <c r="X1483" s="5">
        <f t="shared" si="191"/>
        <v>4.8903865830330533</v>
      </c>
    </row>
    <row r="1484" spans="1:24" x14ac:dyDescent="0.35">
      <c r="A1484" s="3">
        <v>46262</v>
      </c>
      <c r="B1484" t="s">
        <v>1847</v>
      </c>
      <c r="C1484" t="s">
        <v>2083</v>
      </c>
      <c r="D1484" t="s">
        <v>18</v>
      </c>
      <c r="E1484" t="s">
        <v>19</v>
      </c>
      <c r="F1484" t="s">
        <v>26</v>
      </c>
      <c r="G1484" t="s">
        <v>41</v>
      </c>
      <c r="H1484" t="s">
        <v>48</v>
      </c>
      <c r="I1484">
        <v>2626</v>
      </c>
      <c r="J1484">
        <v>2225</v>
      </c>
      <c r="K1484">
        <v>2022</v>
      </c>
      <c r="L1484">
        <v>47</v>
      </c>
      <c r="M1484">
        <v>32</v>
      </c>
      <c r="N1484">
        <v>1</v>
      </c>
      <c r="O1484">
        <v>292.25</v>
      </c>
      <c r="P1484">
        <v>1144.04</v>
      </c>
      <c r="Q1484" s="5">
        <f t="shared" si="184"/>
        <v>0.90876404494382024</v>
      </c>
      <c r="R1484" s="5">
        <f t="shared" si="185"/>
        <v>2.3244312561819979E-2</v>
      </c>
      <c r="S1484" s="5">
        <f t="shared" si="186"/>
        <v>0.68085106382978722</v>
      </c>
      <c r="T1484" s="5">
        <f t="shared" si="187"/>
        <v>3.125E-2</v>
      </c>
      <c r="U1484" s="5">
        <f t="shared" si="188"/>
        <v>4.9455984174085062E-4</v>
      </c>
      <c r="V1484" s="6">
        <f t="shared" si="189"/>
        <v>9.1328125</v>
      </c>
      <c r="W1484" s="7">
        <f t="shared" si="190"/>
        <v>6.2180851063829783</v>
      </c>
      <c r="X1484" s="5">
        <f t="shared" si="191"/>
        <v>2.9145936698032506</v>
      </c>
    </row>
    <row r="1485" spans="1:24" x14ac:dyDescent="0.35">
      <c r="A1485" s="3">
        <v>46262</v>
      </c>
      <c r="B1485" t="s">
        <v>1847</v>
      </c>
      <c r="C1485" t="s">
        <v>2084</v>
      </c>
      <c r="D1485" t="s">
        <v>40</v>
      </c>
      <c r="E1485" t="s">
        <v>25</v>
      </c>
      <c r="F1485" t="s">
        <v>20</v>
      </c>
      <c r="G1485" t="s">
        <v>59</v>
      </c>
      <c r="H1485" t="s">
        <v>28</v>
      </c>
      <c r="I1485">
        <v>4348</v>
      </c>
      <c r="J1485">
        <v>3515</v>
      </c>
      <c r="K1485">
        <v>3293</v>
      </c>
      <c r="L1485">
        <v>86</v>
      </c>
      <c r="M1485">
        <v>41</v>
      </c>
      <c r="N1485">
        <v>1</v>
      </c>
      <c r="O1485">
        <v>577.91999999999996</v>
      </c>
      <c r="P1485">
        <v>933.97</v>
      </c>
      <c r="Q1485" s="5">
        <f t="shared" si="184"/>
        <v>0.93684210526315792</v>
      </c>
      <c r="R1485" s="5">
        <f t="shared" si="185"/>
        <v>2.6116003644093531E-2</v>
      </c>
      <c r="S1485" s="5">
        <f t="shared" si="186"/>
        <v>0.47674418604651164</v>
      </c>
      <c r="T1485" s="5">
        <f t="shared" si="187"/>
        <v>2.4390243902439025E-2</v>
      </c>
      <c r="U1485" s="5">
        <f t="shared" si="188"/>
        <v>3.0367446097783179E-4</v>
      </c>
      <c r="V1485" s="6">
        <f t="shared" si="189"/>
        <v>14.095609756097559</v>
      </c>
      <c r="W1485" s="7">
        <f t="shared" si="190"/>
        <v>6.72</v>
      </c>
      <c r="X1485" s="5">
        <f t="shared" si="191"/>
        <v>0.61608873200442982</v>
      </c>
    </row>
    <row r="1486" spans="1:24" x14ac:dyDescent="0.35">
      <c r="A1486" s="3">
        <v>46262</v>
      </c>
      <c r="B1486" t="s">
        <v>1934</v>
      </c>
      <c r="C1486" t="s">
        <v>2085</v>
      </c>
      <c r="D1486" t="s">
        <v>34</v>
      </c>
      <c r="E1486" t="s">
        <v>19</v>
      </c>
      <c r="F1486" t="s">
        <v>26</v>
      </c>
      <c r="G1486" t="s">
        <v>59</v>
      </c>
      <c r="H1486" t="s">
        <v>48</v>
      </c>
      <c r="I1486">
        <v>3544</v>
      </c>
      <c r="J1486">
        <v>2931</v>
      </c>
      <c r="K1486">
        <v>2798</v>
      </c>
      <c r="L1486">
        <v>41</v>
      </c>
      <c r="M1486">
        <v>24</v>
      </c>
      <c r="N1486">
        <v>1</v>
      </c>
      <c r="O1486">
        <v>241.29</v>
      </c>
      <c r="P1486">
        <v>738.59</v>
      </c>
      <c r="Q1486" s="5">
        <f t="shared" si="184"/>
        <v>0.95462299556465369</v>
      </c>
      <c r="R1486" s="5">
        <f t="shared" si="185"/>
        <v>1.4653323802716226E-2</v>
      </c>
      <c r="S1486" s="5">
        <f t="shared" si="186"/>
        <v>0.58536585365853655</v>
      </c>
      <c r="T1486" s="5">
        <f t="shared" si="187"/>
        <v>4.1666666666666664E-2</v>
      </c>
      <c r="U1486" s="5">
        <f t="shared" si="188"/>
        <v>3.5739814152966406E-4</v>
      </c>
      <c r="V1486" s="6">
        <f t="shared" si="189"/>
        <v>10.053749999999999</v>
      </c>
      <c r="W1486" s="7">
        <f t="shared" si="190"/>
        <v>5.8851219512195119</v>
      </c>
      <c r="X1486" s="5">
        <f t="shared" si="191"/>
        <v>2.0610054291516438</v>
      </c>
    </row>
    <row r="1487" spans="1:24" x14ac:dyDescent="0.35">
      <c r="A1487" s="3">
        <v>46262</v>
      </c>
      <c r="B1487" t="s">
        <v>1981</v>
      </c>
      <c r="C1487" t="s">
        <v>2086</v>
      </c>
      <c r="D1487" t="s">
        <v>18</v>
      </c>
      <c r="E1487" t="s">
        <v>25</v>
      </c>
      <c r="F1487" t="s">
        <v>20</v>
      </c>
      <c r="G1487" t="s">
        <v>41</v>
      </c>
      <c r="H1487" t="s">
        <v>48</v>
      </c>
      <c r="I1487">
        <v>3730</v>
      </c>
      <c r="J1487">
        <v>3215</v>
      </c>
      <c r="K1487">
        <v>2961</v>
      </c>
      <c r="L1487">
        <v>140</v>
      </c>
      <c r="M1487">
        <v>72</v>
      </c>
      <c r="N1487">
        <v>2</v>
      </c>
      <c r="O1487">
        <v>458.79</v>
      </c>
      <c r="P1487">
        <v>1550.83</v>
      </c>
      <c r="Q1487" s="5">
        <f t="shared" si="184"/>
        <v>0.92099533437013992</v>
      </c>
      <c r="R1487" s="5">
        <f t="shared" si="185"/>
        <v>4.7281323877068557E-2</v>
      </c>
      <c r="S1487" s="5">
        <f t="shared" si="186"/>
        <v>0.51428571428571423</v>
      </c>
      <c r="T1487" s="5">
        <f t="shared" si="187"/>
        <v>2.7777777777777776E-2</v>
      </c>
      <c r="U1487" s="5">
        <f t="shared" si="188"/>
        <v>6.754474839581223E-4</v>
      </c>
      <c r="V1487" s="6">
        <f t="shared" si="189"/>
        <v>6.3720833333333333</v>
      </c>
      <c r="W1487" s="7">
        <f t="shared" si="190"/>
        <v>3.2770714285714289</v>
      </c>
      <c r="X1487" s="5">
        <f t="shared" si="191"/>
        <v>2.3802611216460687</v>
      </c>
    </row>
    <row r="1488" spans="1:24" x14ac:dyDescent="0.35">
      <c r="A1488" s="3">
        <v>46262</v>
      </c>
      <c r="B1488" t="s">
        <v>1965</v>
      </c>
      <c r="C1488" t="s">
        <v>2087</v>
      </c>
      <c r="D1488" t="s">
        <v>18</v>
      </c>
      <c r="E1488" t="s">
        <v>25</v>
      </c>
      <c r="F1488" t="s">
        <v>26</v>
      </c>
      <c r="G1488" t="s">
        <v>41</v>
      </c>
      <c r="H1488" t="s">
        <v>48</v>
      </c>
      <c r="I1488">
        <v>1202</v>
      </c>
      <c r="J1488">
        <v>1137</v>
      </c>
      <c r="K1488">
        <v>1067</v>
      </c>
      <c r="L1488">
        <v>41</v>
      </c>
      <c r="M1488">
        <v>28</v>
      </c>
      <c r="N1488">
        <v>1</v>
      </c>
      <c r="O1488">
        <v>119.63</v>
      </c>
      <c r="P1488">
        <v>1455.96</v>
      </c>
      <c r="Q1488" s="5">
        <f t="shared" si="184"/>
        <v>0.93843447669305191</v>
      </c>
      <c r="R1488" s="5">
        <f t="shared" si="185"/>
        <v>3.8425492033739454E-2</v>
      </c>
      <c r="S1488" s="5">
        <f t="shared" si="186"/>
        <v>0.68292682926829273</v>
      </c>
      <c r="T1488" s="5">
        <f t="shared" si="187"/>
        <v>3.5714285714285712E-2</v>
      </c>
      <c r="U1488" s="5">
        <f t="shared" si="188"/>
        <v>9.372071227741331E-4</v>
      </c>
      <c r="V1488" s="6">
        <f t="shared" si="189"/>
        <v>4.2725</v>
      </c>
      <c r="W1488" s="7">
        <f t="shared" si="190"/>
        <v>2.9178048780487802</v>
      </c>
      <c r="X1488" s="5">
        <f t="shared" si="191"/>
        <v>11.170525787845857</v>
      </c>
    </row>
    <row r="1489" spans="1:24" x14ac:dyDescent="0.35">
      <c r="A1489" s="3">
        <v>46263</v>
      </c>
      <c r="B1489" t="s">
        <v>1924</v>
      </c>
      <c r="C1489" t="s">
        <v>2088</v>
      </c>
      <c r="D1489" t="s">
        <v>18</v>
      </c>
      <c r="E1489" t="s">
        <v>56</v>
      </c>
      <c r="F1489" t="s">
        <v>20</v>
      </c>
      <c r="G1489" t="s">
        <v>41</v>
      </c>
      <c r="H1489" t="s">
        <v>22</v>
      </c>
      <c r="I1489">
        <v>4908</v>
      </c>
      <c r="J1489">
        <v>4597</v>
      </c>
      <c r="K1489">
        <v>4137</v>
      </c>
      <c r="L1489">
        <v>259</v>
      </c>
      <c r="M1489">
        <v>135</v>
      </c>
      <c r="N1489">
        <v>5</v>
      </c>
      <c r="O1489">
        <v>611.98</v>
      </c>
      <c r="P1489">
        <v>4526.5600000000004</v>
      </c>
      <c r="Q1489" s="5">
        <f t="shared" si="184"/>
        <v>0.89993474004785734</v>
      </c>
      <c r="R1489" s="5">
        <f t="shared" si="185"/>
        <v>6.2605752961082908E-2</v>
      </c>
      <c r="S1489" s="5">
        <f t="shared" si="186"/>
        <v>0.52123552123552119</v>
      </c>
      <c r="T1489" s="5">
        <f t="shared" si="187"/>
        <v>3.7037037037037035E-2</v>
      </c>
      <c r="U1489" s="5">
        <f t="shared" si="188"/>
        <v>1.208605269518975E-3</v>
      </c>
      <c r="V1489" s="6">
        <f t="shared" si="189"/>
        <v>4.533185185185185</v>
      </c>
      <c r="W1489" s="7">
        <f t="shared" si="190"/>
        <v>2.362857142857143</v>
      </c>
      <c r="X1489" s="5">
        <f t="shared" si="191"/>
        <v>6.396581587633583</v>
      </c>
    </row>
    <row r="1490" spans="1:24" x14ac:dyDescent="0.35">
      <c r="A1490" s="3">
        <v>46263</v>
      </c>
      <c r="B1490" t="s">
        <v>2038</v>
      </c>
      <c r="C1490" t="s">
        <v>2089</v>
      </c>
      <c r="D1490" t="s">
        <v>31</v>
      </c>
      <c r="E1490" t="s">
        <v>35</v>
      </c>
      <c r="F1490" t="s">
        <v>20</v>
      </c>
      <c r="G1490" t="s">
        <v>59</v>
      </c>
      <c r="H1490" t="s">
        <v>22</v>
      </c>
      <c r="I1490">
        <v>4949</v>
      </c>
      <c r="J1490">
        <v>4531</v>
      </c>
      <c r="K1490">
        <v>4275</v>
      </c>
      <c r="L1490">
        <v>195</v>
      </c>
      <c r="M1490">
        <v>89</v>
      </c>
      <c r="N1490">
        <v>4</v>
      </c>
      <c r="O1490">
        <v>963.87</v>
      </c>
      <c r="P1490">
        <v>3158.4</v>
      </c>
      <c r="Q1490" s="5">
        <f t="shared" si="184"/>
        <v>0.94350033105274778</v>
      </c>
      <c r="R1490" s="5">
        <f t="shared" si="185"/>
        <v>4.5614035087719301E-2</v>
      </c>
      <c r="S1490" s="5">
        <f t="shared" si="186"/>
        <v>0.4564102564102564</v>
      </c>
      <c r="T1490" s="5">
        <f t="shared" si="187"/>
        <v>4.49438202247191E-2</v>
      </c>
      <c r="U1490" s="5">
        <f t="shared" si="188"/>
        <v>9.3567251461988308E-4</v>
      </c>
      <c r="V1490" s="6">
        <f t="shared" si="189"/>
        <v>10.83</v>
      </c>
      <c r="W1490" s="7">
        <f t="shared" si="190"/>
        <v>4.9429230769230772</v>
      </c>
      <c r="X1490" s="5">
        <f t="shared" si="191"/>
        <v>2.2767904385446172</v>
      </c>
    </row>
    <row r="1491" spans="1:24" x14ac:dyDescent="0.35">
      <c r="A1491" s="3">
        <v>46263</v>
      </c>
      <c r="B1491" t="s">
        <v>1884</v>
      </c>
      <c r="C1491" t="s">
        <v>2090</v>
      </c>
      <c r="D1491" t="s">
        <v>34</v>
      </c>
      <c r="E1491" t="s">
        <v>35</v>
      </c>
      <c r="F1491" t="s">
        <v>20</v>
      </c>
      <c r="G1491" t="s">
        <v>27</v>
      </c>
      <c r="H1491" t="s">
        <v>51</v>
      </c>
      <c r="I1491">
        <v>806</v>
      </c>
      <c r="J1491">
        <v>700</v>
      </c>
      <c r="K1491">
        <v>658</v>
      </c>
      <c r="L1491">
        <v>42</v>
      </c>
      <c r="M1491">
        <v>16</v>
      </c>
      <c r="N1491">
        <v>1</v>
      </c>
      <c r="O1491">
        <v>60.47</v>
      </c>
      <c r="P1491">
        <v>1598.15</v>
      </c>
      <c r="Q1491" s="5">
        <f t="shared" si="184"/>
        <v>0.94</v>
      </c>
      <c r="R1491" s="5">
        <f t="shared" si="185"/>
        <v>6.3829787234042548E-2</v>
      </c>
      <c r="S1491" s="5">
        <f t="shared" si="186"/>
        <v>0.38095238095238093</v>
      </c>
      <c r="T1491" s="5">
        <f t="shared" si="187"/>
        <v>6.25E-2</v>
      </c>
      <c r="U1491" s="5">
        <f t="shared" si="188"/>
        <v>1.5197568389057751E-3</v>
      </c>
      <c r="V1491" s="6">
        <f t="shared" si="189"/>
        <v>3.7793749999999999</v>
      </c>
      <c r="W1491" s="7">
        <f t="shared" si="190"/>
        <v>1.4397619047619048</v>
      </c>
      <c r="X1491" s="5">
        <f t="shared" si="191"/>
        <v>25.428807673226395</v>
      </c>
    </row>
    <row r="1492" spans="1:24" x14ac:dyDescent="0.35">
      <c r="A1492" s="3">
        <v>46263</v>
      </c>
      <c r="B1492" t="s">
        <v>2071</v>
      </c>
      <c r="C1492" t="s">
        <v>2091</v>
      </c>
      <c r="D1492" t="s">
        <v>18</v>
      </c>
      <c r="E1492" t="s">
        <v>35</v>
      </c>
      <c r="F1492" t="s">
        <v>20</v>
      </c>
      <c r="G1492" t="s">
        <v>27</v>
      </c>
      <c r="H1492" t="s">
        <v>28</v>
      </c>
      <c r="I1492">
        <v>3389</v>
      </c>
      <c r="J1492">
        <v>2915</v>
      </c>
      <c r="K1492">
        <v>2680</v>
      </c>
      <c r="L1492">
        <v>209</v>
      </c>
      <c r="M1492">
        <v>106</v>
      </c>
      <c r="N1492">
        <v>6</v>
      </c>
      <c r="O1492">
        <v>327.45999999999998</v>
      </c>
      <c r="P1492">
        <v>6930.71</v>
      </c>
      <c r="Q1492" s="5">
        <f t="shared" si="184"/>
        <v>0.9193825042881647</v>
      </c>
      <c r="R1492" s="5">
        <f t="shared" si="185"/>
        <v>7.7985074626865672E-2</v>
      </c>
      <c r="S1492" s="5">
        <f t="shared" si="186"/>
        <v>0.50717703349282295</v>
      </c>
      <c r="T1492" s="5">
        <f t="shared" si="187"/>
        <v>5.6603773584905662E-2</v>
      </c>
      <c r="U1492" s="5">
        <f t="shared" si="188"/>
        <v>2.2388059701492539E-3</v>
      </c>
      <c r="V1492" s="6">
        <f t="shared" si="189"/>
        <v>3.0892452830188679</v>
      </c>
      <c r="W1492" s="7">
        <f t="shared" si="190"/>
        <v>1.5667942583732057</v>
      </c>
      <c r="X1492" s="5">
        <f t="shared" si="191"/>
        <v>20.165058327734688</v>
      </c>
    </row>
    <row r="1493" spans="1:24" x14ac:dyDescent="0.35">
      <c r="A1493" s="3">
        <v>46264</v>
      </c>
      <c r="B1493" t="s">
        <v>1901</v>
      </c>
      <c r="C1493" t="s">
        <v>2092</v>
      </c>
      <c r="D1493" t="s">
        <v>34</v>
      </c>
      <c r="E1493" t="s">
        <v>19</v>
      </c>
      <c r="F1493" t="s">
        <v>20</v>
      </c>
      <c r="G1493" t="s">
        <v>59</v>
      </c>
      <c r="H1493" t="s">
        <v>28</v>
      </c>
      <c r="I1493">
        <v>855</v>
      </c>
      <c r="J1493">
        <v>696</v>
      </c>
      <c r="K1493">
        <v>651</v>
      </c>
      <c r="L1493">
        <v>5</v>
      </c>
      <c r="M1493">
        <v>2</v>
      </c>
      <c r="N1493">
        <v>0</v>
      </c>
      <c r="O1493">
        <v>60.3</v>
      </c>
      <c r="P1493">
        <v>0</v>
      </c>
      <c r="Q1493" s="5">
        <f t="shared" si="184"/>
        <v>0.93534482758620685</v>
      </c>
      <c r="R1493" s="5">
        <f t="shared" si="185"/>
        <v>7.6804915514592934E-3</v>
      </c>
      <c r="S1493" s="5">
        <f t="shared" si="186"/>
        <v>0.4</v>
      </c>
      <c r="T1493" s="5">
        <f t="shared" si="187"/>
        <v>0</v>
      </c>
      <c r="U1493" s="5">
        <f t="shared" si="188"/>
        <v>0</v>
      </c>
      <c r="V1493" s="6">
        <f t="shared" si="189"/>
        <v>30.15</v>
      </c>
      <c r="W1493" s="7">
        <f t="shared" si="190"/>
        <v>12.059999999999999</v>
      </c>
      <c r="X1493" s="5">
        <f t="shared" si="191"/>
        <v>-1</v>
      </c>
    </row>
    <row r="1494" spans="1:24" x14ac:dyDescent="0.35">
      <c r="A1494" s="3">
        <v>46264</v>
      </c>
      <c r="B1494" t="s">
        <v>1924</v>
      </c>
      <c r="C1494" t="s">
        <v>2093</v>
      </c>
      <c r="D1494" t="s">
        <v>18</v>
      </c>
      <c r="E1494" t="s">
        <v>19</v>
      </c>
      <c r="F1494" t="s">
        <v>20</v>
      </c>
      <c r="G1494" t="s">
        <v>36</v>
      </c>
      <c r="H1494" t="s">
        <v>22</v>
      </c>
      <c r="I1494">
        <v>542</v>
      </c>
      <c r="J1494">
        <v>528</v>
      </c>
      <c r="K1494">
        <v>485</v>
      </c>
      <c r="L1494">
        <v>24</v>
      </c>
      <c r="M1494">
        <v>10</v>
      </c>
      <c r="N1494">
        <v>0</v>
      </c>
      <c r="O1494">
        <v>72.47</v>
      </c>
      <c r="P1494">
        <v>0</v>
      </c>
      <c r="Q1494" s="5">
        <f t="shared" si="184"/>
        <v>0.91856060606060608</v>
      </c>
      <c r="R1494" s="5">
        <f t="shared" si="185"/>
        <v>4.9484536082474224E-2</v>
      </c>
      <c r="S1494" s="5">
        <f t="shared" si="186"/>
        <v>0.41666666666666669</v>
      </c>
      <c r="T1494" s="5">
        <f t="shared" si="187"/>
        <v>0</v>
      </c>
      <c r="U1494" s="5">
        <f t="shared" si="188"/>
        <v>0</v>
      </c>
      <c r="V1494" s="6">
        <f t="shared" si="189"/>
        <v>7.2469999999999999</v>
      </c>
      <c r="W1494" s="7">
        <f t="shared" si="190"/>
        <v>3.0195833333333333</v>
      </c>
      <c r="X1494" s="5">
        <f t="shared" si="191"/>
        <v>-1</v>
      </c>
    </row>
    <row r="1495" spans="1:24" x14ac:dyDescent="0.35">
      <c r="A1495" s="3">
        <v>46264</v>
      </c>
      <c r="B1495" t="s">
        <v>1939</v>
      </c>
      <c r="C1495" t="s">
        <v>2094</v>
      </c>
      <c r="D1495" t="s">
        <v>34</v>
      </c>
      <c r="E1495" t="s">
        <v>19</v>
      </c>
      <c r="F1495" t="s">
        <v>26</v>
      </c>
      <c r="G1495" t="s">
        <v>27</v>
      </c>
      <c r="H1495" t="s">
        <v>51</v>
      </c>
      <c r="I1495">
        <v>1152</v>
      </c>
      <c r="J1495">
        <v>1012</v>
      </c>
      <c r="K1495">
        <v>978</v>
      </c>
      <c r="L1495">
        <v>19</v>
      </c>
      <c r="M1495">
        <v>11</v>
      </c>
      <c r="N1495">
        <v>1</v>
      </c>
      <c r="O1495">
        <v>74.27</v>
      </c>
      <c r="P1495">
        <v>970.5</v>
      </c>
      <c r="Q1495" s="5">
        <f t="shared" si="184"/>
        <v>0.96640316205533594</v>
      </c>
      <c r="R1495" s="5">
        <f t="shared" si="185"/>
        <v>1.9427402862985686E-2</v>
      </c>
      <c r="S1495" s="5">
        <f t="shared" si="186"/>
        <v>0.57894736842105265</v>
      </c>
      <c r="T1495" s="5">
        <f t="shared" si="187"/>
        <v>9.0909090909090912E-2</v>
      </c>
      <c r="U1495" s="5">
        <f t="shared" si="188"/>
        <v>1.0224948875255625E-3</v>
      </c>
      <c r="V1495" s="6">
        <f t="shared" si="189"/>
        <v>6.7518181818181811</v>
      </c>
      <c r="W1495" s="7">
        <f t="shared" si="190"/>
        <v>3.9089473684210523</v>
      </c>
      <c r="X1495" s="5">
        <f t="shared" si="191"/>
        <v>12.067187289618959</v>
      </c>
    </row>
    <row r="1496" spans="1:24" x14ac:dyDescent="0.35">
      <c r="A1496" s="3">
        <v>46264</v>
      </c>
      <c r="B1496" t="s">
        <v>1953</v>
      </c>
      <c r="C1496" t="s">
        <v>2095</v>
      </c>
      <c r="D1496" t="s">
        <v>34</v>
      </c>
      <c r="E1496" t="s">
        <v>19</v>
      </c>
      <c r="F1496" t="s">
        <v>20</v>
      </c>
      <c r="G1496" t="s">
        <v>27</v>
      </c>
      <c r="H1496" t="s">
        <v>48</v>
      </c>
      <c r="I1496">
        <v>2096</v>
      </c>
      <c r="J1496">
        <v>1792</v>
      </c>
      <c r="K1496">
        <v>1683</v>
      </c>
      <c r="L1496">
        <v>47</v>
      </c>
      <c r="M1496">
        <v>22</v>
      </c>
      <c r="N1496">
        <v>0</v>
      </c>
      <c r="O1496">
        <v>159.93</v>
      </c>
      <c r="P1496">
        <v>0</v>
      </c>
      <c r="Q1496" s="5">
        <f t="shared" si="184"/>
        <v>0.9391741071428571</v>
      </c>
      <c r="R1496" s="5">
        <f t="shared" si="185"/>
        <v>2.7926322043969103E-2</v>
      </c>
      <c r="S1496" s="5">
        <f t="shared" si="186"/>
        <v>0.46808510638297873</v>
      </c>
      <c r="T1496" s="5">
        <f t="shared" si="187"/>
        <v>0</v>
      </c>
      <c r="U1496" s="5">
        <f t="shared" si="188"/>
        <v>0</v>
      </c>
      <c r="V1496" s="6">
        <f t="shared" si="189"/>
        <v>7.2695454545454545</v>
      </c>
      <c r="W1496" s="7">
        <f t="shared" si="190"/>
        <v>3.4027659574468085</v>
      </c>
      <c r="X1496" s="5">
        <f t="shared" si="191"/>
        <v>-1</v>
      </c>
    </row>
    <row r="1497" spans="1:24" x14ac:dyDescent="0.35">
      <c r="A1497" s="3">
        <v>46264</v>
      </c>
      <c r="B1497" t="s">
        <v>1880</v>
      </c>
      <c r="C1497" t="s">
        <v>2096</v>
      </c>
      <c r="D1497" t="s">
        <v>31</v>
      </c>
      <c r="E1497" t="s">
        <v>19</v>
      </c>
      <c r="F1497" t="s">
        <v>20</v>
      </c>
      <c r="G1497" t="s">
        <v>27</v>
      </c>
      <c r="H1497" t="s">
        <v>22</v>
      </c>
      <c r="I1497">
        <v>3944</v>
      </c>
      <c r="J1497">
        <v>3017</v>
      </c>
      <c r="K1497">
        <v>2908</v>
      </c>
      <c r="L1497">
        <v>9</v>
      </c>
      <c r="M1497">
        <v>4</v>
      </c>
      <c r="N1497">
        <v>0</v>
      </c>
      <c r="O1497">
        <v>496.01</v>
      </c>
      <c r="P1497">
        <v>0</v>
      </c>
      <c r="Q1497" s="5">
        <f t="shared" si="184"/>
        <v>0.96387139542591982</v>
      </c>
      <c r="R1497" s="5">
        <f t="shared" si="185"/>
        <v>3.0949105914718019E-3</v>
      </c>
      <c r="S1497" s="5">
        <f t="shared" si="186"/>
        <v>0.44444444444444442</v>
      </c>
      <c r="T1497" s="5">
        <f t="shared" si="187"/>
        <v>0</v>
      </c>
      <c r="U1497" s="5">
        <f t="shared" si="188"/>
        <v>0</v>
      </c>
      <c r="V1497" s="6">
        <f t="shared" si="189"/>
        <v>124.0025</v>
      </c>
      <c r="W1497" s="7">
        <f t="shared" si="190"/>
        <v>55.112222222222222</v>
      </c>
      <c r="X1497" s="5">
        <f t="shared" si="191"/>
        <v>-1</v>
      </c>
    </row>
    <row r="1498" spans="1:24" x14ac:dyDescent="0.35">
      <c r="A1498" s="3">
        <v>46265</v>
      </c>
      <c r="B1498" t="s">
        <v>1899</v>
      </c>
      <c r="C1498" t="s">
        <v>2097</v>
      </c>
      <c r="D1498" t="s">
        <v>40</v>
      </c>
      <c r="E1498" t="s">
        <v>19</v>
      </c>
      <c r="F1498" t="s">
        <v>20</v>
      </c>
      <c r="G1498" t="s">
        <v>21</v>
      </c>
      <c r="H1498" t="s">
        <v>51</v>
      </c>
      <c r="I1498">
        <v>3785</v>
      </c>
      <c r="J1498">
        <v>3291</v>
      </c>
      <c r="K1498">
        <v>3019</v>
      </c>
      <c r="L1498">
        <v>78</v>
      </c>
      <c r="M1498">
        <v>39</v>
      </c>
      <c r="N1498">
        <v>1</v>
      </c>
      <c r="O1498">
        <v>545.41999999999996</v>
      </c>
      <c r="P1498">
        <v>1239.56</v>
      </c>
      <c r="Q1498" s="5">
        <f t="shared" si="184"/>
        <v>0.91735034943786087</v>
      </c>
      <c r="R1498" s="5">
        <f t="shared" si="185"/>
        <v>2.5836369658827428E-2</v>
      </c>
      <c r="S1498" s="5">
        <f t="shared" si="186"/>
        <v>0.5</v>
      </c>
      <c r="T1498" s="5">
        <f t="shared" si="187"/>
        <v>2.564102564102564E-2</v>
      </c>
      <c r="U1498" s="5">
        <f t="shared" si="188"/>
        <v>3.3123550844650548E-4</v>
      </c>
      <c r="V1498" s="6">
        <f t="shared" si="189"/>
        <v>13.985128205128204</v>
      </c>
      <c r="W1498" s="7">
        <f t="shared" si="190"/>
        <v>6.9925641025641019</v>
      </c>
      <c r="X1498" s="5">
        <f t="shared" si="191"/>
        <v>1.27267060247149</v>
      </c>
    </row>
    <row r="1499" spans="1:24" x14ac:dyDescent="0.35">
      <c r="A1499" s="3">
        <v>46265</v>
      </c>
      <c r="B1499" t="s">
        <v>1853</v>
      </c>
      <c r="C1499" t="s">
        <v>2098</v>
      </c>
      <c r="D1499" t="s">
        <v>18</v>
      </c>
      <c r="E1499" t="s">
        <v>35</v>
      </c>
      <c r="F1499" t="s">
        <v>20</v>
      </c>
      <c r="G1499" t="s">
        <v>59</v>
      </c>
      <c r="H1499" t="s">
        <v>28</v>
      </c>
      <c r="I1499">
        <v>4558</v>
      </c>
      <c r="J1499">
        <v>3799</v>
      </c>
      <c r="K1499">
        <v>3462</v>
      </c>
      <c r="L1499">
        <v>242</v>
      </c>
      <c r="M1499">
        <v>123</v>
      </c>
      <c r="N1499">
        <v>8</v>
      </c>
      <c r="O1499">
        <v>477.9</v>
      </c>
      <c r="P1499">
        <v>11013.4</v>
      </c>
      <c r="Q1499" s="5">
        <f t="shared" si="184"/>
        <v>0.91129244538036325</v>
      </c>
      <c r="R1499" s="5">
        <f t="shared" si="185"/>
        <v>6.9901790872328132E-2</v>
      </c>
      <c r="S1499" s="5">
        <f t="shared" si="186"/>
        <v>0.50826446280991733</v>
      </c>
      <c r="T1499" s="5">
        <f t="shared" si="187"/>
        <v>6.5040650406504072E-2</v>
      </c>
      <c r="U1499" s="5">
        <f t="shared" si="188"/>
        <v>2.3108030040439051E-3</v>
      </c>
      <c r="V1499" s="6">
        <f t="shared" si="189"/>
        <v>3.8853658536585365</v>
      </c>
      <c r="W1499" s="7">
        <f t="shared" si="190"/>
        <v>1.9747933884297519</v>
      </c>
      <c r="X1499" s="5">
        <f t="shared" si="191"/>
        <v>22.045406988909814</v>
      </c>
    </row>
    <row r="1500" spans="1:24" x14ac:dyDescent="0.35">
      <c r="A1500" s="3">
        <v>46265</v>
      </c>
      <c r="B1500" t="s">
        <v>2013</v>
      </c>
      <c r="C1500" t="s">
        <v>2099</v>
      </c>
      <c r="D1500" t="s">
        <v>34</v>
      </c>
      <c r="E1500" t="s">
        <v>35</v>
      </c>
      <c r="F1500" t="s">
        <v>26</v>
      </c>
      <c r="G1500" t="s">
        <v>41</v>
      </c>
      <c r="H1500" t="s">
        <v>22</v>
      </c>
      <c r="I1500">
        <v>4690</v>
      </c>
      <c r="J1500">
        <v>3944</v>
      </c>
      <c r="K1500">
        <v>3764</v>
      </c>
      <c r="L1500">
        <v>401</v>
      </c>
      <c r="M1500">
        <v>225</v>
      </c>
      <c r="N1500">
        <v>24</v>
      </c>
      <c r="O1500">
        <v>320.41000000000003</v>
      </c>
      <c r="P1500">
        <v>33816.379999999997</v>
      </c>
      <c r="Q1500" s="5">
        <f t="shared" si="184"/>
        <v>0.95436105476673427</v>
      </c>
      <c r="R1500" s="5">
        <f t="shared" si="185"/>
        <v>0.1065356004250797</v>
      </c>
      <c r="S1500" s="5">
        <f t="shared" si="186"/>
        <v>0.56109725685785539</v>
      </c>
      <c r="T1500" s="5">
        <f t="shared" si="187"/>
        <v>0.10666666666666667</v>
      </c>
      <c r="U1500" s="5">
        <f t="shared" si="188"/>
        <v>6.376195536663124E-3</v>
      </c>
      <c r="V1500" s="6">
        <f t="shared" si="189"/>
        <v>1.4240444444444444</v>
      </c>
      <c r="W1500" s="7">
        <f t="shared" si="190"/>
        <v>0.7990274314214465</v>
      </c>
      <c r="X1500" s="5">
        <f t="shared" si="191"/>
        <v>104.54096314097559</v>
      </c>
    </row>
    <row r="1501" spans="1:24" x14ac:dyDescent="0.35">
      <c r="A1501" s="3">
        <v>46265</v>
      </c>
      <c r="B1501" t="s">
        <v>1965</v>
      </c>
      <c r="C1501" t="s">
        <v>2100</v>
      </c>
      <c r="D1501" t="s">
        <v>34</v>
      </c>
      <c r="E1501" t="s">
        <v>56</v>
      </c>
      <c r="F1501" t="s">
        <v>20</v>
      </c>
      <c r="G1501" t="s">
        <v>27</v>
      </c>
      <c r="H1501" t="s">
        <v>28</v>
      </c>
      <c r="I1501">
        <v>4965</v>
      </c>
      <c r="J1501">
        <v>4663</v>
      </c>
      <c r="K1501">
        <v>4366</v>
      </c>
      <c r="L1501">
        <v>248</v>
      </c>
      <c r="M1501">
        <v>106</v>
      </c>
      <c r="N1501">
        <v>6</v>
      </c>
      <c r="O1501">
        <v>386.89</v>
      </c>
      <c r="P1501">
        <v>8022.05</v>
      </c>
      <c r="Q1501" s="5">
        <f t="shared" si="184"/>
        <v>0.93630709843448423</v>
      </c>
      <c r="R1501" s="5">
        <f t="shared" si="185"/>
        <v>5.6802565277141545E-2</v>
      </c>
      <c r="S1501" s="5">
        <f t="shared" si="186"/>
        <v>0.42741935483870969</v>
      </c>
      <c r="T1501" s="5">
        <f t="shared" si="187"/>
        <v>5.6603773584905662E-2</v>
      </c>
      <c r="U1501" s="5">
        <f t="shared" si="188"/>
        <v>1.3742556115437471E-3</v>
      </c>
      <c r="V1501" s="6">
        <f t="shared" si="189"/>
        <v>3.6499056603773585</v>
      </c>
      <c r="W1501" s="7">
        <f t="shared" si="190"/>
        <v>1.5600403225806452</v>
      </c>
      <c r="X1501" s="5">
        <f t="shared" si="191"/>
        <v>19.734704954896742</v>
      </c>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1" sqref="B11"/>
    </sheetView>
  </sheetViews>
  <sheetFormatPr defaultRowHeight="14.5" x14ac:dyDescent="0.35"/>
  <cols>
    <col min="1" max="1" width="31.6328125" customWidth="1"/>
    <col min="2" max="2" width="131.81640625" customWidth="1"/>
  </cols>
  <sheetData>
    <row r="1" spans="1:2" x14ac:dyDescent="0.35">
      <c r="A1" s="1" t="s">
        <v>2101</v>
      </c>
      <c r="B1" s="1" t="s">
        <v>2102</v>
      </c>
    </row>
    <row r="2" spans="1:2" x14ac:dyDescent="0.35">
      <c r="A2" t="s">
        <v>2103</v>
      </c>
      <c r="B2" t="s">
        <v>2104</v>
      </c>
    </row>
    <row r="3" spans="1:2" x14ac:dyDescent="0.35">
      <c r="A3" t="s">
        <v>2105</v>
      </c>
      <c r="B3" t="s">
        <v>2106</v>
      </c>
    </row>
    <row r="4" spans="1:2" x14ac:dyDescent="0.35">
      <c r="A4" t="s">
        <v>2107</v>
      </c>
      <c r="B4" t="s">
        <v>2108</v>
      </c>
    </row>
    <row r="5" spans="1:2" x14ac:dyDescent="0.35">
      <c r="A5" t="s">
        <v>2109</v>
      </c>
      <c r="B5" t="s">
        <v>2110</v>
      </c>
    </row>
    <row r="6" spans="1:2" x14ac:dyDescent="0.35">
      <c r="A6" t="s">
        <v>2111</v>
      </c>
      <c r="B6" t="s">
        <v>2112</v>
      </c>
    </row>
    <row r="7" spans="1:2" x14ac:dyDescent="0.35">
      <c r="A7" t="s">
        <v>2113</v>
      </c>
      <c r="B7" t="s">
        <v>2114</v>
      </c>
    </row>
    <row r="8" spans="1:2" x14ac:dyDescent="0.35">
      <c r="A8" t="s">
        <v>2115</v>
      </c>
      <c r="B8" t="s">
        <v>2116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Channel</vt:lpstr>
      <vt:lpstr>Fresh and Repeat</vt:lpstr>
      <vt:lpstr>Monthly Performance</vt:lpstr>
      <vt:lpstr>Business Insights</vt:lpstr>
      <vt:lpstr>Dashboard</vt:lpstr>
      <vt:lpstr>Case Study</vt:lpstr>
      <vt:lpstr>Raw_Data</vt:lpstr>
      <vt:lpstr>Project_Guide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Belsi Medona S</cp:lastModifiedBy>
  <dcterms:created xsi:type="dcterms:W3CDTF">2026-09-15T04:40:35Z</dcterms:created>
  <dcterms:modified xsi:type="dcterms:W3CDTF">2026-10-06T05:28:10Z</dcterms:modified>
</cp:coreProperties>
</file>